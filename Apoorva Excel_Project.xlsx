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xml"/>
  <Override PartName="/xl/slicers/slicer3.xml" ContentType="application/vnd.ms-excel.slicer+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0609A5A86376E24D/Documents/"/>
    </mc:Choice>
  </mc:AlternateContent>
  <xr:revisionPtr revIDLastSave="1658" documentId="8_{EAC6AE8C-ED76-4ACE-B8EA-BDE5990E6580}" xr6:coauthVersionLast="47" xr6:coauthVersionMax="47" xr10:uidLastSave="{A758CA1A-6BBA-4143-A05C-EA831AFD14F6}"/>
  <bookViews>
    <workbookView xWindow="-108" yWindow="-108" windowWidth="23256" windowHeight="12456" firstSheet="2" activeTab="4" xr2:uid="{00000000-000D-0000-FFFF-FFFF00000000}"/>
  </bookViews>
  <sheets>
    <sheet name="bike_buyers" sheetId="1" r:id="rId1"/>
    <sheet name="Working Sheet" sheetId="4" r:id="rId2"/>
    <sheet name="purchase rate vs income &amp; age" sheetId="9" r:id="rId3"/>
    <sheet name="Outlier Detection" sheetId="8" r:id="rId4"/>
    <sheet name="Notes" sheetId="7" r:id="rId5"/>
    <sheet name="Final Notes" sheetId="11" r:id="rId6"/>
    <sheet name="Pivot Table" sheetId="3" r:id="rId7"/>
    <sheet name="General Info" sheetId="6" r:id="rId8"/>
    <sheet name="Dashboard" sheetId="2" r:id="rId9"/>
  </sheets>
  <definedNames>
    <definedName name="_xlnm._FilterDatabase" localSheetId="0" hidden="1">bike_buyers!$A$1:$M$1001</definedName>
    <definedName name="_xlnm._FilterDatabase" localSheetId="1" hidden="1">'Working Sheet'!$A$1:$O$1001</definedName>
    <definedName name="_xlchart.v1.0" hidden="1">'Outlier Detection'!$D$1</definedName>
    <definedName name="_xlchart.v1.1" hidden="1">'Outlier Detection'!$D$2:$D$1001</definedName>
    <definedName name="_xlchart.v1.2" hidden="1">'Outlier Detection'!$D$1</definedName>
    <definedName name="_xlchart.v1.3" hidden="1">'Outlier Detection'!$D$2:$D$1001</definedName>
    <definedName name="_xlchart.v1.4" hidden="1">'Outlier Detection'!$D$1</definedName>
    <definedName name="_xlchart.v1.5" hidden="1">'Outlier Detection'!$D$2:$D$1001</definedName>
    <definedName name="Slicer_Age_Groups">#N/A</definedName>
    <definedName name="Slicer_Commute_Distance">#N/A</definedName>
    <definedName name="Slicer_Education">#N/A</definedName>
    <definedName name="Slicer_Education1">#N/A</definedName>
    <definedName name="Slicer_Gender">#N/A</definedName>
    <definedName name="Slicer_Marital_Status">#N/A</definedName>
    <definedName name="Slicer_Marital_Status1">#N/A</definedName>
    <definedName name="Slicer_Occupation">#N/A</definedName>
    <definedName name="Slicer_Occupation1">#N/A</definedName>
    <definedName name="Slicer_Region">#N/A</definedName>
  </definedNames>
  <calcPr calcId="191028"/>
  <pivotCaches>
    <pivotCache cacheId="1" r:id="rId10"/>
    <pivotCache cacheId="2" r:id="rId11"/>
    <pivotCache cacheId="3" r:id="rId12"/>
    <pivotCache cacheId="4" r:id="rId13"/>
    <pivotCache cacheId="16"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S9" i="2"/>
  <c r="L9" i="2"/>
  <c r="B9" i="2"/>
  <c r="R2" i="4"/>
  <c r="R5" i="4"/>
  <c r="R1001" i="4"/>
  <c r="R1000" i="4"/>
  <c r="R999" i="4"/>
  <c r="R998" i="4"/>
  <c r="R997" i="4"/>
  <c r="R996" i="4"/>
  <c r="R995" i="4"/>
  <c r="R994" i="4"/>
  <c r="R993" i="4"/>
  <c r="R992" i="4"/>
  <c r="R991" i="4"/>
  <c r="R990" i="4"/>
  <c r="R989" i="4"/>
  <c r="R988" i="4"/>
  <c r="R987" i="4"/>
  <c r="R986" i="4"/>
  <c r="R985" i="4"/>
  <c r="R984" i="4"/>
  <c r="R983" i="4"/>
  <c r="R982" i="4"/>
  <c r="R981" i="4"/>
  <c r="R980" i="4"/>
  <c r="R979" i="4"/>
  <c r="R978" i="4"/>
  <c r="R977" i="4"/>
  <c r="R976" i="4"/>
  <c r="R975" i="4"/>
  <c r="R974" i="4"/>
  <c r="R973" i="4"/>
  <c r="R972" i="4"/>
  <c r="R971" i="4"/>
  <c r="R970" i="4"/>
  <c r="R969" i="4"/>
  <c r="R968" i="4"/>
  <c r="R967" i="4"/>
  <c r="R966" i="4"/>
  <c r="R965" i="4"/>
  <c r="R964" i="4"/>
  <c r="R963" i="4"/>
  <c r="R962" i="4"/>
  <c r="R961" i="4"/>
  <c r="R960" i="4"/>
  <c r="R959" i="4"/>
  <c r="R958" i="4"/>
  <c r="R957" i="4"/>
  <c r="R956" i="4"/>
  <c r="R955" i="4"/>
  <c r="R954" i="4"/>
  <c r="R953" i="4"/>
  <c r="R952" i="4"/>
  <c r="R951" i="4"/>
  <c r="R950" i="4"/>
  <c r="R949" i="4"/>
  <c r="R948" i="4"/>
  <c r="R947" i="4"/>
  <c r="R946" i="4"/>
  <c r="R945" i="4"/>
  <c r="R944" i="4"/>
  <c r="R943" i="4"/>
  <c r="R942" i="4"/>
  <c r="R941" i="4"/>
  <c r="R940" i="4"/>
  <c r="R939" i="4"/>
  <c r="R938" i="4"/>
  <c r="R937" i="4"/>
  <c r="R936" i="4"/>
  <c r="R935" i="4"/>
  <c r="R934" i="4"/>
  <c r="R933" i="4"/>
  <c r="R932" i="4"/>
  <c r="R931" i="4"/>
  <c r="R930" i="4"/>
  <c r="R929" i="4"/>
  <c r="R928" i="4"/>
  <c r="R927" i="4"/>
  <c r="R926" i="4"/>
  <c r="R925" i="4"/>
  <c r="R924" i="4"/>
  <c r="R923" i="4"/>
  <c r="R922" i="4"/>
  <c r="R921" i="4"/>
  <c r="R920" i="4"/>
  <c r="R919" i="4"/>
  <c r="R918" i="4"/>
  <c r="R917" i="4"/>
  <c r="R916" i="4"/>
  <c r="R915" i="4"/>
  <c r="R914" i="4"/>
  <c r="R913" i="4"/>
  <c r="R912" i="4"/>
  <c r="R911" i="4"/>
  <c r="R910" i="4"/>
  <c r="R909" i="4"/>
  <c r="R908" i="4"/>
  <c r="R907" i="4"/>
  <c r="R906" i="4"/>
  <c r="R905" i="4"/>
  <c r="R904" i="4"/>
  <c r="R903" i="4"/>
  <c r="R902" i="4"/>
  <c r="R901" i="4"/>
  <c r="R900" i="4"/>
  <c r="R899" i="4"/>
  <c r="R898" i="4"/>
  <c r="R897" i="4"/>
  <c r="R896" i="4"/>
  <c r="R895" i="4"/>
  <c r="R894" i="4"/>
  <c r="R893" i="4"/>
  <c r="R892" i="4"/>
  <c r="R891" i="4"/>
  <c r="R890" i="4"/>
  <c r="R889" i="4"/>
  <c r="R888" i="4"/>
  <c r="R887" i="4"/>
  <c r="R886" i="4"/>
  <c r="R885" i="4"/>
  <c r="R884" i="4"/>
  <c r="R883" i="4"/>
  <c r="R882" i="4"/>
  <c r="R881" i="4"/>
  <c r="R880" i="4"/>
  <c r="R879" i="4"/>
  <c r="R878" i="4"/>
  <c r="R877" i="4"/>
  <c r="R876" i="4"/>
  <c r="R875" i="4"/>
  <c r="R874" i="4"/>
  <c r="R873" i="4"/>
  <c r="R872" i="4"/>
  <c r="R871" i="4"/>
  <c r="R870" i="4"/>
  <c r="R869" i="4"/>
  <c r="R868" i="4"/>
  <c r="R867" i="4"/>
  <c r="R866" i="4"/>
  <c r="R865" i="4"/>
  <c r="R864" i="4"/>
  <c r="R863" i="4"/>
  <c r="R862" i="4"/>
  <c r="R861" i="4"/>
  <c r="R860" i="4"/>
  <c r="R859" i="4"/>
  <c r="R858" i="4"/>
  <c r="R857" i="4"/>
  <c r="R856" i="4"/>
  <c r="R855" i="4"/>
  <c r="R854" i="4"/>
  <c r="R853" i="4"/>
  <c r="R852" i="4"/>
  <c r="R851" i="4"/>
  <c r="R850" i="4"/>
  <c r="R849" i="4"/>
  <c r="R848" i="4"/>
  <c r="R847" i="4"/>
  <c r="R846" i="4"/>
  <c r="R845" i="4"/>
  <c r="R844" i="4"/>
  <c r="R843" i="4"/>
  <c r="R842" i="4"/>
  <c r="R841" i="4"/>
  <c r="R840" i="4"/>
  <c r="R839" i="4"/>
  <c r="R838" i="4"/>
  <c r="R837" i="4"/>
  <c r="R836" i="4"/>
  <c r="R835" i="4"/>
  <c r="R834" i="4"/>
  <c r="R833" i="4"/>
  <c r="R832" i="4"/>
  <c r="R831" i="4"/>
  <c r="R830" i="4"/>
  <c r="R829" i="4"/>
  <c r="R828" i="4"/>
  <c r="R827" i="4"/>
  <c r="R826" i="4"/>
  <c r="R825" i="4"/>
  <c r="R824" i="4"/>
  <c r="R823" i="4"/>
  <c r="R822" i="4"/>
  <c r="R821" i="4"/>
  <c r="R820" i="4"/>
  <c r="R819" i="4"/>
  <c r="R818" i="4"/>
  <c r="R817" i="4"/>
  <c r="R816" i="4"/>
  <c r="R815" i="4"/>
  <c r="R814" i="4"/>
  <c r="R813" i="4"/>
  <c r="R812" i="4"/>
  <c r="R811" i="4"/>
  <c r="R810" i="4"/>
  <c r="R809" i="4"/>
  <c r="R808" i="4"/>
  <c r="R807" i="4"/>
  <c r="R806" i="4"/>
  <c r="R805" i="4"/>
  <c r="R804" i="4"/>
  <c r="R803" i="4"/>
  <c r="R802" i="4"/>
  <c r="R801" i="4"/>
  <c r="R800" i="4"/>
  <c r="R799" i="4"/>
  <c r="R798" i="4"/>
  <c r="R797" i="4"/>
  <c r="R796" i="4"/>
  <c r="R795" i="4"/>
  <c r="R794" i="4"/>
  <c r="R793" i="4"/>
  <c r="R792" i="4"/>
  <c r="R791" i="4"/>
  <c r="R790" i="4"/>
  <c r="R789" i="4"/>
  <c r="R788" i="4"/>
  <c r="R787" i="4"/>
  <c r="R786" i="4"/>
  <c r="R785" i="4"/>
  <c r="R784" i="4"/>
  <c r="R783" i="4"/>
  <c r="R782" i="4"/>
  <c r="R781" i="4"/>
  <c r="R780" i="4"/>
  <c r="R779" i="4"/>
  <c r="R778" i="4"/>
  <c r="R777" i="4"/>
  <c r="R776" i="4"/>
  <c r="R775" i="4"/>
  <c r="R774" i="4"/>
  <c r="R773" i="4"/>
  <c r="R772" i="4"/>
  <c r="R771" i="4"/>
  <c r="R770" i="4"/>
  <c r="R769" i="4"/>
  <c r="R768" i="4"/>
  <c r="R767" i="4"/>
  <c r="R766" i="4"/>
  <c r="R765" i="4"/>
  <c r="R764" i="4"/>
  <c r="R763" i="4"/>
  <c r="R762" i="4"/>
  <c r="R761" i="4"/>
  <c r="R760" i="4"/>
  <c r="R759" i="4"/>
  <c r="R758" i="4"/>
  <c r="R757" i="4"/>
  <c r="R756" i="4"/>
  <c r="R755" i="4"/>
  <c r="R754" i="4"/>
  <c r="R753" i="4"/>
  <c r="R752" i="4"/>
  <c r="R751" i="4"/>
  <c r="R750" i="4"/>
  <c r="R749" i="4"/>
  <c r="R748" i="4"/>
  <c r="R747" i="4"/>
  <c r="R746" i="4"/>
  <c r="R745"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14" i="4"/>
  <c r="R713" i="4"/>
  <c r="R712" i="4"/>
  <c r="R711" i="4"/>
  <c r="R710" i="4"/>
  <c r="R709" i="4"/>
  <c r="R708" i="4"/>
  <c r="R707" i="4"/>
  <c r="R706" i="4"/>
  <c r="R705" i="4"/>
  <c r="R704" i="4"/>
  <c r="R703" i="4"/>
  <c r="R702" i="4"/>
  <c r="R701" i="4"/>
  <c r="R700" i="4"/>
  <c r="R699" i="4"/>
  <c r="R698" i="4"/>
  <c r="R697" i="4"/>
  <c r="R696" i="4"/>
  <c r="R695" i="4"/>
  <c r="R694" i="4"/>
  <c r="R693" i="4"/>
  <c r="R692" i="4"/>
  <c r="R691" i="4"/>
  <c r="R690" i="4"/>
  <c r="R689" i="4"/>
  <c r="R688" i="4"/>
  <c r="R687" i="4"/>
  <c r="R686" i="4"/>
  <c r="R685" i="4"/>
  <c r="R684" i="4"/>
  <c r="R683" i="4"/>
  <c r="R682" i="4"/>
  <c r="R681" i="4"/>
  <c r="R680" i="4"/>
  <c r="R679" i="4"/>
  <c r="R678" i="4"/>
  <c r="R677" i="4"/>
  <c r="R676" i="4"/>
  <c r="R675" i="4"/>
  <c r="R674" i="4"/>
  <c r="R673" i="4"/>
  <c r="R672" i="4"/>
  <c r="R671" i="4"/>
  <c r="R670" i="4"/>
  <c r="R669" i="4"/>
  <c r="R668" i="4"/>
  <c r="R667"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36" i="4"/>
  <c r="R635" i="4"/>
  <c r="R634" i="4"/>
  <c r="R633" i="4"/>
  <c r="R632" i="4"/>
  <c r="R631" i="4"/>
  <c r="R630" i="4"/>
  <c r="R629" i="4"/>
  <c r="R628" i="4"/>
  <c r="R627" i="4"/>
  <c r="R626" i="4"/>
  <c r="R625" i="4"/>
  <c r="R624" i="4"/>
  <c r="R623" i="4"/>
  <c r="R622" i="4"/>
  <c r="R621" i="4"/>
  <c r="R620" i="4"/>
  <c r="R619" i="4"/>
  <c r="R618" i="4"/>
  <c r="R617" i="4"/>
  <c r="R616" i="4"/>
  <c r="R615" i="4"/>
  <c r="R614" i="4"/>
  <c r="R613" i="4"/>
  <c r="R612" i="4"/>
  <c r="R611" i="4"/>
  <c r="R610" i="4"/>
  <c r="R609" i="4"/>
  <c r="R608" i="4"/>
  <c r="R607" i="4"/>
  <c r="R606" i="4"/>
  <c r="R605" i="4"/>
  <c r="R604" i="4"/>
  <c r="R603" i="4"/>
  <c r="R602" i="4"/>
  <c r="R601" i="4"/>
  <c r="R600" i="4"/>
  <c r="R599"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80" i="4"/>
  <c r="R479" i="4"/>
  <c r="R478" i="4"/>
  <c r="R477" i="4"/>
  <c r="R476" i="4"/>
  <c r="R475" i="4"/>
  <c r="R474" i="4"/>
  <c r="R473" i="4"/>
  <c r="R472"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41" i="4"/>
  <c r="R440" i="4"/>
  <c r="R439" i="4"/>
  <c r="R438" i="4"/>
  <c r="R437" i="4"/>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R399" i="4"/>
  <c r="R398" i="4"/>
  <c r="R397" i="4"/>
  <c r="R396" i="4"/>
  <c r="R395" i="4"/>
  <c r="R394"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R4" i="4"/>
  <c r="R3"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5" i="4"/>
  <c r="P16" i="4"/>
  <c r="P17" i="4"/>
  <c r="P18" i="4"/>
  <c r="P19" i="4"/>
  <c r="P20" i="4"/>
  <c r="P21" i="4"/>
  <c r="P22" i="4"/>
  <c r="P23" i="4"/>
  <c r="P24" i="4"/>
  <c r="P25" i="4"/>
  <c r="P26" i="4"/>
  <c r="P27" i="4"/>
  <c r="P28" i="4"/>
  <c r="P29" i="4"/>
  <c r="P30" i="4"/>
  <c r="P31" i="4"/>
  <c r="P32" i="4"/>
  <c r="P33" i="4"/>
  <c r="P34" i="4"/>
  <c r="P35" i="4"/>
  <c r="P36" i="4"/>
  <c r="P37" i="4"/>
  <c r="P38" i="4"/>
  <c r="P39" i="4"/>
  <c r="P3" i="4"/>
  <c r="P4" i="4"/>
  <c r="P5" i="4"/>
  <c r="P6" i="4"/>
  <c r="P7" i="4"/>
  <c r="P8" i="4"/>
  <c r="P9" i="4"/>
  <c r="P10" i="4"/>
  <c r="P11" i="4"/>
  <c r="P12" i="4"/>
  <c r="P13" i="4"/>
  <c r="P14" i="4"/>
  <c r="P2" i="4"/>
  <c r="E963" i="4" a="1"/>
  <c r="E963" i="4" s="1"/>
  <c r="E17" i="4" a="1"/>
  <c r="E17" i="4" s="1"/>
  <c r="E18" i="4" a="1"/>
  <c r="E18" i="4" s="1"/>
  <c r="E19" i="4" a="1"/>
  <c r="E19" i="4"/>
  <c r="E20" i="4" a="1"/>
  <c r="E20" i="4"/>
  <c r="E21" i="4" a="1"/>
  <c r="E21" i="4" s="1"/>
  <c r="E22" i="4" a="1"/>
  <c r="E22" i="4" s="1"/>
  <c r="E23" i="4" a="1"/>
  <c r="E23" i="4"/>
  <c r="E24" i="4" a="1"/>
  <c r="E24" i="4"/>
  <c r="E25" i="4" a="1"/>
  <c r="E25" i="4" s="1"/>
  <c r="E26" i="4" a="1"/>
  <c r="E26" i="4" s="1"/>
  <c r="E27" i="4" a="1"/>
  <c r="E27" i="4"/>
  <c r="E28" i="4" a="1"/>
  <c r="E28" i="4"/>
  <c r="E29" i="4" a="1"/>
  <c r="E29" i="4" s="1"/>
  <c r="E30" i="4" a="1"/>
  <c r="E30" i="4" s="1"/>
  <c r="E31" i="4" a="1"/>
  <c r="E31" i="4"/>
  <c r="E32" i="4" a="1"/>
  <c r="E32" i="4"/>
  <c r="E33" i="4" a="1"/>
  <c r="E33" i="4" s="1"/>
  <c r="E34" i="4" a="1"/>
  <c r="E34" i="4" s="1"/>
  <c r="E35" i="4" a="1"/>
  <c r="E35" i="4"/>
  <c r="E36" i="4" a="1"/>
  <c r="E36" i="4" s="1"/>
  <c r="E37" i="4" a="1"/>
  <c r="E37" i="4" s="1"/>
  <c r="E38" i="4" a="1"/>
  <c r="E38" i="4" s="1"/>
  <c r="E39" i="4" a="1"/>
  <c r="E39" i="4"/>
  <c r="E40" i="4" a="1"/>
  <c r="E40" i="4" s="1"/>
  <c r="E41" i="4" a="1"/>
  <c r="E41" i="4" s="1"/>
  <c r="E42" i="4" a="1"/>
  <c r="E42" i="4" s="1"/>
  <c r="E43" i="4" a="1"/>
  <c r="E43" i="4"/>
  <c r="E44" i="4" a="1"/>
  <c r="E44" i="4"/>
  <c r="E45" i="4" a="1"/>
  <c r="E45" i="4" s="1"/>
  <c r="E46" i="4" a="1"/>
  <c r="E46" i="4" s="1"/>
  <c r="E47" i="4" a="1"/>
  <c r="E47" i="4"/>
  <c r="E48" i="4" a="1"/>
  <c r="E48" i="4"/>
  <c r="E49" i="4" a="1"/>
  <c r="E49" i="4" s="1"/>
  <c r="E50" i="4" a="1"/>
  <c r="E50" i="4" s="1"/>
  <c r="E51" i="4" a="1"/>
  <c r="E51" i="4"/>
  <c r="E52" i="4" a="1"/>
  <c r="E52" i="4" s="1"/>
  <c r="E53" i="4" a="1"/>
  <c r="E53" i="4" s="1"/>
  <c r="E54" i="4" a="1"/>
  <c r="E54" i="4" s="1"/>
  <c r="E55" i="4" a="1"/>
  <c r="E55" i="4"/>
  <c r="E56" i="4" a="1"/>
  <c r="E56" i="4" s="1"/>
  <c r="E57" i="4" a="1"/>
  <c r="E57" i="4" s="1"/>
  <c r="E58" i="4" a="1"/>
  <c r="E58" i="4" s="1"/>
  <c r="E59" i="4" a="1"/>
  <c r="E59" i="4"/>
  <c r="E60" i="4" a="1"/>
  <c r="E60" i="4"/>
  <c r="E61" i="4" a="1"/>
  <c r="E61" i="4" s="1"/>
  <c r="E62" i="4" a="1"/>
  <c r="E62" i="4" s="1"/>
  <c r="E63" i="4" a="1"/>
  <c r="E63" i="4" s="1"/>
  <c r="E64" i="4" a="1"/>
  <c r="E64" i="4"/>
  <c r="E65" i="4" a="1"/>
  <c r="E65" i="4" s="1"/>
  <c r="E66" i="4" a="1"/>
  <c r="E66" i="4" s="1"/>
  <c r="E67" i="4" a="1"/>
  <c r="E67" i="4" s="1"/>
  <c r="E68" i="4" a="1"/>
  <c r="E68" i="4" s="1"/>
  <c r="E69" i="4" a="1"/>
  <c r="E69" i="4" s="1"/>
  <c r="E70" i="4" a="1"/>
  <c r="E70" i="4" s="1"/>
  <c r="E71" i="4" a="1"/>
  <c r="E71" i="4"/>
  <c r="E72" i="4" a="1"/>
  <c r="E72" i="4" s="1"/>
  <c r="E73" i="4" a="1"/>
  <c r="E73" i="4" s="1"/>
  <c r="E74" i="4" a="1"/>
  <c r="E74" i="4" s="1"/>
  <c r="E75" i="4" a="1"/>
  <c r="E75" i="4"/>
  <c r="E76" i="4" a="1"/>
  <c r="E76" i="4"/>
  <c r="E77" i="4" a="1"/>
  <c r="E77" i="4" s="1"/>
  <c r="E78" i="4" a="1"/>
  <c r="E78" i="4" s="1"/>
  <c r="E79" i="4" a="1"/>
  <c r="E79" i="4" s="1"/>
  <c r="E80" i="4" a="1"/>
  <c r="E80" i="4"/>
  <c r="E81" i="4" a="1"/>
  <c r="E81" i="4" s="1"/>
  <c r="E82" i="4" a="1"/>
  <c r="E82" i="4" s="1"/>
  <c r="E83" i="4" a="1"/>
  <c r="E83" i="4" s="1"/>
  <c r="E84" i="4" a="1"/>
  <c r="E84" i="4" s="1"/>
  <c r="E85" i="4" a="1"/>
  <c r="E85" i="4" s="1"/>
  <c r="E86" i="4" a="1"/>
  <c r="E86" i="4" s="1"/>
  <c r="E87" i="4" a="1"/>
  <c r="E87" i="4"/>
  <c r="E88" i="4" a="1"/>
  <c r="E88" i="4" s="1"/>
  <c r="E89" i="4" a="1"/>
  <c r="E89" i="4" s="1"/>
  <c r="E90" i="4" a="1"/>
  <c r="E90" i="4" s="1"/>
  <c r="E91" i="4" a="1"/>
  <c r="E91" i="4"/>
  <c r="E92" i="4" a="1"/>
  <c r="E92" i="4"/>
  <c r="E93" i="4" a="1"/>
  <c r="E93" i="4" s="1"/>
  <c r="E94" i="4" a="1"/>
  <c r="E94" i="4" s="1"/>
  <c r="E95" i="4" a="1"/>
  <c r="E95" i="4" s="1"/>
  <c r="E96" i="4" a="1"/>
  <c r="E96" i="4"/>
  <c r="E97" i="4" a="1"/>
  <c r="E97" i="4" s="1"/>
  <c r="E98" i="4" a="1"/>
  <c r="E98" i="4" s="1"/>
  <c r="E99" i="4" a="1"/>
  <c r="E99" i="4" s="1"/>
  <c r="E100" i="4" a="1"/>
  <c r="E100" i="4" s="1"/>
  <c r="E101" i="4" a="1"/>
  <c r="E101" i="4" s="1"/>
  <c r="E102" i="4" a="1"/>
  <c r="E102" i="4" s="1"/>
  <c r="E103" i="4" a="1"/>
  <c r="E103" i="4"/>
  <c r="E104" i="4" a="1"/>
  <c r="E104" i="4" s="1"/>
  <c r="E105" i="4" a="1"/>
  <c r="E105" i="4" s="1"/>
  <c r="E106" i="4" a="1"/>
  <c r="E106" i="4" s="1"/>
  <c r="E107" i="4" a="1"/>
  <c r="E107" i="4"/>
  <c r="E108" i="4" a="1"/>
  <c r="E108" i="4"/>
  <c r="E109" i="4" a="1"/>
  <c r="E109" i="4" s="1"/>
  <c r="E110" i="4" a="1"/>
  <c r="E110" i="4" s="1"/>
  <c r="E111" i="4" a="1"/>
  <c r="E111" i="4" s="1"/>
  <c r="E112" i="4" a="1"/>
  <c r="E112" i="4"/>
  <c r="E113" i="4" a="1"/>
  <c r="E113" i="4" s="1"/>
  <c r="E114" i="4" a="1"/>
  <c r="E114" i="4" s="1"/>
  <c r="E115" i="4" a="1"/>
  <c r="E115" i="4" s="1"/>
  <c r="E116" i="4" a="1"/>
  <c r="E116" i="4" s="1"/>
  <c r="E117" i="4" a="1"/>
  <c r="E117" i="4" s="1"/>
  <c r="E118" i="4" a="1"/>
  <c r="E118" i="4" s="1"/>
  <c r="E119" i="4" a="1"/>
  <c r="E119" i="4"/>
  <c r="E120" i="4" a="1"/>
  <c r="E120" i="4" s="1"/>
  <c r="E121" i="4" a="1"/>
  <c r="E121" i="4" s="1"/>
  <c r="E122" i="4" a="1"/>
  <c r="E122" i="4" s="1"/>
  <c r="E123" i="4" a="1"/>
  <c r="E123" i="4"/>
  <c r="E124" i="4" a="1"/>
  <c r="E124" i="4"/>
  <c r="E125" i="4" a="1"/>
  <c r="E125" i="4" s="1"/>
  <c r="E126" i="4" a="1"/>
  <c r="E126" i="4" s="1"/>
  <c r="E127" i="4" a="1"/>
  <c r="E127" i="4" s="1"/>
  <c r="E128" i="4" a="1"/>
  <c r="E128" i="4"/>
  <c r="E129" i="4" a="1"/>
  <c r="E129" i="4" s="1"/>
  <c r="E130" i="4" a="1"/>
  <c r="E130" i="4" s="1"/>
  <c r="E131" i="4" a="1"/>
  <c r="E131" i="4" s="1"/>
  <c r="E132" i="4" a="1"/>
  <c r="E132" i="4" s="1"/>
  <c r="E133" i="4" a="1"/>
  <c r="E133" i="4" s="1"/>
  <c r="E134" i="4" a="1"/>
  <c r="E134" i="4" s="1"/>
  <c r="E135" i="4" a="1"/>
  <c r="E135" i="4"/>
  <c r="E136" i="4" a="1"/>
  <c r="E136" i="4" s="1"/>
  <c r="E137" i="4" a="1"/>
  <c r="E137" i="4" s="1"/>
  <c r="E138" i="4" a="1"/>
  <c r="E138" i="4" s="1"/>
  <c r="E139" i="4" a="1"/>
  <c r="E139" i="4"/>
  <c r="E140" i="4" a="1"/>
  <c r="E140" i="4"/>
  <c r="E141" i="4" a="1"/>
  <c r="E141" i="4" s="1"/>
  <c r="E142" i="4" a="1"/>
  <c r="E142" i="4" s="1"/>
  <c r="E143" i="4" a="1"/>
  <c r="E143" i="4" s="1"/>
  <c r="E144" i="4" a="1"/>
  <c r="E144" i="4"/>
  <c r="E145" i="4" a="1"/>
  <c r="E145" i="4" s="1"/>
  <c r="E146" i="4" a="1"/>
  <c r="E146" i="4" s="1"/>
  <c r="E147" i="4" a="1"/>
  <c r="E147" i="4" s="1"/>
  <c r="E148" i="4" a="1"/>
  <c r="E148" i="4" s="1"/>
  <c r="E149" i="4" a="1"/>
  <c r="E149" i="4" s="1"/>
  <c r="E150" i="4" a="1"/>
  <c r="E150" i="4" s="1"/>
  <c r="E151" i="4" a="1"/>
  <c r="E151" i="4"/>
  <c r="E152" i="4" a="1"/>
  <c r="E152" i="4" s="1"/>
  <c r="E153" i="4" a="1"/>
  <c r="E153" i="4" s="1"/>
  <c r="E154" i="4" a="1"/>
  <c r="E154" i="4" s="1"/>
  <c r="E155" i="4" a="1"/>
  <c r="E155" i="4"/>
  <c r="E156" i="4" a="1"/>
  <c r="E156" i="4"/>
  <c r="E157" i="4" a="1"/>
  <c r="E157" i="4" s="1"/>
  <c r="E158" i="4" a="1"/>
  <c r="E158" i="4" s="1"/>
  <c r="E159" i="4" a="1"/>
  <c r="E159" i="4" s="1"/>
  <c r="E160" i="4" a="1"/>
  <c r="E160" i="4"/>
  <c r="E161" i="4" a="1"/>
  <c r="E161" i="4" s="1"/>
  <c r="E162" i="4" a="1"/>
  <c r="E162" i="4" s="1"/>
  <c r="E163" i="4" a="1"/>
  <c r="E163" i="4" s="1"/>
  <c r="E164" i="4" a="1"/>
  <c r="E164" i="4" s="1"/>
  <c r="E165" i="4" a="1"/>
  <c r="E165" i="4" s="1"/>
  <c r="E166" i="4" a="1"/>
  <c r="E166" i="4" s="1"/>
  <c r="E167" i="4" a="1"/>
  <c r="E167" i="4"/>
  <c r="E168" i="4" a="1"/>
  <c r="E168" i="4" s="1"/>
  <c r="E169" i="4" a="1"/>
  <c r="E169" i="4" s="1"/>
  <c r="E170" i="4" a="1"/>
  <c r="E170" i="4" s="1"/>
  <c r="E171" i="4" a="1"/>
  <c r="E171" i="4"/>
  <c r="E172" i="4" a="1"/>
  <c r="E172" i="4"/>
  <c r="E173" i="4" a="1"/>
  <c r="E173" i="4" s="1"/>
  <c r="E174" i="4" a="1"/>
  <c r="E174" i="4" s="1"/>
  <c r="E175" i="4" a="1"/>
  <c r="E175" i="4" s="1"/>
  <c r="E176" i="4" a="1"/>
  <c r="E176" i="4" s="1"/>
  <c r="E177" i="4" a="1"/>
  <c r="E177" i="4" s="1"/>
  <c r="E178" i="4" a="1"/>
  <c r="E178" i="4" s="1"/>
  <c r="E179" i="4" a="1"/>
  <c r="E179" i="4" s="1"/>
  <c r="E180" i="4" a="1"/>
  <c r="E180" i="4" s="1"/>
  <c r="E181" i="4" a="1"/>
  <c r="E181" i="4" s="1"/>
  <c r="E182" i="4" a="1"/>
  <c r="E182" i="4" s="1"/>
  <c r="E183" i="4" a="1"/>
  <c r="E183" i="4"/>
  <c r="E184" i="4" a="1"/>
  <c r="E184" i="4" s="1"/>
  <c r="E185" i="4" a="1"/>
  <c r="E185" i="4" s="1"/>
  <c r="E186" i="4" a="1"/>
  <c r="E186" i="4" s="1"/>
  <c r="E187" i="4" a="1"/>
  <c r="E187" i="4"/>
  <c r="E188" i="4" a="1"/>
  <c r="E188" i="4"/>
  <c r="E189" i="4" a="1"/>
  <c r="E189" i="4" s="1"/>
  <c r="E190" i="4" a="1"/>
  <c r="E190" i="4" s="1"/>
  <c r="E191" i="4" a="1"/>
  <c r="E191" i="4" s="1"/>
  <c r="E192" i="4" a="1"/>
  <c r="E192" i="4" s="1"/>
  <c r="E193" i="4" a="1"/>
  <c r="E193" i="4" s="1"/>
  <c r="E194" i="4" a="1"/>
  <c r="E194" i="4" s="1"/>
  <c r="E195" i="4" a="1"/>
  <c r="E195" i="4" s="1"/>
  <c r="E196" i="4" a="1"/>
  <c r="E196" i="4" s="1"/>
  <c r="E197" i="4" a="1"/>
  <c r="E197" i="4" s="1"/>
  <c r="E198" i="4" a="1"/>
  <c r="E198" i="4" s="1"/>
  <c r="E199" i="4" a="1"/>
  <c r="E199" i="4"/>
  <c r="E200" i="4" a="1"/>
  <c r="E200" i="4" s="1"/>
  <c r="E201" i="4" a="1"/>
  <c r="E201" i="4" s="1"/>
  <c r="E202" i="4" a="1"/>
  <c r="E202" i="4" s="1"/>
  <c r="E203" i="4" a="1"/>
  <c r="E203" i="4"/>
  <c r="E204" i="4" a="1"/>
  <c r="E204" i="4"/>
  <c r="E205" i="4" a="1"/>
  <c r="E205" i="4" s="1"/>
  <c r="E206" i="4" a="1"/>
  <c r="E206" i="4" s="1"/>
  <c r="E207" i="4" a="1"/>
  <c r="E207" i="4" s="1"/>
  <c r="E208" i="4" a="1"/>
  <c r="E208" i="4" s="1"/>
  <c r="E209" i="4" a="1"/>
  <c r="E209" i="4" s="1"/>
  <c r="E210" i="4" a="1"/>
  <c r="E210" i="4" s="1"/>
  <c r="E211" i="4" a="1"/>
  <c r="E211" i="4" s="1"/>
  <c r="E212" i="4" a="1"/>
  <c r="E212" i="4" s="1"/>
  <c r="E213" i="4" a="1"/>
  <c r="E213" i="4" s="1"/>
  <c r="E214" i="4" a="1"/>
  <c r="E214" i="4" s="1"/>
  <c r="E215" i="4" a="1"/>
  <c r="E215" i="4"/>
  <c r="E216" i="4" a="1"/>
  <c r="E216" i="4" s="1"/>
  <c r="E217" i="4" a="1"/>
  <c r="E217" i="4" s="1"/>
  <c r="E218" i="4" a="1"/>
  <c r="E218" i="4" s="1"/>
  <c r="E219" i="4" a="1"/>
  <c r="E219" i="4"/>
  <c r="E220" i="4" a="1"/>
  <c r="E220" i="4"/>
  <c r="E221" i="4" a="1"/>
  <c r="E221" i="4" s="1"/>
  <c r="E222" i="4" a="1"/>
  <c r="E222" i="4" s="1"/>
  <c r="E223" i="4" a="1"/>
  <c r="E223" i="4" s="1"/>
  <c r="E224" i="4" a="1"/>
  <c r="E224" i="4" s="1"/>
  <c r="E225" i="4" a="1"/>
  <c r="E225" i="4" s="1"/>
  <c r="E226" i="4" a="1"/>
  <c r="E226" i="4" s="1"/>
  <c r="E227" i="4" a="1"/>
  <c r="E227" i="4" s="1"/>
  <c r="E228" i="4" a="1"/>
  <c r="E228" i="4" s="1"/>
  <c r="E229" i="4" a="1"/>
  <c r="E229" i="4" s="1"/>
  <c r="E230" i="4" a="1"/>
  <c r="E230" i="4" s="1"/>
  <c r="E231" i="4" a="1"/>
  <c r="E231" i="4"/>
  <c r="E232" i="4" a="1"/>
  <c r="E232" i="4" s="1"/>
  <c r="E233" i="4" a="1"/>
  <c r="E233" i="4" s="1"/>
  <c r="E234" i="4" a="1"/>
  <c r="E234" i="4" s="1"/>
  <c r="E235" i="4" a="1"/>
  <c r="E235" i="4"/>
  <c r="E236" i="4" a="1"/>
  <c r="E236" i="4"/>
  <c r="E237" i="4" a="1"/>
  <c r="E237" i="4" s="1"/>
  <c r="E238" i="4" a="1"/>
  <c r="E238" i="4" s="1"/>
  <c r="E239" i="4" a="1"/>
  <c r="E239" i="4" s="1"/>
  <c r="E240" i="4" a="1"/>
  <c r="E240" i="4" s="1"/>
  <c r="E241" i="4" a="1"/>
  <c r="E241" i="4" s="1"/>
  <c r="E242" i="4" a="1"/>
  <c r="E242" i="4" s="1"/>
  <c r="E243" i="4" a="1"/>
  <c r="E243" i="4" s="1"/>
  <c r="E244" i="4" a="1"/>
  <c r="E244" i="4" s="1"/>
  <c r="E245" i="4" a="1"/>
  <c r="E245" i="4" s="1"/>
  <c r="E246" i="4" a="1"/>
  <c r="E246" i="4" s="1"/>
  <c r="E247" i="4" a="1"/>
  <c r="E247" i="4"/>
  <c r="E248" i="4" a="1"/>
  <c r="E248" i="4" s="1"/>
  <c r="E249" i="4" a="1"/>
  <c r="E249" i="4" s="1"/>
  <c r="E250" i="4" a="1"/>
  <c r="E250" i="4" s="1"/>
  <c r="E251" i="4" a="1"/>
  <c r="E251" i="4"/>
  <c r="E252" i="4" a="1"/>
  <c r="E252" i="4"/>
  <c r="E253" i="4" a="1"/>
  <c r="E253" i="4" s="1"/>
  <c r="E254" i="4" a="1"/>
  <c r="E254" i="4" s="1"/>
  <c r="E255" i="4" a="1"/>
  <c r="E255" i="4" s="1"/>
  <c r="E256" i="4" a="1"/>
  <c r="E256" i="4" s="1"/>
  <c r="E257" i="4" a="1"/>
  <c r="E257" i="4" s="1"/>
  <c r="E258" i="4" a="1"/>
  <c r="E258" i="4" s="1"/>
  <c r="E259" i="4" a="1"/>
  <c r="E259" i="4" s="1"/>
  <c r="E260" i="4" a="1"/>
  <c r="E260" i="4" s="1"/>
  <c r="E261" i="4" a="1"/>
  <c r="E261" i="4" s="1"/>
  <c r="E262" i="4" a="1"/>
  <c r="E262" i="4" s="1"/>
  <c r="E263" i="4" a="1"/>
  <c r="E263" i="4"/>
  <c r="E264" i="4" a="1"/>
  <c r="E264" i="4" s="1"/>
  <c r="E265" i="4" a="1"/>
  <c r="E265" i="4" s="1"/>
  <c r="E266" i="4" a="1"/>
  <c r="E266" i="4" s="1"/>
  <c r="E267" i="4" a="1"/>
  <c r="E267" i="4"/>
  <c r="E268" i="4" a="1"/>
  <c r="E268" i="4"/>
  <c r="E269" i="4" a="1"/>
  <c r="E269" i="4" s="1"/>
  <c r="E270" i="4" a="1"/>
  <c r="E270" i="4" s="1"/>
  <c r="E271" i="4" a="1"/>
  <c r="E271" i="4" s="1"/>
  <c r="E272" i="4" a="1"/>
  <c r="E272" i="4" s="1"/>
  <c r="E273" i="4" a="1"/>
  <c r="E273" i="4" s="1"/>
  <c r="E274" i="4" a="1"/>
  <c r="E274" i="4" s="1"/>
  <c r="E275" i="4" a="1"/>
  <c r="E275" i="4" s="1"/>
  <c r="E276" i="4" a="1"/>
  <c r="E276" i="4" s="1"/>
  <c r="E277" i="4" a="1"/>
  <c r="E277" i="4" s="1"/>
  <c r="E278" i="4" a="1"/>
  <c r="E278" i="4" s="1"/>
  <c r="E279" i="4" a="1"/>
  <c r="E279" i="4"/>
  <c r="E280" i="4" a="1"/>
  <c r="E280" i="4" s="1"/>
  <c r="E281" i="4" a="1"/>
  <c r="E281" i="4" s="1"/>
  <c r="E282" i="4" a="1"/>
  <c r="E282" i="4" s="1"/>
  <c r="E283" i="4" a="1"/>
  <c r="E283" i="4"/>
  <c r="E284" i="4" a="1"/>
  <c r="E284" i="4"/>
  <c r="E285" i="4" a="1"/>
  <c r="E285" i="4" s="1"/>
  <c r="E286" i="4" a="1"/>
  <c r="E286" i="4" s="1"/>
  <c r="E287" i="4" a="1"/>
  <c r="E287" i="4" s="1"/>
  <c r="E288" i="4" a="1"/>
  <c r="E288" i="4" s="1"/>
  <c r="E289" i="4" a="1"/>
  <c r="E289" i="4" s="1"/>
  <c r="E290" i="4" a="1"/>
  <c r="E290" i="4" s="1"/>
  <c r="E291" i="4" a="1"/>
  <c r="E291" i="4" s="1"/>
  <c r="E292" i="4" a="1"/>
  <c r="E292" i="4" s="1"/>
  <c r="E293" i="4" a="1"/>
  <c r="E293" i="4" s="1"/>
  <c r="E294" i="4" a="1"/>
  <c r="E294" i="4" s="1"/>
  <c r="E295" i="4" a="1"/>
  <c r="E295" i="4"/>
  <c r="E296" i="4" a="1"/>
  <c r="E296" i="4" s="1"/>
  <c r="E297" i="4" a="1"/>
  <c r="E297" i="4" s="1"/>
  <c r="E298" i="4" a="1"/>
  <c r="E298" i="4" s="1"/>
  <c r="E299" i="4" a="1"/>
  <c r="E299" i="4"/>
  <c r="E300" i="4" a="1"/>
  <c r="E300" i="4" s="1"/>
  <c r="E301" i="4" a="1"/>
  <c r="E301" i="4" s="1"/>
  <c r="E302" i="4" a="1"/>
  <c r="E302" i="4" s="1"/>
  <c r="E303" i="4" a="1"/>
  <c r="E303" i="4" s="1"/>
  <c r="E304" i="4" a="1"/>
  <c r="E304" i="4"/>
  <c r="E305" i="4" a="1"/>
  <c r="E305" i="4" s="1"/>
  <c r="E306" i="4" a="1"/>
  <c r="E306" i="4" s="1"/>
  <c r="E307" i="4" a="1"/>
  <c r="E307" i="4" s="1"/>
  <c r="E308" i="4" a="1"/>
  <c r="E308" i="4" s="1"/>
  <c r="E309" i="4" a="1"/>
  <c r="E309" i="4" s="1"/>
  <c r="E310" i="4" a="1"/>
  <c r="E310" i="4" s="1"/>
  <c r="E311" i="4" a="1"/>
  <c r="E311" i="4"/>
  <c r="E312" i="4" a="1"/>
  <c r="E312" i="4" s="1"/>
  <c r="E313" i="4" a="1"/>
  <c r="E313" i="4" s="1"/>
  <c r="E314" i="4" a="1"/>
  <c r="E314" i="4" s="1"/>
  <c r="E315" i="4" a="1"/>
  <c r="E315" i="4" s="1"/>
  <c r="E316" i="4" a="1"/>
  <c r="E316" i="4"/>
  <c r="E317" i="4" a="1"/>
  <c r="E317" i="4" s="1"/>
  <c r="E318" i="4" a="1"/>
  <c r="E318" i="4" s="1"/>
  <c r="E319" i="4" a="1"/>
  <c r="E319" i="4" s="1"/>
  <c r="E320" i="4" a="1"/>
  <c r="E320" i="4"/>
  <c r="E321" i="4" a="1"/>
  <c r="E321" i="4" s="1"/>
  <c r="E322" i="4" a="1"/>
  <c r="E322" i="4" s="1"/>
  <c r="E323" i="4" a="1"/>
  <c r="E323" i="4" s="1"/>
  <c r="E324" i="4" a="1"/>
  <c r="E324" i="4" s="1"/>
  <c r="E325" i="4" a="1"/>
  <c r="E325" i="4" s="1"/>
  <c r="E326" i="4" a="1"/>
  <c r="E326" i="4" s="1"/>
  <c r="E327" i="4" a="1"/>
  <c r="E327" i="4"/>
  <c r="E328" i="4" a="1"/>
  <c r="E328" i="4" s="1"/>
  <c r="E329" i="4" a="1"/>
  <c r="E329" i="4" s="1"/>
  <c r="E330" i="4" a="1"/>
  <c r="E330" i="4" s="1"/>
  <c r="E331" i="4" a="1"/>
  <c r="E331" i="4" s="1"/>
  <c r="E332" i="4" a="1"/>
  <c r="E332" i="4" s="1"/>
  <c r="E333" i="4" a="1"/>
  <c r="E333" i="4" s="1"/>
  <c r="E334" i="4" a="1"/>
  <c r="E334" i="4" s="1"/>
  <c r="E335" i="4" a="1"/>
  <c r="E335" i="4" s="1"/>
  <c r="E336" i="4" a="1"/>
  <c r="E336" i="4"/>
  <c r="E337" i="4" a="1"/>
  <c r="E337" i="4" s="1"/>
  <c r="E338" i="4" a="1"/>
  <c r="E338" i="4" s="1"/>
  <c r="E339" i="4" a="1"/>
  <c r="E339" i="4" s="1"/>
  <c r="E340" i="4" a="1"/>
  <c r="E340" i="4" s="1"/>
  <c r="E341" i="4" a="1"/>
  <c r="E341" i="4" s="1"/>
  <c r="E342" i="4" a="1"/>
  <c r="E342" i="4" s="1"/>
  <c r="E343" i="4" a="1"/>
  <c r="E343" i="4"/>
  <c r="E344" i="4" a="1"/>
  <c r="E344" i="4" s="1"/>
  <c r="E345" i="4" a="1"/>
  <c r="E345" i="4" s="1"/>
  <c r="E346" i="4" a="1"/>
  <c r="E346" i="4" s="1"/>
  <c r="E347" i="4" a="1"/>
  <c r="E347" i="4" s="1"/>
  <c r="E348" i="4" a="1"/>
  <c r="E348" i="4"/>
  <c r="E349" i="4" a="1"/>
  <c r="E349" i="4" s="1"/>
  <c r="E350" i="4" a="1"/>
  <c r="E350" i="4" s="1"/>
  <c r="E351" i="4" a="1"/>
  <c r="E351" i="4" s="1"/>
  <c r="E352" i="4" a="1"/>
  <c r="E352" i="4"/>
  <c r="E353" i="4" a="1"/>
  <c r="E353" i="4" s="1"/>
  <c r="E354" i="4" a="1"/>
  <c r="E354" i="4" s="1"/>
  <c r="E355" i="4" a="1"/>
  <c r="E355" i="4" s="1"/>
  <c r="E356" i="4" a="1"/>
  <c r="E356" i="4" s="1"/>
  <c r="E357" i="4" a="1"/>
  <c r="E357" i="4"/>
  <c r="E358" i="4" a="1"/>
  <c r="E358" i="4"/>
  <c r="E359" i="4" a="1"/>
  <c r="E359" i="4" s="1"/>
  <c r="E360" i="4" a="1"/>
  <c r="E360" i="4" s="1"/>
  <c r="E361" i="4" a="1"/>
  <c r="E361" i="4"/>
  <c r="E362" i="4" a="1"/>
  <c r="E362" i="4"/>
  <c r="E363" i="4" a="1"/>
  <c r="E363" i="4" s="1"/>
  <c r="E364" i="4" a="1"/>
  <c r="E364" i="4" s="1"/>
  <c r="E365" i="4" a="1"/>
  <c r="E365" i="4"/>
  <c r="E366" i="4" a="1"/>
  <c r="E366" i="4"/>
  <c r="E367" i="4" a="1"/>
  <c r="E367" i="4" s="1"/>
  <c r="E368" i="4" a="1"/>
  <c r="E368" i="4" s="1"/>
  <c r="E369" i="4" a="1"/>
  <c r="E369" i="4"/>
  <c r="E370" i="4" a="1"/>
  <c r="E370" i="4"/>
  <c r="E371" i="4" a="1"/>
  <c r="E371" i="4" s="1"/>
  <c r="E372" i="4" a="1"/>
  <c r="E372" i="4" s="1"/>
  <c r="E373" i="4" a="1"/>
  <c r="E373" i="4"/>
  <c r="E374" i="4" a="1"/>
  <c r="E374" i="4"/>
  <c r="E375" i="4" a="1"/>
  <c r="E375" i="4" s="1"/>
  <c r="E376" i="4" a="1"/>
  <c r="E376" i="4" s="1"/>
  <c r="E377" i="4" a="1"/>
  <c r="E377" i="4"/>
  <c r="E378" i="4" a="1"/>
  <c r="E378" i="4"/>
  <c r="E379" i="4" a="1"/>
  <c r="E379" i="4" s="1"/>
  <c r="E380" i="4" a="1"/>
  <c r="E380" i="4" s="1"/>
  <c r="E381" i="4" a="1"/>
  <c r="E381" i="4"/>
  <c r="E382" i="4" a="1"/>
  <c r="E382" i="4"/>
  <c r="E383" i="4" a="1"/>
  <c r="E383" i="4" s="1"/>
  <c r="E384" i="4" a="1"/>
  <c r="E384" i="4" s="1"/>
  <c r="E385" i="4" a="1"/>
  <c r="E385" i="4"/>
  <c r="E386" i="4" a="1"/>
  <c r="E386" i="4"/>
  <c r="E387" i="4" a="1"/>
  <c r="E387" i="4" s="1"/>
  <c r="E388" i="4" a="1"/>
  <c r="E388" i="4" s="1"/>
  <c r="E389" i="4" a="1"/>
  <c r="E389" i="4"/>
  <c r="E390" i="4" a="1"/>
  <c r="E390" i="4"/>
  <c r="E391" i="4" a="1"/>
  <c r="E391" i="4" s="1"/>
  <c r="E392" i="4" a="1"/>
  <c r="E392" i="4" s="1"/>
  <c r="E393" i="4" a="1"/>
  <c r="E393" i="4"/>
  <c r="E394" i="4" a="1"/>
  <c r="E394" i="4"/>
  <c r="E395" i="4" a="1"/>
  <c r="E395" i="4" s="1"/>
  <c r="E396" i="4" a="1"/>
  <c r="E396" i="4" s="1"/>
  <c r="E397" i="4" a="1"/>
  <c r="E397" i="4"/>
  <c r="E398" i="4" a="1"/>
  <c r="E398" i="4"/>
  <c r="E399" i="4" a="1"/>
  <c r="E399" i="4" s="1"/>
  <c r="E400" i="4" a="1"/>
  <c r="E400" i="4" s="1"/>
  <c r="E401" i="4" a="1"/>
  <c r="E401" i="4"/>
  <c r="E402" i="4" a="1"/>
  <c r="E402" i="4"/>
  <c r="E403" i="4" a="1"/>
  <c r="E403" i="4" s="1"/>
  <c r="E404" i="4" a="1"/>
  <c r="E404" i="4" s="1"/>
  <c r="E405" i="4" a="1"/>
  <c r="E405" i="4"/>
  <c r="E406" i="4" a="1"/>
  <c r="E406" i="4"/>
  <c r="E407" i="4" a="1"/>
  <c r="E407" i="4" s="1"/>
  <c r="E408" i="4" a="1"/>
  <c r="E408" i="4" s="1"/>
  <c r="E409" i="4" a="1"/>
  <c r="E409" i="4"/>
  <c r="E410" i="4" a="1"/>
  <c r="E410" i="4"/>
  <c r="E411" i="4" a="1"/>
  <c r="E411" i="4" s="1"/>
  <c r="E412" i="4" a="1"/>
  <c r="E412" i="4" s="1"/>
  <c r="E413" i="4" a="1"/>
  <c r="E413" i="4"/>
  <c r="E414" i="4" a="1"/>
  <c r="E414" i="4"/>
  <c r="E415" i="4" a="1"/>
  <c r="E415" i="4" s="1"/>
  <c r="E416" i="4" a="1"/>
  <c r="E416" i="4" s="1"/>
  <c r="E417" i="4" a="1"/>
  <c r="E417" i="4"/>
  <c r="E418" i="4" a="1"/>
  <c r="E418" i="4" s="1"/>
  <c r="E419" i="4" a="1"/>
  <c r="E419" i="4" s="1"/>
  <c r="E420" i="4" a="1"/>
  <c r="E420" i="4" s="1"/>
  <c r="E421" i="4" a="1"/>
  <c r="E421" i="4"/>
  <c r="E422" i="4" a="1"/>
  <c r="E422" i="4"/>
  <c r="E423" i="4" a="1"/>
  <c r="E423" i="4" s="1"/>
  <c r="E424" i="4" a="1"/>
  <c r="E424" i="4" s="1"/>
  <c r="E425" i="4" a="1"/>
  <c r="E425" i="4"/>
  <c r="E426" i="4" a="1"/>
  <c r="E426" i="4"/>
  <c r="E427" i="4" a="1"/>
  <c r="E427" i="4" s="1"/>
  <c r="E428" i="4" a="1"/>
  <c r="E428" i="4" s="1"/>
  <c r="E429" i="4" a="1"/>
  <c r="E429" i="4" s="1"/>
  <c r="E430" i="4" a="1"/>
  <c r="E430" i="4"/>
  <c r="E431" i="4" a="1"/>
  <c r="E431" i="4" s="1"/>
  <c r="E432" i="4" a="1"/>
  <c r="E432" i="4" s="1"/>
  <c r="E433" i="4" a="1"/>
  <c r="E433" i="4"/>
  <c r="E434" i="4" a="1"/>
  <c r="E434" i="4" s="1"/>
  <c r="E435" i="4" a="1"/>
  <c r="E435" i="4" s="1"/>
  <c r="E436" i="4" a="1"/>
  <c r="E436" i="4" s="1"/>
  <c r="E437" i="4" a="1"/>
  <c r="E437" i="4"/>
  <c r="E438" i="4" a="1"/>
  <c r="E438" i="4"/>
  <c r="E439" i="4" a="1"/>
  <c r="E439" i="4" s="1"/>
  <c r="E440" i="4" a="1"/>
  <c r="E440" i="4" s="1"/>
  <c r="E441" i="4" a="1"/>
  <c r="E441" i="4"/>
  <c r="E442" i="4" a="1"/>
  <c r="E442" i="4"/>
  <c r="E443" i="4" a="1"/>
  <c r="E443" i="4" s="1"/>
  <c r="E444" i="4" a="1"/>
  <c r="E444" i="4" s="1"/>
  <c r="E445" i="4" a="1"/>
  <c r="E445" i="4" s="1"/>
  <c r="E446" i="4" a="1"/>
  <c r="E446" i="4"/>
  <c r="E447" i="4" a="1"/>
  <c r="E447" i="4" s="1"/>
  <c r="E448" i="4" a="1"/>
  <c r="E448" i="4" s="1"/>
  <c r="E449" i="4" a="1"/>
  <c r="E449" i="4"/>
  <c r="E450" i="4" a="1"/>
  <c r="E450" i="4" s="1"/>
  <c r="E451" i="4" a="1"/>
  <c r="E451" i="4" s="1"/>
  <c r="E452" i="4" a="1"/>
  <c r="E452" i="4" s="1"/>
  <c r="E453" i="4" a="1"/>
  <c r="E453" i="4"/>
  <c r="E454" i="4" a="1"/>
  <c r="E454" i="4"/>
  <c r="E455" i="4" a="1"/>
  <c r="E455" i="4" s="1"/>
  <c r="E456" i="4" a="1"/>
  <c r="E456" i="4" s="1"/>
  <c r="E457" i="4" a="1"/>
  <c r="E457" i="4"/>
  <c r="E458" i="4" a="1"/>
  <c r="E458" i="4"/>
  <c r="E459" i="4" a="1"/>
  <c r="E459" i="4" s="1"/>
  <c r="E460" i="4" a="1"/>
  <c r="E460" i="4" s="1"/>
  <c r="E461" i="4" a="1"/>
  <c r="E461" i="4" s="1"/>
  <c r="E462" i="4" a="1"/>
  <c r="E462" i="4"/>
  <c r="E463" i="4" a="1"/>
  <c r="E463" i="4" s="1"/>
  <c r="E464" i="4" a="1"/>
  <c r="E464" i="4" s="1"/>
  <c r="E465" i="4" a="1"/>
  <c r="E465" i="4"/>
  <c r="E466" i="4" a="1"/>
  <c r="E466" i="4" s="1"/>
  <c r="E467" i="4" a="1"/>
  <c r="E467" i="4" s="1"/>
  <c r="E468" i="4" a="1"/>
  <c r="E468" i="4" s="1"/>
  <c r="E469" i="4" a="1"/>
  <c r="E469" i="4"/>
  <c r="E470" i="4" a="1"/>
  <c r="E470" i="4"/>
  <c r="E471" i="4" a="1"/>
  <c r="E471" i="4" s="1"/>
  <c r="E472" i="4" a="1"/>
  <c r="E472" i="4" s="1"/>
  <c r="E473" i="4" a="1"/>
  <c r="E473" i="4"/>
  <c r="E474" i="4" a="1"/>
  <c r="E474" i="4"/>
  <c r="E475" i="4" a="1"/>
  <c r="E475" i="4" s="1"/>
  <c r="E476" i="4" a="1"/>
  <c r="E476" i="4" s="1"/>
  <c r="E477" i="4" a="1"/>
  <c r="E477" i="4" s="1"/>
  <c r="E478" i="4" a="1"/>
  <c r="E478" i="4"/>
  <c r="E479" i="4" a="1"/>
  <c r="E479" i="4" s="1"/>
  <c r="E480" i="4" a="1"/>
  <c r="E480" i="4" s="1"/>
  <c r="E481" i="4" a="1"/>
  <c r="E481" i="4"/>
  <c r="E482" i="4" a="1"/>
  <c r="E482" i="4" s="1"/>
  <c r="E483" i="4" a="1"/>
  <c r="E483" i="4" s="1"/>
  <c r="E484" i="4" a="1"/>
  <c r="E484" i="4" s="1"/>
  <c r="E485" i="4" a="1"/>
  <c r="E485" i="4"/>
  <c r="E486" i="4" a="1"/>
  <c r="E486" i="4"/>
  <c r="E487" i="4" a="1"/>
  <c r="E487" i="4" s="1"/>
  <c r="E488" i="4" a="1"/>
  <c r="E488" i="4" s="1"/>
  <c r="E489" i="4" a="1"/>
  <c r="E489" i="4"/>
  <c r="E490" i="4" a="1"/>
  <c r="E490" i="4"/>
  <c r="E491" i="4" a="1"/>
  <c r="E491" i="4" s="1"/>
  <c r="E492" i="4" a="1"/>
  <c r="E492" i="4" s="1"/>
  <c r="E493" i="4" a="1"/>
  <c r="E493" i="4" s="1"/>
  <c r="E494" i="4" a="1"/>
  <c r="E494" i="4"/>
  <c r="E495" i="4" a="1"/>
  <c r="E495" i="4" s="1"/>
  <c r="E496" i="4" a="1"/>
  <c r="E496" i="4" s="1"/>
  <c r="E497" i="4" a="1"/>
  <c r="E497" i="4"/>
  <c r="E498" i="4" a="1"/>
  <c r="E498" i="4" s="1"/>
  <c r="E499" i="4" a="1"/>
  <c r="E499" i="4" s="1"/>
  <c r="E500" i="4" a="1"/>
  <c r="E500" i="4" s="1"/>
  <c r="E501" i="4" a="1"/>
  <c r="E501" i="4"/>
  <c r="E502" i="4" a="1"/>
  <c r="E502" i="4"/>
  <c r="E503" i="4" a="1"/>
  <c r="E503" i="4" s="1"/>
  <c r="E504" i="4" a="1"/>
  <c r="E504" i="4" s="1"/>
  <c r="E505" i="4" a="1"/>
  <c r="E505" i="4"/>
  <c r="E506" i="4" a="1"/>
  <c r="E506" i="4"/>
  <c r="E507" i="4" a="1"/>
  <c r="E507" i="4" s="1"/>
  <c r="E508" i="4" a="1"/>
  <c r="E508" i="4" s="1"/>
  <c r="E509" i="4" a="1"/>
  <c r="E509" i="4" s="1"/>
  <c r="E510" i="4" a="1"/>
  <c r="E510" i="4"/>
  <c r="E511" i="4" a="1"/>
  <c r="E511" i="4" s="1"/>
  <c r="E512" i="4" a="1"/>
  <c r="E512" i="4" s="1"/>
  <c r="E513" i="4" a="1"/>
  <c r="E513" i="4"/>
  <c r="E514" i="4" a="1"/>
  <c r="E514" i="4" s="1"/>
  <c r="E515" i="4" a="1"/>
  <c r="E515" i="4" s="1"/>
  <c r="E516" i="4" a="1"/>
  <c r="E516" i="4" s="1"/>
  <c r="E517" i="4" a="1"/>
  <c r="E517" i="4"/>
  <c r="E518" i="4" a="1"/>
  <c r="E518" i="4" s="1"/>
  <c r="E519" i="4" a="1"/>
  <c r="E519" i="4" s="1"/>
  <c r="E520" i="4" a="1"/>
  <c r="E520" i="4" s="1"/>
  <c r="E521" i="4" a="1"/>
  <c r="E521" i="4"/>
  <c r="E522" i="4" a="1"/>
  <c r="E522" i="4"/>
  <c r="E523" i="4" a="1"/>
  <c r="E523" i="4" s="1"/>
  <c r="E524" i="4" a="1"/>
  <c r="E524" i="4" s="1"/>
  <c r="E525" i="4" a="1"/>
  <c r="E525" i="4" s="1"/>
  <c r="E526" i="4" a="1"/>
  <c r="E526" i="4"/>
  <c r="E527" i="4" a="1"/>
  <c r="E527" i="4" s="1"/>
  <c r="E528" i="4" a="1"/>
  <c r="E528" i="4" s="1"/>
  <c r="E529" i="4" a="1"/>
  <c r="E529" i="4"/>
  <c r="E530" i="4" a="1"/>
  <c r="E530" i="4" s="1"/>
  <c r="E531" i="4" a="1"/>
  <c r="E531" i="4" s="1"/>
  <c r="E532" i="4" a="1"/>
  <c r="E532" i="4" s="1"/>
  <c r="E533" i="4" a="1"/>
  <c r="E533" i="4"/>
  <c r="E534" i="4" a="1"/>
  <c r="E534" i="4" s="1"/>
  <c r="E535" i="4" a="1"/>
  <c r="E535" i="4" s="1"/>
  <c r="E536" i="4" a="1"/>
  <c r="E536" i="4" s="1"/>
  <c r="E537" i="4" a="1"/>
  <c r="E537" i="4"/>
  <c r="E538" i="4" a="1"/>
  <c r="E538" i="4"/>
  <c r="E539" i="4" a="1"/>
  <c r="E539" i="4" s="1"/>
  <c r="E540" i="4" a="1"/>
  <c r="E540" i="4" s="1"/>
  <c r="E541" i="4" a="1"/>
  <c r="E541" i="4"/>
  <c r="E542" i="4" a="1"/>
  <c r="E542" i="4" s="1"/>
  <c r="E543" i="4" a="1"/>
  <c r="E543" i="4" s="1"/>
  <c r="E544" i="4" a="1"/>
  <c r="E544" i="4" s="1"/>
  <c r="E545" i="4" a="1"/>
  <c r="E545" i="4"/>
  <c r="E546" i="4" a="1"/>
  <c r="E546" i="4" s="1"/>
  <c r="E547" i="4" a="1"/>
  <c r="E547" i="4" s="1"/>
  <c r="E548" i="4" a="1"/>
  <c r="E548" i="4" s="1"/>
  <c r="E549" i="4" a="1"/>
  <c r="E549" i="4"/>
  <c r="E550" i="4" a="1"/>
  <c r="E550" i="4" s="1"/>
  <c r="E551" i="4" a="1"/>
  <c r="E551" i="4" s="1"/>
  <c r="E552" i="4" a="1"/>
  <c r="E552" i="4" s="1"/>
  <c r="E553" i="4" a="1"/>
  <c r="E553" i="4"/>
  <c r="E554" i="4" a="1"/>
  <c r="E554" i="4" s="1"/>
  <c r="E555" i="4" a="1"/>
  <c r="E555" i="4" s="1"/>
  <c r="E556" i="4" a="1"/>
  <c r="E556" i="4" s="1"/>
  <c r="E557" i="4" a="1"/>
  <c r="E557" i="4"/>
  <c r="E558" i="4" a="1"/>
  <c r="E558" i="4" s="1"/>
  <c r="E559" i="4" a="1"/>
  <c r="E559" i="4" s="1"/>
  <c r="E560" i="4" a="1"/>
  <c r="E560" i="4" s="1"/>
  <c r="E561" i="4" a="1"/>
  <c r="E561" i="4"/>
  <c r="E562" i="4" a="1"/>
  <c r="E562" i="4" s="1"/>
  <c r="E563" i="4" a="1"/>
  <c r="E563" i="4" s="1"/>
  <c r="E564" i="4" a="1"/>
  <c r="E564" i="4" s="1"/>
  <c r="E565" i="4" a="1"/>
  <c r="E565" i="4"/>
  <c r="E566" i="4" a="1"/>
  <c r="E566" i="4" s="1"/>
  <c r="E567" i="4" a="1"/>
  <c r="E567" i="4" s="1"/>
  <c r="E568" i="4" a="1"/>
  <c r="E568" i="4" s="1"/>
  <c r="E569" i="4" a="1"/>
  <c r="E569" i="4"/>
  <c r="E570" i="4" a="1"/>
  <c r="E570" i="4" s="1"/>
  <c r="E571" i="4" a="1"/>
  <c r="E571" i="4" s="1"/>
  <c r="E572" i="4" a="1"/>
  <c r="E572" i="4" s="1"/>
  <c r="E573" i="4" a="1"/>
  <c r="E573" i="4"/>
  <c r="E574" i="4" a="1"/>
  <c r="E574" i="4" s="1"/>
  <c r="E575" i="4" a="1"/>
  <c r="E575" i="4" s="1"/>
  <c r="E576" i="4" a="1"/>
  <c r="E576" i="4" s="1"/>
  <c r="E577" i="4" a="1"/>
  <c r="E577" i="4"/>
  <c r="E578" i="4" a="1"/>
  <c r="E578" i="4" s="1"/>
  <c r="E579" i="4" a="1"/>
  <c r="E579" i="4" s="1"/>
  <c r="E580" i="4" a="1"/>
  <c r="E580" i="4" s="1"/>
  <c r="E581" i="4" a="1"/>
  <c r="E581" i="4"/>
  <c r="E582" i="4" a="1"/>
  <c r="E582" i="4" s="1"/>
  <c r="E583" i="4" a="1"/>
  <c r="E583" i="4" s="1"/>
  <c r="E584" i="4" a="1"/>
  <c r="E584" i="4" s="1"/>
  <c r="E585" i="4" a="1"/>
  <c r="E585" i="4"/>
  <c r="E586" i="4" a="1"/>
  <c r="E586" i="4" s="1"/>
  <c r="E587" i="4" a="1"/>
  <c r="E587" i="4" s="1"/>
  <c r="E588" i="4" a="1"/>
  <c r="E588" i="4" s="1"/>
  <c r="E589" i="4" a="1"/>
  <c r="E589" i="4"/>
  <c r="E590" i="4" a="1"/>
  <c r="E590" i="4" s="1"/>
  <c r="E591" i="4" a="1"/>
  <c r="E591" i="4" s="1"/>
  <c r="E592" i="4" a="1"/>
  <c r="E592" i="4" s="1"/>
  <c r="E593" i="4" a="1"/>
  <c r="E593" i="4"/>
  <c r="E594" i="4" a="1"/>
  <c r="E594" i="4" s="1"/>
  <c r="E595" i="4" a="1"/>
  <c r="E595" i="4" s="1"/>
  <c r="E596" i="4" a="1"/>
  <c r="E596" i="4" s="1"/>
  <c r="E597" i="4" a="1"/>
  <c r="E597" i="4"/>
  <c r="E598" i="4" a="1"/>
  <c r="E598" i="4" s="1"/>
  <c r="E599" i="4" a="1"/>
  <c r="E599" i="4" s="1"/>
  <c r="E600" i="4" a="1"/>
  <c r="E600" i="4" s="1"/>
  <c r="E601" i="4" a="1"/>
  <c r="E601" i="4"/>
  <c r="E602" i="4" a="1"/>
  <c r="E602" i="4" s="1"/>
  <c r="E603" i="4" a="1"/>
  <c r="E603" i="4" s="1"/>
  <c r="E604" i="4" a="1"/>
  <c r="E604" i="4" s="1"/>
  <c r="E605" i="4" a="1"/>
  <c r="E605" i="4"/>
  <c r="E606" i="4" a="1"/>
  <c r="E606" i="4" s="1"/>
  <c r="E607" i="4" a="1"/>
  <c r="E607" i="4" s="1"/>
  <c r="E608" i="4" a="1"/>
  <c r="E608" i="4" s="1"/>
  <c r="E609" i="4" a="1"/>
  <c r="E609" i="4"/>
  <c r="E610" i="4" a="1"/>
  <c r="E610" i="4" s="1"/>
  <c r="E611" i="4" a="1"/>
  <c r="E611" i="4" s="1"/>
  <c r="E612" i="4" a="1"/>
  <c r="E612" i="4" s="1"/>
  <c r="E613" i="4" a="1"/>
  <c r="E613" i="4"/>
  <c r="E614" i="4" a="1"/>
  <c r="E614" i="4" s="1"/>
  <c r="E615" i="4" a="1"/>
  <c r="E615" i="4" s="1"/>
  <c r="E616" i="4" a="1"/>
  <c r="E616" i="4" s="1"/>
  <c r="E617" i="4" a="1"/>
  <c r="E617" i="4"/>
  <c r="E618" i="4" a="1"/>
  <c r="E618" i="4" s="1"/>
  <c r="E619" i="4" a="1"/>
  <c r="E619" i="4" s="1"/>
  <c r="E620" i="4" a="1"/>
  <c r="E620" i="4" s="1"/>
  <c r="E621" i="4" a="1"/>
  <c r="E621" i="4"/>
  <c r="E622" i="4" a="1"/>
  <c r="E622" i="4" s="1"/>
  <c r="E623" i="4" a="1"/>
  <c r="E623" i="4" s="1"/>
  <c r="E624" i="4" a="1"/>
  <c r="E624" i="4" s="1"/>
  <c r="E625" i="4" a="1"/>
  <c r="E625" i="4"/>
  <c r="E626" i="4" a="1"/>
  <c r="E626" i="4" s="1"/>
  <c r="E627" i="4" a="1"/>
  <c r="E627" i="4" s="1"/>
  <c r="E628" i="4" a="1"/>
  <c r="E628" i="4" s="1"/>
  <c r="E629" i="4" a="1"/>
  <c r="E629" i="4" s="1"/>
  <c r="E630" i="4" a="1"/>
  <c r="E630" i="4" s="1"/>
  <c r="E631" i="4" a="1"/>
  <c r="E631" i="4" s="1"/>
  <c r="E632" i="4" a="1"/>
  <c r="E632" i="4" s="1"/>
  <c r="E633" i="4" a="1"/>
  <c r="E633" i="4" s="1"/>
  <c r="E634" i="4" a="1"/>
  <c r="E634" i="4" s="1"/>
  <c r="E635" i="4" a="1"/>
  <c r="E635" i="4" s="1"/>
  <c r="E636" i="4" a="1"/>
  <c r="E636" i="4" s="1"/>
  <c r="E637" i="4" a="1"/>
  <c r="E637" i="4" s="1"/>
  <c r="E638" i="4" a="1"/>
  <c r="E638" i="4" s="1"/>
  <c r="E639" i="4" a="1"/>
  <c r="E639" i="4" s="1"/>
  <c r="E640" i="4" a="1"/>
  <c r="E640" i="4" s="1"/>
  <c r="E641" i="4" a="1"/>
  <c r="E641" i="4" s="1"/>
  <c r="E642" i="4" a="1"/>
  <c r="E642" i="4" s="1"/>
  <c r="E643" i="4" a="1"/>
  <c r="E643" i="4" s="1"/>
  <c r="E644" i="4" a="1"/>
  <c r="E644" i="4" s="1"/>
  <c r="E645" i="4" a="1"/>
  <c r="E645" i="4" s="1"/>
  <c r="E646" i="4" a="1"/>
  <c r="E646" i="4" s="1"/>
  <c r="E647" i="4" a="1"/>
  <c r="E647" i="4" s="1"/>
  <c r="E648" i="4" a="1"/>
  <c r="E648" i="4" s="1"/>
  <c r="E649" i="4" a="1"/>
  <c r="E649" i="4" s="1"/>
  <c r="E650" i="4" a="1"/>
  <c r="E650" i="4" s="1"/>
  <c r="E651" i="4" a="1"/>
  <c r="E651" i="4" s="1"/>
  <c r="E652" i="4" a="1"/>
  <c r="E652" i="4" s="1"/>
  <c r="E653" i="4" a="1"/>
  <c r="E653" i="4" s="1"/>
  <c r="E654" i="4" a="1"/>
  <c r="E654" i="4" s="1"/>
  <c r="E655" i="4" a="1"/>
  <c r="E655" i="4" s="1"/>
  <c r="E656" i="4" a="1"/>
  <c r="E656" i="4" s="1"/>
  <c r="E657" i="4" a="1"/>
  <c r="E657" i="4" s="1"/>
  <c r="E658" i="4" a="1"/>
  <c r="E658" i="4" s="1"/>
  <c r="E659" i="4" a="1"/>
  <c r="E659" i="4" s="1"/>
  <c r="E660" i="4" a="1"/>
  <c r="E660" i="4" s="1"/>
  <c r="E661" i="4" a="1"/>
  <c r="E661" i="4" s="1"/>
  <c r="E662" i="4" a="1"/>
  <c r="E662" i="4" s="1"/>
  <c r="E663" i="4" a="1"/>
  <c r="E663" i="4" s="1"/>
  <c r="E664" i="4" a="1"/>
  <c r="E664" i="4" s="1"/>
  <c r="E665" i="4" a="1"/>
  <c r="E665" i="4" s="1"/>
  <c r="E666" i="4" a="1"/>
  <c r="E666" i="4" s="1"/>
  <c r="E667" i="4" a="1"/>
  <c r="E667" i="4" s="1"/>
  <c r="E668" i="4" a="1"/>
  <c r="E668" i="4" s="1"/>
  <c r="E669" i="4" a="1"/>
  <c r="E669" i="4" s="1"/>
  <c r="E670" i="4" a="1"/>
  <c r="E670" i="4" s="1"/>
  <c r="E671" i="4" a="1"/>
  <c r="E671" i="4" s="1"/>
  <c r="E672" i="4" a="1"/>
  <c r="E672" i="4" s="1"/>
  <c r="E673" i="4" a="1"/>
  <c r="E673" i="4" s="1"/>
  <c r="E674" i="4" a="1"/>
  <c r="E674" i="4" s="1"/>
  <c r="E675" i="4" a="1"/>
  <c r="E675" i="4" s="1"/>
  <c r="E676" i="4" a="1"/>
  <c r="E676" i="4" s="1"/>
  <c r="E677" i="4" a="1"/>
  <c r="E677" i="4" s="1"/>
  <c r="E678" i="4" a="1"/>
  <c r="E678" i="4" s="1"/>
  <c r="E679" i="4" a="1"/>
  <c r="E679" i="4" s="1"/>
  <c r="E680" i="4" a="1"/>
  <c r="E680" i="4" s="1"/>
  <c r="E681" i="4" a="1"/>
  <c r="E681" i="4" s="1"/>
  <c r="E682" i="4" a="1"/>
  <c r="E682" i="4" s="1"/>
  <c r="E683" i="4" a="1"/>
  <c r="E683" i="4" s="1"/>
  <c r="E684" i="4" a="1"/>
  <c r="E684" i="4" s="1"/>
  <c r="E685" i="4" a="1"/>
  <c r="E685" i="4" s="1"/>
  <c r="E686" i="4" a="1"/>
  <c r="E686" i="4" s="1"/>
  <c r="E687" i="4" a="1"/>
  <c r="E687" i="4" s="1"/>
  <c r="E688" i="4" a="1"/>
  <c r="E688" i="4" s="1"/>
  <c r="E689" i="4" a="1"/>
  <c r="E689" i="4" s="1"/>
  <c r="E690" i="4" a="1"/>
  <c r="E690" i="4" s="1"/>
  <c r="E691" i="4" a="1"/>
  <c r="E691" i="4" s="1"/>
  <c r="E692" i="4" a="1"/>
  <c r="E692" i="4" s="1"/>
  <c r="E693" i="4" a="1"/>
  <c r="E693" i="4" s="1"/>
  <c r="E694" i="4" a="1"/>
  <c r="E694" i="4" s="1"/>
  <c r="E695" i="4" a="1"/>
  <c r="E695" i="4" s="1"/>
  <c r="E696" i="4" a="1"/>
  <c r="E696" i="4" s="1"/>
  <c r="E697" i="4" a="1"/>
  <c r="E697" i="4" s="1"/>
  <c r="E698" i="4" a="1"/>
  <c r="E698" i="4" s="1"/>
  <c r="E699" i="4" a="1"/>
  <c r="E699" i="4" s="1"/>
  <c r="E700" i="4" a="1"/>
  <c r="E700" i="4" s="1"/>
  <c r="E701" i="4" a="1"/>
  <c r="E701" i="4" s="1"/>
  <c r="E702" i="4" a="1"/>
  <c r="E702" i="4" s="1"/>
  <c r="E703" i="4" a="1"/>
  <c r="E703" i="4" s="1"/>
  <c r="E704" i="4" a="1"/>
  <c r="E704" i="4" s="1"/>
  <c r="E705" i="4" a="1"/>
  <c r="E705" i="4" s="1"/>
  <c r="E706" i="4" a="1"/>
  <c r="E706" i="4" s="1"/>
  <c r="E707" i="4" a="1"/>
  <c r="E707" i="4" s="1"/>
  <c r="E708" i="4" a="1"/>
  <c r="E708" i="4" s="1"/>
  <c r="E709" i="4" a="1"/>
  <c r="E709" i="4" s="1"/>
  <c r="E710" i="4" a="1"/>
  <c r="E710" i="4" s="1"/>
  <c r="E711" i="4" a="1"/>
  <c r="E711" i="4" s="1"/>
  <c r="E712" i="4" a="1"/>
  <c r="E712" i="4" s="1"/>
  <c r="E713" i="4" a="1"/>
  <c r="E713" i="4" s="1"/>
  <c r="E714" i="4" a="1"/>
  <c r="E714" i="4" s="1"/>
  <c r="E715" i="4" a="1"/>
  <c r="E715" i="4" s="1"/>
  <c r="E716" i="4" a="1"/>
  <c r="E716" i="4" s="1"/>
  <c r="E717" i="4" a="1"/>
  <c r="E717" i="4" s="1"/>
  <c r="E718" i="4" a="1"/>
  <c r="E718" i="4" s="1"/>
  <c r="E719" i="4" a="1"/>
  <c r="E719" i="4" s="1"/>
  <c r="E720" i="4" a="1"/>
  <c r="E720" i="4" s="1"/>
  <c r="E721" i="4" a="1"/>
  <c r="E721" i="4" s="1"/>
  <c r="E722" i="4" a="1"/>
  <c r="E722" i="4" s="1"/>
  <c r="E723" i="4" a="1"/>
  <c r="E723" i="4" s="1"/>
  <c r="E724" i="4" a="1"/>
  <c r="E724" i="4" s="1"/>
  <c r="E725" i="4" a="1"/>
  <c r="E725" i="4" s="1"/>
  <c r="E726" i="4" a="1"/>
  <c r="E726" i="4" s="1"/>
  <c r="E727" i="4" a="1"/>
  <c r="E727" i="4" s="1"/>
  <c r="E728" i="4" a="1"/>
  <c r="E728" i="4" s="1"/>
  <c r="E729" i="4" a="1"/>
  <c r="E729" i="4" s="1"/>
  <c r="E730" i="4" a="1"/>
  <c r="E730" i="4" s="1"/>
  <c r="E731" i="4" a="1"/>
  <c r="E731" i="4" s="1"/>
  <c r="E732" i="4" a="1"/>
  <c r="E732" i="4" s="1"/>
  <c r="E733" i="4" a="1"/>
  <c r="E733" i="4" s="1"/>
  <c r="E734" i="4" a="1"/>
  <c r="E734" i="4" s="1"/>
  <c r="E735" i="4" a="1"/>
  <c r="E735" i="4" s="1"/>
  <c r="E736" i="4" a="1"/>
  <c r="E736" i="4" s="1"/>
  <c r="E737" i="4" a="1"/>
  <c r="E737" i="4" s="1"/>
  <c r="E738" i="4" a="1"/>
  <c r="E738" i="4" s="1"/>
  <c r="E739" i="4" a="1"/>
  <c r="E739" i="4" s="1"/>
  <c r="E740" i="4" a="1"/>
  <c r="E740" i="4" s="1"/>
  <c r="E741" i="4" a="1"/>
  <c r="E741" i="4" s="1"/>
  <c r="E742" i="4" a="1"/>
  <c r="E742" i="4" s="1"/>
  <c r="E743" i="4" a="1"/>
  <c r="E743" i="4" s="1"/>
  <c r="E744" i="4" a="1"/>
  <c r="E744" i="4" s="1"/>
  <c r="E745" i="4" a="1"/>
  <c r="E745" i="4" s="1"/>
  <c r="E746" i="4" a="1"/>
  <c r="E746" i="4" s="1"/>
  <c r="E747" i="4" a="1"/>
  <c r="E747" i="4" s="1"/>
  <c r="E748" i="4" a="1"/>
  <c r="E748" i="4" s="1"/>
  <c r="E749" i="4" a="1"/>
  <c r="E749" i="4"/>
  <c r="E750" i="4" a="1"/>
  <c r="E750" i="4" s="1"/>
  <c r="E751" i="4" a="1"/>
  <c r="E751" i="4" s="1"/>
  <c r="E752" i="4" a="1"/>
  <c r="E752" i="4" s="1"/>
  <c r="E753" i="4" a="1"/>
  <c r="E753" i="4"/>
  <c r="E754" i="4" a="1"/>
  <c r="E754" i="4" s="1"/>
  <c r="E755" i="4" a="1"/>
  <c r="E755" i="4" s="1"/>
  <c r="E756" i="4" a="1"/>
  <c r="E756" i="4" s="1"/>
  <c r="E757" i="4" a="1"/>
  <c r="E757" i="4"/>
  <c r="E758" i="4" a="1"/>
  <c r="E758" i="4" s="1"/>
  <c r="E759" i="4" a="1"/>
  <c r="E759" i="4" s="1"/>
  <c r="E760" i="4" a="1"/>
  <c r="E760" i="4" s="1"/>
  <c r="E761" i="4" a="1"/>
  <c r="E761" i="4" s="1"/>
  <c r="E762" i="4" a="1"/>
  <c r="E762" i="4" s="1"/>
  <c r="E763" i="4" a="1"/>
  <c r="E763" i="4" s="1"/>
  <c r="E764" i="4" a="1"/>
  <c r="E764" i="4" s="1"/>
  <c r="E765" i="4" a="1"/>
  <c r="E765" i="4"/>
  <c r="E766" i="4" a="1"/>
  <c r="E766" i="4" s="1"/>
  <c r="E767" i="4" a="1"/>
  <c r="E767" i="4" s="1"/>
  <c r="E768" i="4" a="1"/>
  <c r="E768" i="4" s="1"/>
  <c r="E769" i="4" a="1"/>
  <c r="E769" i="4" s="1"/>
  <c r="E770" i="4" a="1"/>
  <c r="E770" i="4" s="1"/>
  <c r="E771" i="4" a="1"/>
  <c r="E771" i="4" s="1"/>
  <c r="E772" i="4" a="1"/>
  <c r="E772" i="4" s="1"/>
  <c r="E773" i="4" a="1"/>
  <c r="E773" i="4" s="1"/>
  <c r="E774" i="4" a="1"/>
  <c r="E774" i="4" s="1"/>
  <c r="E775" i="4" a="1"/>
  <c r="E775" i="4" s="1"/>
  <c r="E776" i="4" a="1"/>
  <c r="E776" i="4" s="1"/>
  <c r="E777" i="4" a="1"/>
  <c r="E777" i="4" s="1"/>
  <c r="E778" i="4" a="1"/>
  <c r="E778" i="4" s="1"/>
  <c r="E779" i="4" a="1"/>
  <c r="E779" i="4" s="1"/>
  <c r="E780" i="4" a="1"/>
  <c r="E780" i="4" s="1"/>
  <c r="E781" i="4" a="1"/>
  <c r="E781" i="4"/>
  <c r="E782" i="4" a="1"/>
  <c r="E782" i="4" s="1"/>
  <c r="E783" i="4" a="1"/>
  <c r="E783" i="4" s="1"/>
  <c r="E784" i="4" a="1"/>
  <c r="E784" i="4" s="1"/>
  <c r="E785" i="4" a="1"/>
  <c r="E785" i="4"/>
  <c r="E786" i="4" a="1"/>
  <c r="E786" i="4" s="1"/>
  <c r="E787" i="4" a="1"/>
  <c r="E787" i="4" s="1"/>
  <c r="E788" i="4" a="1"/>
  <c r="E788" i="4" s="1"/>
  <c r="E789" i="4" a="1"/>
  <c r="E789" i="4"/>
  <c r="E790" i="4" a="1"/>
  <c r="E790" i="4" s="1"/>
  <c r="E791" i="4" a="1"/>
  <c r="E791" i="4" s="1"/>
  <c r="E792" i="4" a="1"/>
  <c r="E792" i="4" s="1"/>
  <c r="E793" i="4" a="1"/>
  <c r="E793" i="4" s="1"/>
  <c r="E794" i="4" a="1"/>
  <c r="E794" i="4" s="1"/>
  <c r="E795" i="4" a="1"/>
  <c r="E795" i="4" s="1"/>
  <c r="E796" i="4" a="1"/>
  <c r="E796" i="4" s="1"/>
  <c r="E797" i="4" a="1"/>
  <c r="E797" i="4"/>
  <c r="E798" i="4" a="1"/>
  <c r="E798" i="4" s="1"/>
  <c r="E799" i="4" a="1"/>
  <c r="E799" i="4" s="1"/>
  <c r="E800" i="4" a="1"/>
  <c r="E800" i="4" s="1"/>
  <c r="E801" i="4" a="1"/>
  <c r="E801" i="4" s="1"/>
  <c r="E802" i="4" a="1"/>
  <c r="E802" i="4" s="1"/>
  <c r="E803" i="4" a="1"/>
  <c r="E803" i="4" s="1"/>
  <c r="E804" i="4" a="1"/>
  <c r="E804" i="4" s="1"/>
  <c r="E805" i="4" a="1"/>
  <c r="E805" i="4" s="1"/>
  <c r="E806" i="4" a="1"/>
  <c r="E806" i="4" s="1"/>
  <c r="E807" i="4" a="1"/>
  <c r="E807" i="4" s="1"/>
  <c r="E808" i="4" a="1"/>
  <c r="E808" i="4" s="1"/>
  <c r="E809" i="4" a="1"/>
  <c r="E809" i="4" s="1"/>
  <c r="E810" i="4" a="1"/>
  <c r="E810" i="4" s="1"/>
  <c r="E811" i="4" a="1"/>
  <c r="E811" i="4" s="1"/>
  <c r="E812" i="4" a="1"/>
  <c r="E812" i="4" s="1"/>
  <c r="E813" i="4" a="1"/>
  <c r="E813" i="4"/>
  <c r="E814" i="4" a="1"/>
  <c r="E814" i="4" s="1"/>
  <c r="E815" i="4" a="1"/>
  <c r="E815" i="4" s="1"/>
  <c r="E816" i="4" a="1"/>
  <c r="E816" i="4" s="1"/>
  <c r="E817" i="4" a="1"/>
  <c r="E817" i="4"/>
  <c r="E818" i="4" a="1"/>
  <c r="E818" i="4" s="1"/>
  <c r="E819" i="4" a="1"/>
  <c r="E819" i="4" s="1"/>
  <c r="E820" i="4" a="1"/>
  <c r="E820" i="4" s="1"/>
  <c r="E821" i="4" a="1"/>
  <c r="E821" i="4"/>
  <c r="E822" i="4" a="1"/>
  <c r="E822" i="4" s="1"/>
  <c r="E823" i="4" a="1"/>
  <c r="E823" i="4" s="1"/>
  <c r="E824" i="4" a="1"/>
  <c r="E824" i="4" s="1"/>
  <c r="E825" i="4" a="1"/>
  <c r="E825" i="4" s="1"/>
  <c r="E826" i="4" a="1"/>
  <c r="E826" i="4" s="1"/>
  <c r="E827" i="4" a="1"/>
  <c r="E827" i="4" s="1"/>
  <c r="E828" i="4" a="1"/>
  <c r="E828" i="4" s="1"/>
  <c r="E829" i="4" a="1"/>
  <c r="E829" i="4" s="1"/>
  <c r="E830" i="4" a="1"/>
  <c r="E830" i="4" s="1"/>
  <c r="E831" i="4" a="1"/>
  <c r="E831" i="4" s="1"/>
  <c r="E832" i="4" a="1"/>
  <c r="E832" i="4" s="1"/>
  <c r="E833" i="4" a="1"/>
  <c r="E833" i="4" s="1"/>
  <c r="E834" i="4" a="1"/>
  <c r="E834" i="4" s="1"/>
  <c r="E835" i="4" a="1"/>
  <c r="E835" i="4" s="1"/>
  <c r="E836" i="4" a="1"/>
  <c r="E836" i="4" s="1"/>
  <c r="E837" i="4" a="1"/>
  <c r="E837" i="4" s="1"/>
  <c r="E838" i="4" a="1"/>
  <c r="E838" i="4" s="1"/>
  <c r="E839" i="4" a="1"/>
  <c r="E839" i="4" s="1"/>
  <c r="E840" i="4" a="1"/>
  <c r="E840" i="4" s="1"/>
  <c r="E841" i="4" a="1"/>
  <c r="E841" i="4" s="1"/>
  <c r="E842" i="4" a="1"/>
  <c r="E842" i="4" s="1"/>
  <c r="E843" i="4" a="1"/>
  <c r="E843" i="4" s="1"/>
  <c r="E844" i="4" a="1"/>
  <c r="E844" i="4" s="1"/>
  <c r="E845" i="4" a="1"/>
  <c r="E845" i="4"/>
  <c r="E846" i="4" a="1"/>
  <c r="E846" i="4" s="1"/>
  <c r="E847" i="4" a="1"/>
  <c r="E847" i="4" s="1"/>
  <c r="E848" i="4" a="1"/>
  <c r="E848" i="4" s="1"/>
  <c r="E849" i="4" a="1"/>
  <c r="E849" i="4"/>
  <c r="E850" i="4" a="1"/>
  <c r="E850" i="4" s="1"/>
  <c r="E851" i="4" a="1"/>
  <c r="E851" i="4" s="1"/>
  <c r="E852" i="4" a="1"/>
  <c r="E852" i="4" s="1"/>
  <c r="E853" i="4" a="1"/>
  <c r="E853" i="4"/>
  <c r="E854" i="4" a="1"/>
  <c r="E854" i="4" s="1"/>
  <c r="E855" i="4" a="1"/>
  <c r="E855" i="4" s="1"/>
  <c r="E856" i="4" a="1"/>
  <c r="E856" i="4" s="1"/>
  <c r="E857" i="4" a="1"/>
  <c r="E857" i="4"/>
  <c r="E858" i="4" a="1"/>
  <c r="E858" i="4" s="1"/>
  <c r="E859" i="4" a="1"/>
  <c r="E859" i="4" s="1"/>
  <c r="E860" i="4" a="1"/>
  <c r="E860" i="4"/>
  <c r="E861" i="4" a="1"/>
  <c r="E861" i="4" s="1"/>
  <c r="E862" i="4" a="1"/>
  <c r="E862" i="4" s="1"/>
  <c r="E863" i="4" a="1"/>
  <c r="E863" i="4" s="1"/>
  <c r="E864" i="4" a="1"/>
  <c r="E864" i="4"/>
  <c r="E865" i="4" a="1"/>
  <c r="E865" i="4" s="1"/>
  <c r="E866" i="4" a="1"/>
  <c r="E866" i="4" s="1"/>
  <c r="E867" i="4" a="1"/>
  <c r="E867" i="4" s="1"/>
  <c r="E868" i="4" a="1"/>
  <c r="E868" i="4"/>
  <c r="E869" i="4" a="1"/>
  <c r="E869" i="4" s="1"/>
  <c r="E870" i="4" a="1"/>
  <c r="E870" i="4" s="1"/>
  <c r="E871" i="4" a="1"/>
  <c r="E871" i="4" s="1"/>
  <c r="E872" i="4" a="1"/>
  <c r="E872" i="4"/>
  <c r="E873" i="4" a="1"/>
  <c r="E873" i="4" s="1"/>
  <c r="E874" i="4" a="1"/>
  <c r="E874" i="4" s="1"/>
  <c r="E875" i="4" a="1"/>
  <c r="E875" i="4" s="1"/>
  <c r="E876" i="4" a="1"/>
  <c r="E876" i="4"/>
  <c r="E877" i="4" a="1"/>
  <c r="E877" i="4" s="1"/>
  <c r="E878" i="4" a="1"/>
  <c r="E878" i="4" s="1"/>
  <c r="E879" i="4" a="1"/>
  <c r="E879" i="4" s="1"/>
  <c r="E880" i="4" a="1"/>
  <c r="E880" i="4"/>
  <c r="E881" i="4" a="1"/>
  <c r="E881" i="4" s="1"/>
  <c r="E882" i="4" a="1"/>
  <c r="E882" i="4" s="1"/>
  <c r="E883" i="4" a="1"/>
  <c r="E883" i="4" s="1"/>
  <c r="E884" i="4" a="1"/>
  <c r="E884" i="4"/>
  <c r="E885" i="4" a="1"/>
  <c r="E885" i="4" s="1"/>
  <c r="E886" i="4" a="1"/>
  <c r="E886" i="4" s="1"/>
  <c r="E887" i="4" a="1"/>
  <c r="E887" i="4" s="1"/>
  <c r="E888" i="4" a="1"/>
  <c r="E888" i="4"/>
  <c r="E889" i="4" a="1"/>
  <c r="E889" i="4" s="1"/>
  <c r="E890" i="4" a="1"/>
  <c r="E890" i="4" s="1"/>
  <c r="E891" i="4" a="1"/>
  <c r="E891" i="4" s="1"/>
  <c r="E892" i="4" a="1"/>
  <c r="E892" i="4"/>
  <c r="E893" i="4" a="1"/>
  <c r="E893" i="4" s="1"/>
  <c r="E894" i="4" a="1"/>
  <c r="E894" i="4" s="1"/>
  <c r="E895" i="4" a="1"/>
  <c r="E895" i="4" s="1"/>
  <c r="E896" i="4" a="1"/>
  <c r="E896" i="4"/>
  <c r="E897" i="4" a="1"/>
  <c r="E897" i="4" s="1"/>
  <c r="E898" i="4" a="1"/>
  <c r="E898" i="4" s="1"/>
  <c r="E899" i="4" a="1"/>
  <c r="E899" i="4" s="1"/>
  <c r="E900" i="4" a="1"/>
  <c r="E900" i="4"/>
  <c r="E901" i="4" a="1"/>
  <c r="E901" i="4" s="1"/>
  <c r="E902" i="4" a="1"/>
  <c r="E902" i="4" s="1"/>
  <c r="E903" i="4" a="1"/>
  <c r="E903" i="4" s="1"/>
  <c r="E904" i="4" a="1"/>
  <c r="E904" i="4"/>
  <c r="E905" i="4" a="1"/>
  <c r="E905" i="4" s="1"/>
  <c r="E906" i="4" a="1"/>
  <c r="E906" i="4" s="1"/>
  <c r="E907" i="4" a="1"/>
  <c r="E907" i="4" s="1"/>
  <c r="E908" i="4" a="1"/>
  <c r="E908" i="4"/>
  <c r="E909" i="4" a="1"/>
  <c r="E909" i="4" s="1"/>
  <c r="E910" i="4" a="1"/>
  <c r="E910" i="4" s="1"/>
  <c r="E911" i="4" a="1"/>
  <c r="E911" i="4" s="1"/>
  <c r="E912" i="4" a="1"/>
  <c r="E912" i="4"/>
  <c r="E913" i="4" a="1"/>
  <c r="E913" i="4" s="1"/>
  <c r="E914" i="4" a="1"/>
  <c r="E914" i="4" s="1"/>
  <c r="E915" i="4" a="1"/>
  <c r="E915" i="4" s="1"/>
  <c r="E916" i="4" a="1"/>
  <c r="E916" i="4"/>
  <c r="E917" i="4" a="1"/>
  <c r="E917" i="4" s="1"/>
  <c r="E918" i="4" a="1"/>
  <c r="E918" i="4" s="1"/>
  <c r="E919" i="4" a="1"/>
  <c r="E919" i="4" s="1"/>
  <c r="E920" i="4" a="1"/>
  <c r="E920" i="4"/>
  <c r="E921" i="4" a="1"/>
  <c r="E921" i="4" s="1"/>
  <c r="E922" i="4" a="1"/>
  <c r="E922" i="4" s="1"/>
  <c r="E923" i="4" a="1"/>
  <c r="E923" i="4" s="1"/>
  <c r="E924" i="4" a="1"/>
  <c r="E924" i="4"/>
  <c r="E925" i="4" a="1"/>
  <c r="E925" i="4" s="1"/>
  <c r="E926" i="4" a="1"/>
  <c r="E926" i="4" s="1"/>
  <c r="E927" i="4" a="1"/>
  <c r="E927" i="4" s="1"/>
  <c r="E928" i="4" a="1"/>
  <c r="E928" i="4"/>
  <c r="E929" i="4" a="1"/>
  <c r="E929" i="4" s="1"/>
  <c r="E930" i="4" a="1"/>
  <c r="E930" i="4" s="1"/>
  <c r="E931" i="4" a="1"/>
  <c r="E931" i="4" s="1"/>
  <c r="E932" i="4" a="1"/>
  <c r="E932" i="4"/>
  <c r="E933" i="4" a="1"/>
  <c r="E933" i="4" s="1"/>
  <c r="E934" i="4" a="1"/>
  <c r="E934" i="4" s="1"/>
  <c r="E935" i="4" a="1"/>
  <c r="E935" i="4" s="1"/>
  <c r="E936" i="4" a="1"/>
  <c r="E936" i="4"/>
  <c r="E937" i="4" a="1"/>
  <c r="E937" i="4" s="1"/>
  <c r="E938" i="4" a="1"/>
  <c r="E938" i="4" s="1"/>
  <c r="E939" i="4" a="1"/>
  <c r="E939" i="4" s="1"/>
  <c r="E940" i="4" a="1"/>
  <c r="E940" i="4"/>
  <c r="E941" i="4" a="1"/>
  <c r="E941" i="4" s="1"/>
  <c r="E942" i="4" a="1"/>
  <c r="E942" i="4" s="1"/>
  <c r="E943" i="4" a="1"/>
  <c r="E943" i="4" s="1"/>
  <c r="E944" i="4" a="1"/>
  <c r="E944" i="4"/>
  <c r="E945" i="4" a="1"/>
  <c r="E945" i="4" s="1"/>
  <c r="E946" i="4" a="1"/>
  <c r="E946" i="4" s="1"/>
  <c r="E947" i="4" a="1"/>
  <c r="E947" i="4" s="1"/>
  <c r="E948" i="4" a="1"/>
  <c r="E948" i="4"/>
  <c r="E949" i="4" a="1"/>
  <c r="E949" i="4" s="1"/>
  <c r="E950" i="4" a="1"/>
  <c r="E950" i="4" s="1"/>
  <c r="E951" i="4" a="1"/>
  <c r="E951" i="4" s="1"/>
  <c r="E952" i="4" a="1"/>
  <c r="E952" i="4"/>
  <c r="E953" i="4" a="1"/>
  <c r="E953" i="4" s="1"/>
  <c r="E954" i="4" a="1"/>
  <c r="E954" i="4" s="1"/>
  <c r="E955" i="4" a="1"/>
  <c r="E955" i="4" s="1"/>
  <c r="E956" i="4" a="1"/>
  <c r="E956" i="4"/>
  <c r="E957" i="4" a="1"/>
  <c r="E957" i="4" s="1"/>
  <c r="E958" i="4" a="1"/>
  <c r="E958" i="4" s="1"/>
  <c r="E959" i="4" a="1"/>
  <c r="E959" i="4" s="1"/>
  <c r="E960" i="4" a="1"/>
  <c r="E960" i="4"/>
  <c r="E961" i="4" a="1"/>
  <c r="E961" i="4" s="1"/>
  <c r="E962" i="4" a="1"/>
  <c r="E962" i="4" s="1"/>
  <c r="E964" i="4" a="1"/>
  <c r="E964" i="4"/>
  <c r="E965" i="4" a="1"/>
  <c r="E965" i="4" s="1"/>
  <c r="E966" i="4" a="1"/>
  <c r="E966" i="4" s="1"/>
  <c r="E967" i="4" a="1"/>
  <c r="E967" i="4" s="1"/>
  <c r="E968" i="4" a="1"/>
  <c r="E968" i="4"/>
  <c r="E969" i="4" a="1"/>
  <c r="E969" i="4" s="1"/>
  <c r="E970" i="4" a="1"/>
  <c r="E970" i="4" s="1"/>
  <c r="E971" i="4" a="1"/>
  <c r="E971" i="4" s="1"/>
  <c r="E972" i="4" a="1"/>
  <c r="E972" i="4"/>
  <c r="E973" i="4" a="1"/>
  <c r="E973" i="4" s="1"/>
  <c r="E974" i="4" a="1"/>
  <c r="E974" i="4" s="1"/>
  <c r="E975" i="4" a="1"/>
  <c r="E975" i="4" s="1"/>
  <c r="E976" i="4" a="1"/>
  <c r="E976" i="4"/>
  <c r="E977" i="4" a="1"/>
  <c r="E977" i="4" s="1"/>
  <c r="E978" i="4" a="1"/>
  <c r="E978" i="4" s="1"/>
  <c r="E979" i="4" a="1"/>
  <c r="E979" i="4" s="1"/>
  <c r="E980" i="4" a="1"/>
  <c r="E980" i="4"/>
  <c r="E981" i="4" a="1"/>
  <c r="E981" i="4" s="1"/>
  <c r="E982" i="4" a="1"/>
  <c r="E982" i="4" s="1"/>
  <c r="E983" i="4" a="1"/>
  <c r="E983" i="4" s="1"/>
  <c r="E984" i="4" a="1"/>
  <c r="E984" i="4"/>
  <c r="E985" i="4" a="1"/>
  <c r="E985" i="4" s="1"/>
  <c r="E986" i="4" a="1"/>
  <c r="E986" i="4" s="1"/>
  <c r="E987" i="4" a="1"/>
  <c r="E987" i="4" s="1"/>
  <c r="E988" i="4" a="1"/>
  <c r="E988" i="4"/>
  <c r="E989" i="4" a="1"/>
  <c r="E989" i="4" s="1"/>
  <c r="E990" i="4" a="1"/>
  <c r="E990" i="4" s="1"/>
  <c r="E991" i="4" a="1"/>
  <c r="E991" i="4" s="1"/>
  <c r="E992" i="4" a="1"/>
  <c r="E992" i="4"/>
  <c r="E993" i="4" a="1"/>
  <c r="E993" i="4" s="1"/>
  <c r="E994" i="4" a="1"/>
  <c r="E994" i="4" s="1"/>
  <c r="E995" i="4" a="1"/>
  <c r="E995" i="4" s="1"/>
  <c r="E996" i="4" a="1"/>
  <c r="E996" i="4"/>
  <c r="E997" i="4" a="1"/>
  <c r="E997" i="4" s="1"/>
  <c r="E998" i="4" a="1"/>
  <c r="E998" i="4" s="1"/>
  <c r="E999" i="4" a="1"/>
  <c r="E999" i="4" s="1"/>
  <c r="E1000" i="4" a="1"/>
  <c r="E1000" i="4"/>
  <c r="E1001" i="4" a="1"/>
  <c r="E1001" i="4" s="1"/>
  <c r="E3" i="4" a="1"/>
  <c r="E3" i="4"/>
  <c r="E4" i="4" a="1"/>
  <c r="E4" i="4"/>
  <c r="E5" i="4" a="1"/>
  <c r="E5" i="4" s="1"/>
  <c r="E6" i="4" a="1"/>
  <c r="E6" i="4"/>
  <c r="E7" i="4" a="1"/>
  <c r="E7" i="4"/>
  <c r="E8" i="4" a="1"/>
  <c r="E8" i="4"/>
  <c r="E9" i="4" a="1"/>
  <c r="E9" i="4" s="1"/>
  <c r="E10" i="4" a="1"/>
  <c r="E10" i="4"/>
  <c r="E11" i="4" a="1"/>
  <c r="E11" i="4"/>
  <c r="E12" i="4" a="1"/>
  <c r="E12" i="4"/>
  <c r="E13" i="4" a="1"/>
  <c r="E13" i="4" s="1"/>
  <c r="E14" i="4" a="1"/>
  <c r="E14" i="4"/>
  <c r="E15" i="4" a="1"/>
  <c r="E15" i="4"/>
  <c r="E16" i="4" a="1"/>
  <c r="E16" i="4"/>
  <c r="E2" i="4" a="1"/>
  <c r="E2" i="4" s="1"/>
  <c r="M1001" i="8" a="1"/>
  <c r="M1001" i="8" s="1"/>
  <c r="M1000" i="8" a="1"/>
  <c r="M1000" i="8" s="1"/>
  <c r="M999" i="8" a="1"/>
  <c r="M999" i="8" s="1"/>
  <c r="M998" i="8"/>
  <c r="M998" i="8" a="1"/>
  <c r="M997" i="8" a="1"/>
  <c r="M997" i="8" s="1"/>
  <c r="M996" i="8" a="1"/>
  <c r="M996" i="8" s="1"/>
  <c r="M995" i="8"/>
  <c r="M995" i="8" a="1"/>
  <c r="M994" i="8" a="1"/>
  <c r="M994" i="8" s="1"/>
  <c r="M993" i="8" a="1"/>
  <c r="M993" i="8" s="1"/>
  <c r="M992" i="8" a="1"/>
  <c r="M992" i="8" s="1"/>
  <c r="M991" i="8" a="1"/>
  <c r="M991" i="8" s="1"/>
  <c r="M990" i="8"/>
  <c r="M990" i="8" a="1"/>
  <c r="M989" i="8" a="1"/>
  <c r="M989" i="8" s="1"/>
  <c r="M988" i="8" a="1"/>
  <c r="M988" i="8" s="1"/>
  <c r="M987" i="8"/>
  <c r="M987" i="8" a="1"/>
  <c r="M986" i="8" a="1"/>
  <c r="M986" i="8" s="1"/>
  <c r="M985" i="8" a="1"/>
  <c r="M985" i="8" s="1"/>
  <c r="M984" i="8" a="1"/>
  <c r="M984" i="8" s="1"/>
  <c r="M983" i="8" a="1"/>
  <c r="M983" i="8" s="1"/>
  <c r="M982" i="8"/>
  <c r="M982" i="8" a="1"/>
  <c r="M981" i="8" a="1"/>
  <c r="M981" i="8" s="1"/>
  <c r="M980" i="8" a="1"/>
  <c r="M980" i="8" s="1"/>
  <c r="M979" i="8"/>
  <c r="M979" i="8" a="1"/>
  <c r="M978" i="8" a="1"/>
  <c r="M978" i="8" s="1"/>
  <c r="M977" i="8" a="1"/>
  <c r="M977" i="8" s="1"/>
  <c r="M976" i="8" a="1"/>
  <c r="M976" i="8" s="1"/>
  <c r="M975" i="8" a="1"/>
  <c r="M975" i="8" s="1"/>
  <c r="M974" i="8"/>
  <c r="M974" i="8" a="1"/>
  <c r="M973" i="8" a="1"/>
  <c r="M973" i="8" s="1"/>
  <c r="M972" i="8" a="1"/>
  <c r="M972" i="8" s="1"/>
  <c r="M971" i="8"/>
  <c r="M971" i="8" a="1"/>
  <c r="M970" i="8" a="1"/>
  <c r="M970" i="8" s="1"/>
  <c r="M969" i="8" a="1"/>
  <c r="M969" i="8" s="1"/>
  <c r="M968" i="8" a="1"/>
  <c r="M968" i="8" s="1"/>
  <c r="M967" i="8" a="1"/>
  <c r="M967" i="8" s="1"/>
  <c r="M966" i="8"/>
  <c r="M966" i="8" a="1"/>
  <c r="M965" i="8" a="1"/>
  <c r="M965" i="8" s="1"/>
  <c r="M964" i="8" a="1"/>
  <c r="M964" i="8" s="1"/>
  <c r="M963" i="8"/>
  <c r="M963" i="8" a="1"/>
  <c r="M962" i="8" a="1"/>
  <c r="M962" i="8" s="1"/>
  <c r="M961" i="8" a="1"/>
  <c r="M961" i="8" s="1"/>
  <c r="M960" i="8" a="1"/>
  <c r="M960" i="8" s="1"/>
  <c r="M959" i="8" a="1"/>
  <c r="M959" i="8" s="1"/>
  <c r="M958" i="8"/>
  <c r="M958" i="8" a="1"/>
  <c r="M957" i="8" a="1"/>
  <c r="M957" i="8" s="1"/>
  <c r="M956" i="8" a="1"/>
  <c r="M956" i="8" s="1"/>
  <c r="M955" i="8"/>
  <c r="M955" i="8" a="1"/>
  <c r="M954" i="8" a="1"/>
  <c r="M954" i="8" s="1"/>
  <c r="M953" i="8" a="1"/>
  <c r="M953" i="8" s="1"/>
  <c r="M952" i="8" a="1"/>
  <c r="M952" i="8" s="1"/>
  <c r="M951" i="8" a="1"/>
  <c r="M951" i="8" s="1"/>
  <c r="M950" i="8"/>
  <c r="M950" i="8" a="1"/>
  <c r="M949" i="8" a="1"/>
  <c r="M949" i="8" s="1"/>
  <c r="M948" i="8" a="1"/>
  <c r="M948" i="8" s="1"/>
  <c r="M947" i="8"/>
  <c r="M947" i="8" a="1"/>
  <c r="M946" i="8" a="1"/>
  <c r="M946" i="8" s="1"/>
  <c r="M945" i="8" a="1"/>
  <c r="M945" i="8" s="1"/>
  <c r="M944" i="8" a="1"/>
  <c r="M944" i="8" s="1"/>
  <c r="M943" i="8" a="1"/>
  <c r="M943" i="8" s="1"/>
  <c r="M942" i="8"/>
  <c r="M942" i="8" a="1"/>
  <c r="M941" i="8" a="1"/>
  <c r="M941" i="8" s="1"/>
  <c r="M940" i="8" a="1"/>
  <c r="M940" i="8" s="1"/>
  <c r="M939" i="8" a="1"/>
  <c r="M939" i="8" s="1"/>
  <c r="M938" i="8" a="1"/>
  <c r="M938" i="8" s="1"/>
  <c r="M937" i="8" a="1"/>
  <c r="M937" i="8" s="1"/>
  <c r="M936" i="8" a="1"/>
  <c r="M936" i="8" s="1"/>
  <c r="M935" i="8" a="1"/>
  <c r="M935" i="8" s="1"/>
  <c r="M934" i="8" a="1"/>
  <c r="M934" i="8" s="1"/>
  <c r="M933" i="8" a="1"/>
  <c r="M933" i="8" s="1"/>
  <c r="M932" i="8" a="1"/>
  <c r="M932" i="8" s="1"/>
  <c r="M931" i="8"/>
  <c r="M931" i="8" a="1"/>
  <c r="M930" i="8" a="1"/>
  <c r="M930" i="8" s="1"/>
  <c r="M929" i="8" a="1"/>
  <c r="M929" i="8" s="1"/>
  <c r="M928" i="8" a="1"/>
  <c r="M928" i="8" s="1"/>
  <c r="M927" i="8" a="1"/>
  <c r="M927" i="8" s="1"/>
  <c r="M926" i="8"/>
  <c r="M926" i="8" a="1"/>
  <c r="M925" i="8" a="1"/>
  <c r="M925" i="8" s="1"/>
  <c r="M924" i="8" a="1"/>
  <c r="M924" i="8" s="1"/>
  <c r="M923" i="8" a="1"/>
  <c r="M923" i="8" s="1"/>
  <c r="M922" i="8" a="1"/>
  <c r="M922" i="8" s="1"/>
  <c r="M921" i="8" a="1"/>
  <c r="M921" i="8" s="1"/>
  <c r="M920" i="8" a="1"/>
  <c r="M920" i="8" s="1"/>
  <c r="M919" i="8" a="1"/>
  <c r="M919" i="8" s="1"/>
  <c r="M918" i="8" a="1"/>
  <c r="M918" i="8" s="1"/>
  <c r="M917" i="8" a="1"/>
  <c r="M917" i="8" s="1"/>
  <c r="M916" i="8" a="1"/>
  <c r="M916" i="8" s="1"/>
  <c r="M915" i="8"/>
  <c r="M915" i="8" a="1"/>
  <c r="M914" i="8" a="1"/>
  <c r="M914" i="8" s="1"/>
  <c r="M913" i="8" a="1"/>
  <c r="M913" i="8" s="1"/>
  <c r="M912" i="8" a="1"/>
  <c r="M912" i="8" s="1"/>
  <c r="M911" i="8" a="1"/>
  <c r="M911" i="8" s="1"/>
  <c r="M910" i="8"/>
  <c r="M910" i="8" a="1"/>
  <c r="M909" i="8" a="1"/>
  <c r="M909" i="8" s="1"/>
  <c r="M908" i="8" a="1"/>
  <c r="M908" i="8" s="1"/>
  <c r="M907" i="8" a="1"/>
  <c r="M907" i="8" s="1"/>
  <c r="M906" i="8" a="1"/>
  <c r="M906" i="8" s="1"/>
  <c r="M905" i="8" a="1"/>
  <c r="M905" i="8" s="1"/>
  <c r="M904" i="8" a="1"/>
  <c r="M904" i="8" s="1"/>
  <c r="M903" i="8" a="1"/>
  <c r="M903" i="8" s="1"/>
  <c r="M902" i="8" a="1"/>
  <c r="M902" i="8" s="1"/>
  <c r="M901" i="8" a="1"/>
  <c r="M901" i="8" s="1"/>
  <c r="M900" i="8" a="1"/>
  <c r="M900" i="8" s="1"/>
  <c r="M899" i="8"/>
  <c r="M899" i="8" a="1"/>
  <c r="M898" i="8" a="1"/>
  <c r="M898" i="8" s="1"/>
  <c r="M897" i="8" a="1"/>
  <c r="M897" i="8" s="1"/>
  <c r="M896" i="8" a="1"/>
  <c r="M896" i="8" s="1"/>
  <c r="M895" i="8" a="1"/>
  <c r="M895" i="8" s="1"/>
  <c r="M894" i="8"/>
  <c r="M894" i="8" a="1"/>
  <c r="M893" i="8" a="1"/>
  <c r="M893" i="8" s="1"/>
  <c r="M892" i="8" a="1"/>
  <c r="M892" i="8" s="1"/>
  <c r="M891" i="8" a="1"/>
  <c r="M891" i="8" s="1"/>
  <c r="M890" i="8" a="1"/>
  <c r="M890" i="8" s="1"/>
  <c r="M889" i="8" a="1"/>
  <c r="M889" i="8" s="1"/>
  <c r="M888" i="8" a="1"/>
  <c r="M888" i="8" s="1"/>
  <c r="M887" i="8" a="1"/>
  <c r="M887" i="8" s="1"/>
  <c r="M886" i="8" a="1"/>
  <c r="M886" i="8" s="1"/>
  <c r="M885" i="8" a="1"/>
  <c r="M885" i="8" s="1"/>
  <c r="M884" i="8" a="1"/>
  <c r="M884" i="8" s="1"/>
  <c r="M883" i="8"/>
  <c r="M883" i="8" a="1"/>
  <c r="M882" i="8" a="1"/>
  <c r="M882" i="8" s="1"/>
  <c r="M881" i="8" a="1"/>
  <c r="M881" i="8" s="1"/>
  <c r="M880" i="8" a="1"/>
  <c r="M880" i="8" s="1"/>
  <c r="M879" i="8" a="1"/>
  <c r="M879" i="8" s="1"/>
  <c r="M878" i="8"/>
  <c r="M878" i="8" a="1"/>
  <c r="M877" i="8" a="1"/>
  <c r="M877" i="8" s="1"/>
  <c r="M876" i="8" a="1"/>
  <c r="M876" i="8" s="1"/>
  <c r="M875" i="8" a="1"/>
  <c r="M875" i="8" s="1"/>
  <c r="M874" i="8" a="1"/>
  <c r="M874" i="8" s="1"/>
  <c r="M873" i="8" a="1"/>
  <c r="M873" i="8" s="1"/>
  <c r="M872" i="8" a="1"/>
  <c r="M872" i="8" s="1"/>
  <c r="M871" i="8" a="1"/>
  <c r="M871" i="8" s="1"/>
  <c r="M870" i="8" a="1"/>
  <c r="M870" i="8" s="1"/>
  <c r="M869" i="8" a="1"/>
  <c r="M869" i="8" s="1"/>
  <c r="M868" i="8" a="1"/>
  <c r="M868" i="8" s="1"/>
  <c r="M867" i="8"/>
  <c r="M867" i="8" a="1"/>
  <c r="M866" i="8" a="1"/>
  <c r="M866" i="8" s="1"/>
  <c r="M865" i="8" a="1"/>
  <c r="M865" i="8" s="1"/>
  <c r="M864" i="8" a="1"/>
  <c r="M864" i="8" s="1"/>
  <c r="M863" i="8" a="1"/>
  <c r="M863" i="8" s="1"/>
  <c r="M862" i="8"/>
  <c r="M862" i="8" a="1"/>
  <c r="M861" i="8" a="1"/>
  <c r="M861" i="8" s="1"/>
  <c r="M860" i="8" a="1"/>
  <c r="M860" i="8" s="1"/>
  <c r="M859" i="8" a="1"/>
  <c r="M859" i="8" s="1"/>
  <c r="M858" i="8" a="1"/>
  <c r="M858" i="8" s="1"/>
  <c r="M857" i="8" a="1"/>
  <c r="M857" i="8" s="1"/>
  <c r="M856" i="8" a="1"/>
  <c r="M856" i="8" s="1"/>
  <c r="M855" i="8" a="1"/>
  <c r="M855" i="8" s="1"/>
  <c r="M854" i="8" a="1"/>
  <c r="M854" i="8" s="1"/>
  <c r="M853" i="8" a="1"/>
  <c r="M853" i="8" s="1"/>
  <c r="M852" i="8" a="1"/>
  <c r="M852" i="8" s="1"/>
  <c r="M851" i="8"/>
  <c r="M851" i="8" a="1"/>
  <c r="M850" i="8" a="1"/>
  <c r="M850" i="8" s="1"/>
  <c r="M849" i="8" a="1"/>
  <c r="M849" i="8" s="1"/>
  <c r="M848" i="8" a="1"/>
  <c r="M848" i="8" s="1"/>
  <c r="M847" i="8" a="1"/>
  <c r="M847" i="8" s="1"/>
  <c r="M846" i="8"/>
  <c r="M846" i="8" a="1"/>
  <c r="M845" i="8" a="1"/>
  <c r="M845" i="8" s="1"/>
  <c r="M844" i="8" a="1"/>
  <c r="M844" i="8" s="1"/>
  <c r="M843" i="8" a="1"/>
  <c r="M843" i="8" s="1"/>
  <c r="M842" i="8" a="1"/>
  <c r="M842" i="8" s="1"/>
  <c r="M841" i="8" a="1"/>
  <c r="M841" i="8" s="1"/>
  <c r="M840" i="8" a="1"/>
  <c r="M840" i="8" s="1"/>
  <c r="M839" i="8" a="1"/>
  <c r="M839" i="8" s="1"/>
  <c r="M838" i="8" a="1"/>
  <c r="M838" i="8" s="1"/>
  <c r="M837" i="8" a="1"/>
  <c r="M837" i="8" s="1"/>
  <c r="M836" i="8" a="1"/>
  <c r="M836" i="8" s="1"/>
  <c r="M835" i="8"/>
  <c r="M835" i="8" a="1"/>
  <c r="M834" i="8" a="1"/>
  <c r="M834" i="8" s="1"/>
  <c r="M833" i="8" a="1"/>
  <c r="M833" i="8" s="1"/>
  <c r="M832" i="8" a="1"/>
  <c r="M832" i="8" s="1"/>
  <c r="M831" i="8" a="1"/>
  <c r="M831" i="8" s="1"/>
  <c r="M830" i="8"/>
  <c r="M830" i="8" a="1"/>
  <c r="M829" i="8" a="1"/>
  <c r="M829" i="8" s="1"/>
  <c r="M828" i="8" a="1"/>
  <c r="M828" i="8" s="1"/>
  <c r="M827" i="8" a="1"/>
  <c r="M827" i="8" s="1"/>
  <c r="M826" i="8" a="1"/>
  <c r="M826" i="8" s="1"/>
  <c r="M825" i="8" a="1"/>
  <c r="M825" i="8" s="1"/>
  <c r="M824" i="8" a="1"/>
  <c r="M824" i="8" s="1"/>
  <c r="M823" i="8" a="1"/>
  <c r="M823" i="8" s="1"/>
  <c r="M822" i="8" a="1"/>
  <c r="M822" i="8" s="1"/>
  <c r="M821" i="8" a="1"/>
  <c r="M821" i="8" s="1"/>
  <c r="M820" i="8" a="1"/>
  <c r="M820" i="8" s="1"/>
  <c r="M819" i="8"/>
  <c r="M819" i="8" a="1"/>
  <c r="M818" i="8" a="1"/>
  <c r="M818" i="8" s="1"/>
  <c r="M817" i="8" a="1"/>
  <c r="M817" i="8" s="1"/>
  <c r="M816" i="8" a="1"/>
  <c r="M816" i="8" s="1"/>
  <c r="M815" i="8" a="1"/>
  <c r="M815" i="8" s="1"/>
  <c r="M814" i="8"/>
  <c r="M814" i="8" a="1"/>
  <c r="M813" i="8" a="1"/>
  <c r="M813" i="8" s="1"/>
  <c r="M812" i="8" a="1"/>
  <c r="M812" i="8" s="1"/>
  <c r="M811" i="8" a="1"/>
  <c r="M811" i="8" s="1"/>
  <c r="M810" i="8" a="1"/>
  <c r="M810" i="8" s="1"/>
  <c r="M809" i="8" a="1"/>
  <c r="M809" i="8" s="1"/>
  <c r="M808" i="8" a="1"/>
  <c r="M808" i="8" s="1"/>
  <c r="M807" i="8" a="1"/>
  <c r="M807" i="8" s="1"/>
  <c r="M806" i="8" a="1"/>
  <c r="M806" i="8" s="1"/>
  <c r="M805" i="8" a="1"/>
  <c r="M805" i="8" s="1"/>
  <c r="M804" i="8" a="1"/>
  <c r="M804" i="8" s="1"/>
  <c r="M803" i="8"/>
  <c r="M803" i="8" a="1"/>
  <c r="M802" i="8" a="1"/>
  <c r="M802" i="8" s="1"/>
  <c r="M801" i="8" a="1"/>
  <c r="M801" i="8" s="1"/>
  <c r="M800" i="8" a="1"/>
  <c r="M800" i="8" s="1"/>
  <c r="M799" i="8" a="1"/>
  <c r="M799" i="8" s="1"/>
  <c r="M798" i="8"/>
  <c r="M798" i="8" a="1"/>
  <c r="M797" i="8" a="1"/>
  <c r="M797" i="8" s="1"/>
  <c r="M796" i="8" a="1"/>
  <c r="M796" i="8" s="1"/>
  <c r="M795" i="8" a="1"/>
  <c r="M795" i="8" s="1"/>
  <c r="M794" i="8" a="1"/>
  <c r="M794" i="8" s="1"/>
  <c r="M793" i="8" a="1"/>
  <c r="M793" i="8" s="1"/>
  <c r="M792" i="8" a="1"/>
  <c r="M792" i="8" s="1"/>
  <c r="M791" i="8" a="1"/>
  <c r="M791" i="8" s="1"/>
  <c r="M790" i="8" a="1"/>
  <c r="M790" i="8" s="1"/>
  <c r="M789" i="8" a="1"/>
  <c r="M789" i="8" s="1"/>
  <c r="M788" i="8" a="1"/>
  <c r="M788" i="8" s="1"/>
  <c r="M787" i="8"/>
  <c r="M787" i="8" a="1"/>
  <c r="M786" i="8" a="1"/>
  <c r="M786" i="8" s="1"/>
  <c r="M785" i="8" a="1"/>
  <c r="M785" i="8" s="1"/>
  <c r="M784" i="8" a="1"/>
  <c r="M784" i="8" s="1"/>
  <c r="M783" i="8" a="1"/>
  <c r="M783" i="8" s="1"/>
  <c r="M782" i="8"/>
  <c r="M782" i="8" a="1"/>
  <c r="M781" i="8" a="1"/>
  <c r="M781" i="8" s="1"/>
  <c r="M780" i="8" a="1"/>
  <c r="M780" i="8" s="1"/>
  <c r="M779" i="8" a="1"/>
  <c r="M779" i="8" s="1"/>
  <c r="M778" i="8" a="1"/>
  <c r="M778" i="8" s="1"/>
  <c r="M777" i="8" a="1"/>
  <c r="M777" i="8" s="1"/>
  <c r="M776" i="8" a="1"/>
  <c r="M776" i="8" s="1"/>
  <c r="M775" i="8" a="1"/>
  <c r="M775" i="8" s="1"/>
  <c r="M774" i="8" a="1"/>
  <c r="M774" i="8" s="1"/>
  <c r="M773" i="8" a="1"/>
  <c r="M773" i="8" s="1"/>
  <c r="M772" i="8" a="1"/>
  <c r="M772" i="8" s="1"/>
  <c r="M771" i="8" a="1"/>
  <c r="M771" i="8" s="1"/>
  <c r="M770" i="8" a="1"/>
  <c r="M770" i="8" s="1"/>
  <c r="M769" i="8" a="1"/>
  <c r="M769" i="8" s="1"/>
  <c r="M768" i="8" a="1"/>
  <c r="M768" i="8" s="1"/>
  <c r="M767" i="8" a="1"/>
  <c r="M767" i="8" s="1"/>
  <c r="M766" i="8"/>
  <c r="M766" i="8" a="1"/>
  <c r="M765" i="8" a="1"/>
  <c r="M765" i="8" s="1"/>
  <c r="M764" i="8" a="1"/>
  <c r="M764" i="8" s="1"/>
  <c r="M763" i="8" a="1"/>
  <c r="M763" i="8" s="1"/>
  <c r="M762" i="8" a="1"/>
  <c r="M762" i="8" s="1"/>
  <c r="M761" i="8" a="1"/>
  <c r="M761" i="8" s="1"/>
  <c r="M760" i="8" a="1"/>
  <c r="M760" i="8" s="1"/>
  <c r="M759" i="8" a="1"/>
  <c r="M759" i="8" s="1"/>
  <c r="M758" i="8" a="1"/>
  <c r="M758" i="8" s="1"/>
  <c r="M757" i="8" a="1"/>
  <c r="M757" i="8" s="1"/>
  <c r="M756" i="8" a="1"/>
  <c r="M756" i="8" s="1"/>
  <c r="M755" i="8" a="1"/>
  <c r="M755" i="8" s="1"/>
  <c r="M754" i="8" a="1"/>
  <c r="M754" i="8" s="1"/>
  <c r="M753" i="8" a="1"/>
  <c r="M753" i="8" s="1"/>
  <c r="M752" i="8" a="1"/>
  <c r="M752" i="8" s="1"/>
  <c r="M751" i="8" a="1"/>
  <c r="M751" i="8" s="1"/>
  <c r="M750" i="8" a="1"/>
  <c r="M750" i="8" s="1"/>
  <c r="M749" i="8" a="1"/>
  <c r="M749" i="8" s="1"/>
  <c r="M748" i="8" a="1"/>
  <c r="M748" i="8" s="1"/>
  <c r="M747" i="8" a="1"/>
  <c r="M747" i="8" s="1"/>
  <c r="M746" i="8" a="1"/>
  <c r="M746" i="8" s="1"/>
  <c r="M745" i="8" a="1"/>
  <c r="M745" i="8" s="1"/>
  <c r="M744" i="8" a="1"/>
  <c r="M744" i="8" s="1"/>
  <c r="M743" i="8" a="1"/>
  <c r="M743" i="8" s="1"/>
  <c r="M742" i="8" a="1"/>
  <c r="M742" i="8" s="1"/>
  <c r="M741" i="8" a="1"/>
  <c r="M741" i="8" s="1"/>
  <c r="M740" i="8" a="1"/>
  <c r="M740" i="8" s="1"/>
  <c r="M739" i="8" a="1"/>
  <c r="M739" i="8" s="1"/>
  <c r="M738" i="8" a="1"/>
  <c r="M738" i="8" s="1"/>
  <c r="M737" i="8" a="1"/>
  <c r="M737" i="8" s="1"/>
  <c r="M736" i="8" a="1"/>
  <c r="M736" i="8" s="1"/>
  <c r="M735" i="8" a="1"/>
  <c r="M735" i="8" s="1"/>
  <c r="M734" i="8" a="1"/>
  <c r="M734" i="8" s="1"/>
  <c r="M733" i="8" a="1"/>
  <c r="M733" i="8" s="1"/>
  <c r="M732" i="8" a="1"/>
  <c r="M732" i="8" s="1"/>
  <c r="M731" i="8" a="1"/>
  <c r="M731" i="8" s="1"/>
  <c r="M730" i="8" a="1"/>
  <c r="M730" i="8" s="1"/>
  <c r="M729" i="8" a="1"/>
  <c r="M729" i="8" s="1"/>
  <c r="M728" i="8" a="1"/>
  <c r="M728" i="8" s="1"/>
  <c r="M727" i="8" a="1"/>
  <c r="M727" i="8" s="1"/>
  <c r="M726" i="8" a="1"/>
  <c r="M726" i="8" s="1"/>
  <c r="M725" i="8" a="1"/>
  <c r="M725" i="8" s="1"/>
  <c r="M724" i="8" a="1"/>
  <c r="M724" i="8" s="1"/>
  <c r="M723" i="8"/>
  <c r="M723" i="8" a="1"/>
  <c r="M722" i="8" a="1"/>
  <c r="M722" i="8" s="1"/>
  <c r="M721" i="8" a="1"/>
  <c r="M721" i="8" s="1"/>
  <c r="M720" i="8" a="1"/>
  <c r="M720" i="8" s="1"/>
  <c r="M719" i="8" a="1"/>
  <c r="M719" i="8" s="1"/>
  <c r="M718" i="8" a="1"/>
  <c r="M718" i="8" s="1"/>
  <c r="M717" i="8" a="1"/>
  <c r="M717" i="8" s="1"/>
  <c r="M716" i="8" a="1"/>
  <c r="M716" i="8" s="1"/>
  <c r="M715" i="8" a="1"/>
  <c r="M715" i="8" s="1"/>
  <c r="M714" i="8" a="1"/>
  <c r="M714" i="8" s="1"/>
  <c r="M713" i="8" a="1"/>
  <c r="M713" i="8" s="1"/>
  <c r="M712" i="8" a="1"/>
  <c r="M712" i="8" s="1"/>
  <c r="M711" i="8" a="1"/>
  <c r="M711" i="8" s="1"/>
  <c r="M710" i="8" a="1"/>
  <c r="M710" i="8" s="1"/>
  <c r="M709" i="8" a="1"/>
  <c r="M709" i="8" s="1"/>
  <c r="M708" i="8" a="1"/>
  <c r="M708" i="8" s="1"/>
  <c r="M707" i="8" a="1"/>
  <c r="M707" i="8" s="1"/>
  <c r="M706" i="8" a="1"/>
  <c r="M706" i="8" s="1"/>
  <c r="M705" i="8" a="1"/>
  <c r="M705" i="8" s="1"/>
  <c r="M704" i="8" a="1"/>
  <c r="M704" i="8" s="1"/>
  <c r="M703" i="8" a="1"/>
  <c r="M703" i="8" s="1"/>
  <c r="M702" i="8"/>
  <c r="M702" i="8" a="1"/>
  <c r="M701" i="8" a="1"/>
  <c r="M701" i="8" s="1"/>
  <c r="M700" i="8" a="1"/>
  <c r="M700" i="8" s="1"/>
  <c r="M699" i="8" a="1"/>
  <c r="M699" i="8" s="1"/>
  <c r="M698" i="8" a="1"/>
  <c r="M698" i="8" s="1"/>
  <c r="M697" i="8" a="1"/>
  <c r="M697" i="8" s="1"/>
  <c r="M696" i="8" a="1"/>
  <c r="M696" i="8" s="1"/>
  <c r="M695" i="8" a="1"/>
  <c r="M695" i="8" s="1"/>
  <c r="M694" i="8" a="1"/>
  <c r="M694" i="8" s="1"/>
  <c r="M693" i="8" a="1"/>
  <c r="M693" i="8" s="1"/>
  <c r="M692" i="8" a="1"/>
  <c r="M692" i="8" s="1"/>
  <c r="M691" i="8" a="1"/>
  <c r="M691" i="8" s="1"/>
  <c r="M690" i="8" a="1"/>
  <c r="M690" i="8" s="1"/>
  <c r="M689" i="8" a="1"/>
  <c r="M689" i="8" s="1"/>
  <c r="M688" i="8" a="1"/>
  <c r="M688" i="8" s="1"/>
  <c r="M687" i="8" a="1"/>
  <c r="M687" i="8" s="1"/>
  <c r="M686" i="8" a="1"/>
  <c r="M686" i="8" s="1"/>
  <c r="M685" i="8" a="1"/>
  <c r="M685" i="8" s="1"/>
  <c r="M684" i="8" a="1"/>
  <c r="M684" i="8" s="1"/>
  <c r="M683" i="8" a="1"/>
  <c r="M683" i="8" s="1"/>
  <c r="M682" i="8" a="1"/>
  <c r="M682" i="8" s="1"/>
  <c r="M681" i="8" a="1"/>
  <c r="M681" i="8" s="1"/>
  <c r="M680" i="8" a="1"/>
  <c r="M680" i="8" s="1"/>
  <c r="M679" i="8" a="1"/>
  <c r="M679" i="8" s="1"/>
  <c r="M678" i="8" a="1"/>
  <c r="M678" i="8" s="1"/>
  <c r="M677" i="8" a="1"/>
  <c r="M677" i="8" s="1"/>
  <c r="M676" i="8" a="1"/>
  <c r="M676" i="8" s="1"/>
  <c r="M675" i="8" a="1"/>
  <c r="M675" i="8" s="1"/>
  <c r="M674" i="8" a="1"/>
  <c r="M674" i="8" s="1"/>
  <c r="M673" i="8" a="1"/>
  <c r="M673" i="8" s="1"/>
  <c r="M672" i="8" a="1"/>
  <c r="M672" i="8" s="1"/>
  <c r="M671" i="8" a="1"/>
  <c r="M671" i="8" s="1"/>
  <c r="M670" i="8" a="1"/>
  <c r="M670" i="8" s="1"/>
  <c r="M669" i="8" a="1"/>
  <c r="M669" i="8" s="1"/>
  <c r="M668" i="8" a="1"/>
  <c r="M668" i="8" s="1"/>
  <c r="M667" i="8"/>
  <c r="M667" i="8" a="1"/>
  <c r="M666" i="8" a="1"/>
  <c r="M666" i="8" s="1"/>
  <c r="M665" i="8" a="1"/>
  <c r="M665" i="8" s="1"/>
  <c r="M664" i="8" a="1"/>
  <c r="M664" i="8" s="1"/>
  <c r="M663" i="8" a="1"/>
  <c r="M663" i="8" s="1"/>
  <c r="M662" i="8" a="1"/>
  <c r="M662" i="8" s="1"/>
  <c r="M661" i="8" a="1"/>
  <c r="M661" i="8" s="1"/>
  <c r="M660" i="8"/>
  <c r="M660" i="8" a="1"/>
  <c r="M659" i="8" a="1"/>
  <c r="M659" i="8" s="1"/>
  <c r="M658" i="8" a="1"/>
  <c r="M658" i="8" s="1"/>
  <c r="M657" i="8" a="1"/>
  <c r="M657" i="8" s="1"/>
  <c r="M656" i="8" a="1"/>
  <c r="M656" i="8" s="1"/>
  <c r="M655" i="8" a="1"/>
  <c r="M655" i="8" s="1"/>
  <c r="M654" i="8" a="1"/>
  <c r="M654" i="8" s="1"/>
  <c r="M653" i="8" a="1"/>
  <c r="M653" i="8" s="1"/>
  <c r="M652" i="8"/>
  <c r="M652" i="8" a="1"/>
  <c r="M651" i="8" a="1"/>
  <c r="M651" i="8" s="1"/>
  <c r="M650" i="8"/>
  <c r="M650" i="8" a="1"/>
  <c r="M649" i="8" a="1"/>
  <c r="M649" i="8" s="1"/>
  <c r="M648" i="8"/>
  <c r="M648" i="8" a="1"/>
  <c r="M647" i="8" a="1"/>
  <c r="M647" i="8" s="1"/>
  <c r="M646" i="8" a="1"/>
  <c r="M646" i="8" s="1"/>
  <c r="M645" i="8" a="1"/>
  <c r="M645" i="8" s="1"/>
  <c r="M644" i="8"/>
  <c r="M644" i="8" a="1"/>
  <c r="M643" i="8" a="1"/>
  <c r="M643" i="8" s="1"/>
  <c r="M642" i="8" a="1"/>
  <c r="M642" i="8" s="1"/>
  <c r="M641" i="8" a="1"/>
  <c r="M641" i="8" s="1"/>
  <c r="M640" i="8" a="1"/>
  <c r="M640" i="8" s="1"/>
  <c r="M639" i="8" a="1"/>
  <c r="M639" i="8" s="1"/>
  <c r="M638" i="8" a="1"/>
  <c r="M638" i="8" s="1"/>
  <c r="M637" i="8" a="1"/>
  <c r="M637" i="8" s="1"/>
  <c r="M636" i="8"/>
  <c r="M636" i="8" a="1"/>
  <c r="M635" i="8" a="1"/>
  <c r="M635" i="8" s="1"/>
  <c r="M634" i="8"/>
  <c r="M634" i="8" a="1"/>
  <c r="M633" i="8" a="1"/>
  <c r="M633" i="8" s="1"/>
  <c r="M632" i="8" a="1"/>
  <c r="M632" i="8" s="1"/>
  <c r="M631" i="8" a="1"/>
  <c r="M631" i="8" s="1"/>
  <c r="M630" i="8" a="1"/>
  <c r="M630" i="8" s="1"/>
  <c r="M629" i="8"/>
  <c r="M629" i="8" a="1"/>
  <c r="M628" i="8"/>
  <c r="M628" i="8" a="1"/>
  <c r="M627" i="8" a="1"/>
  <c r="M627" i="8" s="1"/>
  <c r="M626" i="8" a="1"/>
  <c r="M626" i="8" s="1"/>
  <c r="M625" i="8"/>
  <c r="M625" i="8" a="1"/>
  <c r="M624" i="8" a="1"/>
  <c r="M624" i="8" s="1"/>
  <c r="M623" i="8" a="1"/>
  <c r="M623" i="8" s="1"/>
  <c r="M622" i="8"/>
  <c r="M622" i="8" a="1"/>
  <c r="M621" i="8" a="1"/>
  <c r="M621" i="8" s="1"/>
  <c r="M620" i="8"/>
  <c r="M620" i="8" a="1"/>
  <c r="M619" i="8" a="1"/>
  <c r="M619" i="8" s="1"/>
  <c r="M618" i="8" a="1"/>
  <c r="M618" i="8" s="1"/>
  <c r="M617" i="8" a="1"/>
  <c r="M617" i="8" s="1"/>
  <c r="M616" i="8"/>
  <c r="M616" i="8" a="1"/>
  <c r="M615" i="8" a="1"/>
  <c r="M615" i="8" s="1"/>
  <c r="M614" i="8"/>
  <c r="M614" i="8" a="1"/>
  <c r="M613" i="8"/>
  <c r="M613" i="8" a="1"/>
  <c r="M612" i="8"/>
  <c r="M612" i="8" a="1"/>
  <c r="M611" i="8" a="1"/>
  <c r="M611" i="8" s="1"/>
  <c r="M610" i="8" a="1"/>
  <c r="M610" i="8" s="1"/>
  <c r="M609" i="8" a="1"/>
  <c r="M609" i="8" s="1"/>
  <c r="M608" i="8" a="1"/>
  <c r="M608" i="8" s="1"/>
  <c r="M607" i="8" a="1"/>
  <c r="M607" i="8" s="1"/>
  <c r="M606" i="8"/>
  <c r="M606" i="8" a="1"/>
  <c r="M605" i="8"/>
  <c r="M605" i="8" a="1"/>
  <c r="M604" i="8"/>
  <c r="M604" i="8" a="1"/>
  <c r="M603" i="8" a="1"/>
  <c r="M603" i="8" s="1"/>
  <c r="M602" i="8"/>
  <c r="M602" i="8" a="1"/>
  <c r="M601" i="8" a="1"/>
  <c r="M601" i="8" s="1"/>
  <c r="M600" i="8" a="1"/>
  <c r="M600" i="8" s="1"/>
  <c r="M599" i="8" a="1"/>
  <c r="M599" i="8" s="1"/>
  <c r="M598" i="8" a="1"/>
  <c r="M598" i="8" s="1"/>
  <c r="M597" i="8"/>
  <c r="M597" i="8" a="1"/>
  <c r="M596" i="8"/>
  <c r="M596" i="8" a="1"/>
  <c r="M595" i="8" a="1"/>
  <c r="M595" i="8" s="1"/>
  <c r="M594" i="8" a="1"/>
  <c r="M594" i="8" s="1"/>
  <c r="M593" i="8"/>
  <c r="M593" i="8" a="1"/>
  <c r="M592" i="8" a="1"/>
  <c r="M592" i="8" s="1"/>
  <c r="M591" i="8" a="1"/>
  <c r="M591" i="8" s="1"/>
  <c r="M590" i="8"/>
  <c r="M590" i="8" a="1"/>
  <c r="M589" i="8"/>
  <c r="M589" i="8" a="1"/>
  <c r="M588" i="8"/>
  <c r="M588" i="8" a="1"/>
  <c r="M587" i="8" a="1"/>
  <c r="M587" i="8" s="1"/>
  <c r="M586" i="8" a="1"/>
  <c r="M586" i="8" s="1"/>
  <c r="M585" i="8" a="1"/>
  <c r="M585" i="8" s="1"/>
  <c r="M584" i="8"/>
  <c r="M584" i="8" a="1"/>
  <c r="M583" i="8" a="1"/>
  <c r="M583" i="8" s="1"/>
  <c r="M582" i="8"/>
  <c r="M582" i="8" a="1"/>
  <c r="M581" i="8"/>
  <c r="M581" i="8" a="1"/>
  <c r="M580" i="8" a="1"/>
  <c r="M580" i="8" s="1"/>
  <c r="M579" i="8" a="1"/>
  <c r="M579" i="8" s="1"/>
  <c r="M578" i="8" a="1"/>
  <c r="M578" i="8" s="1"/>
  <c r="M577" i="8" a="1"/>
  <c r="M577" i="8" s="1"/>
  <c r="M576" i="8" a="1"/>
  <c r="M576" i="8" s="1"/>
  <c r="M575" i="8" a="1"/>
  <c r="M575" i="8" s="1"/>
  <c r="M574" i="8"/>
  <c r="M574" i="8" a="1"/>
  <c r="M573" i="8"/>
  <c r="M573" i="8" a="1"/>
  <c r="M572" i="8"/>
  <c r="M572" i="8" a="1"/>
  <c r="M571" i="8" a="1"/>
  <c r="M571" i="8" s="1"/>
  <c r="M570" i="8"/>
  <c r="M570" i="8" a="1"/>
  <c r="M569" i="8" a="1"/>
  <c r="M569" i="8" s="1"/>
  <c r="M568" i="8" a="1"/>
  <c r="M568" i="8" s="1"/>
  <c r="M567" i="8" a="1"/>
  <c r="M567" i="8" s="1"/>
  <c r="M566" i="8" a="1"/>
  <c r="M566" i="8" s="1"/>
  <c r="M565" i="8"/>
  <c r="M565" i="8" a="1"/>
  <c r="M564" i="8"/>
  <c r="M564" i="8" a="1"/>
  <c r="M563" i="8" a="1"/>
  <c r="M563" i="8" s="1"/>
  <c r="M562" i="8" a="1"/>
  <c r="M562" i="8" s="1"/>
  <c r="M561" i="8"/>
  <c r="M561" i="8" a="1"/>
  <c r="M560" i="8" a="1"/>
  <c r="M560" i="8" s="1"/>
  <c r="M559" i="8" a="1"/>
  <c r="M559" i="8" s="1"/>
  <c r="M558" i="8"/>
  <c r="M558" i="8" a="1"/>
  <c r="M557" i="8"/>
  <c r="M557" i="8" a="1"/>
  <c r="M556" i="8"/>
  <c r="M556" i="8" a="1"/>
  <c r="M555" i="8" a="1"/>
  <c r="M555" i="8" s="1"/>
  <c r="M554" i="8" a="1"/>
  <c r="M554" i="8" s="1"/>
  <c r="M553" i="8" a="1"/>
  <c r="M553" i="8" s="1"/>
  <c r="M552" i="8"/>
  <c r="M552" i="8" a="1"/>
  <c r="M551" i="8" a="1"/>
  <c r="M551" i="8" s="1"/>
  <c r="M550" i="8"/>
  <c r="M550" i="8" a="1"/>
  <c r="M549" i="8"/>
  <c r="M549" i="8" a="1"/>
  <c r="M548" i="8" a="1"/>
  <c r="M548" i="8" s="1"/>
  <c r="M547" i="8" a="1"/>
  <c r="M547" i="8" s="1"/>
  <c r="M546" i="8" a="1"/>
  <c r="M546" i="8" s="1"/>
  <c r="M545" i="8" a="1"/>
  <c r="M545" i="8" s="1"/>
  <c r="M544" i="8" a="1"/>
  <c r="M544" i="8" s="1"/>
  <c r="M543" i="8" a="1"/>
  <c r="M543" i="8" s="1"/>
  <c r="M542" i="8"/>
  <c r="M542" i="8" a="1"/>
  <c r="M541" i="8"/>
  <c r="M541" i="8" a="1"/>
  <c r="M540" i="8"/>
  <c r="M540" i="8" a="1"/>
  <c r="M539" i="8" a="1"/>
  <c r="M539" i="8" s="1"/>
  <c r="M538" i="8"/>
  <c r="M538" i="8" a="1"/>
  <c r="M537" i="8" a="1"/>
  <c r="M537" i="8" s="1"/>
  <c r="M536" i="8" a="1"/>
  <c r="M536" i="8" s="1"/>
  <c r="M535" i="8" a="1"/>
  <c r="M535" i="8" s="1"/>
  <c r="M534" i="8"/>
  <c r="M534" i="8" a="1"/>
  <c r="M533" i="8"/>
  <c r="M533" i="8" a="1"/>
  <c r="M532" i="8"/>
  <c r="M532" i="8" a="1"/>
  <c r="M531" i="8" a="1"/>
  <c r="M531" i="8" s="1"/>
  <c r="M530" i="8" a="1"/>
  <c r="M530" i="8" s="1"/>
  <c r="M529" i="8"/>
  <c r="M529" i="8" a="1"/>
  <c r="M528" i="8" a="1"/>
  <c r="M528" i="8" s="1"/>
  <c r="M527" i="8" a="1"/>
  <c r="M527" i="8" s="1"/>
  <c r="M526" i="8"/>
  <c r="M526" i="8" a="1"/>
  <c r="M525" i="8" a="1"/>
  <c r="M525" i="8" s="1"/>
  <c r="M524" i="8"/>
  <c r="M524" i="8" a="1"/>
  <c r="M523" i="8" a="1"/>
  <c r="M523" i="8" s="1"/>
  <c r="M522" i="8" a="1"/>
  <c r="M522" i="8" s="1"/>
  <c r="M521" i="8" a="1"/>
  <c r="M521" i="8" s="1"/>
  <c r="M520" i="8"/>
  <c r="M520" i="8" a="1"/>
  <c r="M519" i="8" a="1"/>
  <c r="M519" i="8" s="1"/>
  <c r="M518" i="8"/>
  <c r="M518" i="8" a="1"/>
  <c r="M517" i="8"/>
  <c r="M517" i="8" a="1"/>
  <c r="M516" i="8"/>
  <c r="M516" i="8" a="1"/>
  <c r="M515" i="8" a="1"/>
  <c r="M515" i="8" s="1"/>
  <c r="M514" i="8" a="1"/>
  <c r="M514" i="8" s="1"/>
  <c r="M513" i="8" a="1"/>
  <c r="M513" i="8" s="1"/>
  <c r="M512" i="8" a="1"/>
  <c r="M512" i="8" s="1"/>
  <c r="M511" i="8" a="1"/>
  <c r="M511" i="8" s="1"/>
  <c r="M510" i="8"/>
  <c r="M510" i="8" a="1"/>
  <c r="M509" i="8"/>
  <c r="M509" i="8" a="1"/>
  <c r="M508" i="8"/>
  <c r="M508" i="8" a="1"/>
  <c r="M507" i="8" a="1"/>
  <c r="M507" i="8" s="1"/>
  <c r="M506" i="8"/>
  <c r="M506" i="8" a="1"/>
  <c r="M505" i="8" a="1"/>
  <c r="M505" i="8" s="1"/>
  <c r="M504" i="8" a="1"/>
  <c r="M504" i="8" s="1"/>
  <c r="M503" i="8" a="1"/>
  <c r="M503" i="8" s="1"/>
  <c r="M502" i="8"/>
  <c r="M502" i="8" a="1"/>
  <c r="M501" i="8"/>
  <c r="M501" i="8" a="1"/>
  <c r="M500" i="8"/>
  <c r="M500" i="8" a="1"/>
  <c r="M499" i="8" a="1"/>
  <c r="M499" i="8" s="1"/>
  <c r="M498" i="8" a="1"/>
  <c r="M498" i="8" s="1"/>
  <c r="M497" i="8"/>
  <c r="M497" i="8" a="1"/>
  <c r="M496" i="8" a="1"/>
  <c r="M496" i="8" s="1"/>
  <c r="M495" i="8" a="1"/>
  <c r="M495" i="8" s="1"/>
  <c r="M494" i="8"/>
  <c r="M494" i="8" a="1"/>
  <c r="M493" i="8" a="1"/>
  <c r="M493" i="8" s="1"/>
  <c r="M492" i="8"/>
  <c r="M492" i="8" a="1"/>
  <c r="M491" i="8" a="1"/>
  <c r="M491" i="8" s="1"/>
  <c r="M490" i="8" a="1"/>
  <c r="M490" i="8" s="1"/>
  <c r="M489" i="8" a="1"/>
  <c r="M489" i="8" s="1"/>
  <c r="M488" i="8"/>
  <c r="M488" i="8" a="1"/>
  <c r="M487" i="8" a="1"/>
  <c r="M487" i="8" s="1"/>
  <c r="M486" i="8" a="1"/>
  <c r="M486" i="8" s="1"/>
  <c r="M485" i="8" a="1"/>
  <c r="M485" i="8" s="1"/>
  <c r="M484" i="8"/>
  <c r="M484" i="8" a="1"/>
  <c r="M483" i="8" a="1"/>
  <c r="M483" i="8" s="1"/>
  <c r="M482" i="8" a="1"/>
  <c r="M482" i="8" s="1"/>
  <c r="M481" i="8" a="1"/>
  <c r="M481" i="8" s="1"/>
  <c r="M480" i="8"/>
  <c r="M480" i="8" a="1"/>
  <c r="M479" i="8" a="1"/>
  <c r="M479" i="8" s="1"/>
  <c r="M478" i="8" a="1"/>
  <c r="M478" i="8" s="1"/>
  <c r="M477" i="8" a="1"/>
  <c r="M477" i="8" s="1"/>
  <c r="M476" i="8"/>
  <c r="M476" i="8" a="1"/>
  <c r="M475" i="8" a="1"/>
  <c r="M475" i="8" s="1"/>
  <c r="M474" i="8" a="1"/>
  <c r="M474" i="8" s="1"/>
  <c r="M473" i="8" a="1"/>
  <c r="M473" i="8" s="1"/>
  <c r="M472" i="8"/>
  <c r="M472" i="8" a="1"/>
  <c r="M471" i="8" a="1"/>
  <c r="M471" i="8" s="1"/>
  <c r="M470" i="8" a="1"/>
  <c r="M470" i="8" s="1"/>
  <c r="M469" i="8" a="1"/>
  <c r="M469" i="8" s="1"/>
  <c r="M468" i="8"/>
  <c r="M468" i="8" a="1"/>
  <c r="M467" i="8" a="1"/>
  <c r="M467" i="8" s="1"/>
  <c r="M466" i="8" a="1"/>
  <c r="M466" i="8" s="1"/>
  <c r="M465" i="8" a="1"/>
  <c r="M465" i="8" s="1"/>
  <c r="M464" i="8"/>
  <c r="M464" i="8" a="1"/>
  <c r="M463" i="8" a="1"/>
  <c r="M463" i="8" s="1"/>
  <c r="M462" i="8" a="1"/>
  <c r="M462" i="8" s="1"/>
  <c r="M461" i="8" a="1"/>
  <c r="M461" i="8" s="1"/>
  <c r="M460" i="8"/>
  <c r="M460" i="8" a="1"/>
  <c r="M459" i="8" a="1"/>
  <c r="M459" i="8" s="1"/>
  <c r="M458" i="8" a="1"/>
  <c r="M458" i="8" s="1"/>
  <c r="M457" i="8" a="1"/>
  <c r="M457" i="8" s="1"/>
  <c r="M456" i="8"/>
  <c r="M456" i="8" a="1"/>
  <c r="M455" i="8" a="1"/>
  <c r="M455" i="8" s="1"/>
  <c r="M454" i="8" a="1"/>
  <c r="M454" i="8" s="1"/>
  <c r="M453" i="8" a="1"/>
  <c r="M453" i="8" s="1"/>
  <c r="M452" i="8"/>
  <c r="M452" i="8" a="1"/>
  <c r="M451" i="8" a="1"/>
  <c r="M451" i="8" s="1"/>
  <c r="M450" i="8" a="1"/>
  <c r="M450" i="8" s="1"/>
  <c r="M449" i="8" a="1"/>
  <c r="M449" i="8" s="1"/>
  <c r="M448" i="8" a="1"/>
  <c r="M448" i="8" s="1"/>
  <c r="M447" i="8" a="1"/>
  <c r="M447" i="8" s="1"/>
  <c r="M446" i="8" a="1"/>
  <c r="M446" i="8" s="1"/>
  <c r="M445" i="8" a="1"/>
  <c r="M445" i="8" s="1"/>
  <c r="M444" i="8" a="1"/>
  <c r="M444" i="8" s="1"/>
  <c r="M443" i="8" a="1"/>
  <c r="M443" i="8" s="1"/>
  <c r="M442" i="8" a="1"/>
  <c r="M442" i="8" s="1"/>
  <c r="M441" i="8" a="1"/>
  <c r="M441" i="8" s="1"/>
  <c r="M440" i="8"/>
  <c r="M440" i="8" a="1"/>
  <c r="M439" i="8" a="1"/>
  <c r="M439" i="8" s="1"/>
  <c r="M438" i="8" a="1"/>
  <c r="M438" i="8" s="1"/>
  <c r="M437" i="8" a="1"/>
  <c r="M437" i="8" s="1"/>
  <c r="M436" i="8" a="1"/>
  <c r="M436" i="8" s="1"/>
  <c r="M435" i="8" a="1"/>
  <c r="M435" i="8" s="1"/>
  <c r="M434" i="8" a="1"/>
  <c r="M434" i="8" s="1"/>
  <c r="M433" i="8" a="1"/>
  <c r="M433" i="8" s="1"/>
  <c r="M432" i="8" a="1"/>
  <c r="M432" i="8" s="1"/>
  <c r="M431" i="8" a="1"/>
  <c r="M431" i="8" s="1"/>
  <c r="M430" i="8" a="1"/>
  <c r="M430" i="8" s="1"/>
  <c r="M429" i="8" a="1"/>
  <c r="M429" i="8" s="1"/>
  <c r="M428" i="8"/>
  <c r="M428" i="8" a="1"/>
  <c r="M427" i="8" a="1"/>
  <c r="M427" i="8" s="1"/>
  <c r="M426" i="8" a="1"/>
  <c r="M426" i="8" s="1"/>
  <c r="M425" i="8" a="1"/>
  <c r="M425" i="8" s="1"/>
  <c r="M424" i="8"/>
  <c r="M424" i="8" a="1"/>
  <c r="M423" i="8" a="1"/>
  <c r="M423" i="8" s="1"/>
  <c r="M422" i="8" a="1"/>
  <c r="M422" i="8" s="1"/>
  <c r="M421" i="8" a="1"/>
  <c r="M421" i="8" s="1"/>
  <c r="M420" i="8" a="1"/>
  <c r="M420" i="8" s="1"/>
  <c r="M419" i="8" a="1"/>
  <c r="M419" i="8" s="1"/>
  <c r="M418" i="8" a="1"/>
  <c r="M418" i="8" s="1"/>
  <c r="M417" i="8" a="1"/>
  <c r="M417" i="8" s="1"/>
  <c r="M416" i="8" a="1"/>
  <c r="M416" i="8" s="1"/>
  <c r="M415" i="8" a="1"/>
  <c r="M415" i="8" s="1"/>
  <c r="M414" i="8" a="1"/>
  <c r="M414" i="8" s="1"/>
  <c r="M413" i="8" a="1"/>
  <c r="M413" i="8" s="1"/>
  <c r="M412" i="8" a="1"/>
  <c r="M412" i="8" s="1"/>
  <c r="M411" i="8" a="1"/>
  <c r="M411" i="8" s="1"/>
  <c r="M410" i="8" a="1"/>
  <c r="M410" i="8" s="1"/>
  <c r="M409" i="8" a="1"/>
  <c r="M409" i="8" s="1"/>
  <c r="M408" i="8"/>
  <c r="M408" i="8" a="1"/>
  <c r="M407" i="8" a="1"/>
  <c r="M407" i="8" s="1"/>
  <c r="M406" i="8" a="1"/>
  <c r="M406" i="8" s="1"/>
  <c r="M405" i="8" a="1"/>
  <c r="M405" i="8" s="1"/>
  <c r="M404" i="8" a="1"/>
  <c r="M404" i="8" s="1"/>
  <c r="M403" i="8" a="1"/>
  <c r="M403" i="8" s="1"/>
  <c r="M402" i="8" a="1"/>
  <c r="M402" i="8" s="1"/>
  <c r="M401" i="8" a="1"/>
  <c r="M401" i="8" s="1"/>
  <c r="M400" i="8" a="1"/>
  <c r="M400" i="8" s="1"/>
  <c r="M399" i="8" a="1"/>
  <c r="M399" i="8" s="1"/>
  <c r="M398" i="8" a="1"/>
  <c r="M398" i="8" s="1"/>
  <c r="M397" i="8" a="1"/>
  <c r="M397" i="8" s="1"/>
  <c r="M396" i="8"/>
  <c r="M396" i="8" a="1"/>
  <c r="M395" i="8" a="1"/>
  <c r="M395" i="8" s="1"/>
  <c r="M394" i="8" a="1"/>
  <c r="M394" i="8" s="1"/>
  <c r="M393" i="8" a="1"/>
  <c r="M393" i="8" s="1"/>
  <c r="M392" i="8"/>
  <c r="M392" i="8" a="1"/>
  <c r="M391" i="8" a="1"/>
  <c r="M391" i="8" s="1"/>
  <c r="M390" i="8" a="1"/>
  <c r="M390" i="8" s="1"/>
  <c r="M389" i="8" a="1"/>
  <c r="M389" i="8" s="1"/>
  <c r="M388" i="8" a="1"/>
  <c r="M388" i="8" s="1"/>
  <c r="M387" i="8" a="1"/>
  <c r="M387" i="8" s="1"/>
  <c r="M386" i="8" a="1"/>
  <c r="M386" i="8" s="1"/>
  <c r="M385" i="8" a="1"/>
  <c r="M385" i="8" s="1"/>
  <c r="M384" i="8" a="1"/>
  <c r="M384" i="8" s="1"/>
  <c r="M383" i="8" a="1"/>
  <c r="M383" i="8" s="1"/>
  <c r="M382" i="8" a="1"/>
  <c r="M382" i="8" s="1"/>
  <c r="M381" i="8" a="1"/>
  <c r="M381" i="8" s="1"/>
  <c r="M380" i="8" a="1"/>
  <c r="M380" i="8" s="1"/>
  <c r="M379" i="8" a="1"/>
  <c r="M379" i="8" s="1"/>
  <c r="M378" i="8" a="1"/>
  <c r="M378" i="8" s="1"/>
  <c r="M377" i="8" a="1"/>
  <c r="M377" i="8" s="1"/>
  <c r="M376" i="8"/>
  <c r="M376" i="8" a="1"/>
  <c r="M375" i="8" a="1"/>
  <c r="M375" i="8" s="1"/>
  <c r="M374" i="8" a="1"/>
  <c r="M374" i="8" s="1"/>
  <c r="M373" i="8" a="1"/>
  <c r="M373" i="8" s="1"/>
  <c r="M372" i="8" a="1"/>
  <c r="M372" i="8" s="1"/>
  <c r="M371" i="8" a="1"/>
  <c r="M371" i="8" s="1"/>
  <c r="M370" i="8" a="1"/>
  <c r="M370" i="8" s="1"/>
  <c r="M369" i="8" a="1"/>
  <c r="M369" i="8" s="1"/>
  <c r="M368" i="8" a="1"/>
  <c r="M368" i="8" s="1"/>
  <c r="M367" i="8" a="1"/>
  <c r="M367" i="8" s="1"/>
  <c r="M366" i="8" a="1"/>
  <c r="M366" i="8" s="1"/>
  <c r="M365" i="8" a="1"/>
  <c r="M365" i="8" s="1"/>
  <c r="M364" i="8"/>
  <c r="M364" i="8" a="1"/>
  <c r="M363" i="8" a="1"/>
  <c r="M363" i="8" s="1"/>
  <c r="M362" i="8" a="1"/>
  <c r="M362" i="8" s="1"/>
  <c r="M361" i="8" a="1"/>
  <c r="M361" i="8" s="1"/>
  <c r="M360" i="8"/>
  <c r="M360" i="8" a="1"/>
  <c r="M359" i="8" a="1"/>
  <c r="M359" i="8" s="1"/>
  <c r="M358" i="8" a="1"/>
  <c r="M358" i="8" s="1"/>
  <c r="M357" i="8" a="1"/>
  <c r="M357" i="8" s="1"/>
  <c r="M356" i="8" a="1"/>
  <c r="M356" i="8" s="1"/>
  <c r="M355" i="8" a="1"/>
  <c r="M355" i="8" s="1"/>
  <c r="M354" i="8" a="1"/>
  <c r="M354" i="8" s="1"/>
  <c r="M353" i="8" a="1"/>
  <c r="M353" i="8" s="1"/>
  <c r="M352" i="8" a="1"/>
  <c r="M352" i="8" s="1"/>
  <c r="M351" i="8" a="1"/>
  <c r="M351" i="8" s="1"/>
  <c r="M350" i="8" a="1"/>
  <c r="M350" i="8" s="1"/>
  <c r="M349" i="8" a="1"/>
  <c r="M349" i="8" s="1"/>
  <c r="M348" i="8" a="1"/>
  <c r="M348" i="8" s="1"/>
  <c r="M347" i="8" a="1"/>
  <c r="M347" i="8" s="1"/>
  <c r="M346" i="8" a="1"/>
  <c r="M346" i="8" s="1"/>
  <c r="M345" i="8" a="1"/>
  <c r="M345" i="8" s="1"/>
  <c r="M344" i="8"/>
  <c r="M344" i="8" a="1"/>
  <c r="M343" i="8" a="1"/>
  <c r="M343" i="8" s="1"/>
  <c r="M342" i="8" a="1"/>
  <c r="M342" i="8" s="1"/>
  <c r="M341" i="8" a="1"/>
  <c r="M341" i="8" s="1"/>
  <c r="M340" i="8" a="1"/>
  <c r="M340" i="8" s="1"/>
  <c r="M339" i="8" a="1"/>
  <c r="M339" i="8" s="1"/>
  <c r="M338" i="8" a="1"/>
  <c r="M338" i="8" s="1"/>
  <c r="M337" i="8" a="1"/>
  <c r="M337" i="8" s="1"/>
  <c r="M336" i="8" a="1"/>
  <c r="M336" i="8" s="1"/>
  <c r="M335" i="8" a="1"/>
  <c r="M335" i="8" s="1"/>
  <c r="M334" i="8" a="1"/>
  <c r="M334" i="8" s="1"/>
  <c r="M333" i="8" a="1"/>
  <c r="M333" i="8" s="1"/>
  <c r="M332" i="8"/>
  <c r="M332" i="8" a="1"/>
  <c r="M331" i="8" a="1"/>
  <c r="M331" i="8" s="1"/>
  <c r="M330" i="8" a="1"/>
  <c r="M330" i="8" s="1"/>
  <c r="M329" i="8" a="1"/>
  <c r="M329" i="8" s="1"/>
  <c r="M328" i="8"/>
  <c r="M328" i="8" a="1"/>
  <c r="M327" i="8" a="1"/>
  <c r="M327" i="8" s="1"/>
  <c r="M326" i="8" a="1"/>
  <c r="M326" i="8" s="1"/>
  <c r="M325" i="8" a="1"/>
  <c r="M325" i="8" s="1"/>
  <c r="M324" i="8" a="1"/>
  <c r="M324" i="8" s="1"/>
  <c r="M323" i="8" a="1"/>
  <c r="M323" i="8" s="1"/>
  <c r="M322" i="8" a="1"/>
  <c r="M322" i="8" s="1"/>
  <c r="M321" i="8" a="1"/>
  <c r="M321" i="8" s="1"/>
  <c r="M320" i="8" a="1"/>
  <c r="M320" i="8" s="1"/>
  <c r="M319" i="8" a="1"/>
  <c r="M319" i="8" s="1"/>
  <c r="M318" i="8" a="1"/>
  <c r="M318" i="8" s="1"/>
  <c r="M317" i="8" a="1"/>
  <c r="M317" i="8" s="1"/>
  <c r="M316" i="8" a="1"/>
  <c r="M316" i="8" s="1"/>
  <c r="M315" i="8" a="1"/>
  <c r="M315" i="8" s="1"/>
  <c r="M314" i="8" a="1"/>
  <c r="M314" i="8" s="1"/>
  <c r="M313" i="8" a="1"/>
  <c r="M313" i="8" s="1"/>
  <c r="M312" i="8"/>
  <c r="M312" i="8" a="1"/>
  <c r="M311" i="8" a="1"/>
  <c r="M311" i="8" s="1"/>
  <c r="M310" i="8" a="1"/>
  <c r="M310" i="8" s="1"/>
  <c r="M309" i="8" a="1"/>
  <c r="M309" i="8" s="1"/>
  <c r="M308" i="8" a="1"/>
  <c r="M308" i="8" s="1"/>
  <c r="M307" i="8" a="1"/>
  <c r="M307" i="8" s="1"/>
  <c r="M306" i="8" a="1"/>
  <c r="M306" i="8" s="1"/>
  <c r="M305" i="8" a="1"/>
  <c r="M305" i="8" s="1"/>
  <c r="M304" i="8" a="1"/>
  <c r="M304" i="8" s="1"/>
  <c r="M303" i="8" a="1"/>
  <c r="M303" i="8" s="1"/>
  <c r="M302" i="8" a="1"/>
  <c r="M302" i="8" s="1"/>
  <c r="M301" i="8" a="1"/>
  <c r="M301" i="8" s="1"/>
  <c r="M300" i="8"/>
  <c r="M300" i="8" a="1"/>
  <c r="M299" i="8" a="1"/>
  <c r="M299" i="8" s="1"/>
  <c r="M298" i="8" a="1"/>
  <c r="M298" i="8" s="1"/>
  <c r="M297" i="8" a="1"/>
  <c r="M297" i="8" s="1"/>
  <c r="M296" i="8"/>
  <c r="M296" i="8" a="1"/>
  <c r="M295" i="8" a="1"/>
  <c r="M295" i="8" s="1"/>
  <c r="M294" i="8" a="1"/>
  <c r="M294" i="8" s="1"/>
  <c r="M293" i="8" a="1"/>
  <c r="M293" i="8" s="1"/>
  <c r="M292" i="8" a="1"/>
  <c r="M292" i="8" s="1"/>
  <c r="M291" i="8" a="1"/>
  <c r="M291" i="8" s="1"/>
  <c r="M290" i="8" a="1"/>
  <c r="M290" i="8" s="1"/>
  <c r="M289" i="8" a="1"/>
  <c r="M289" i="8" s="1"/>
  <c r="M288" i="8" a="1"/>
  <c r="M288" i="8" s="1"/>
  <c r="M287" i="8" a="1"/>
  <c r="M287" i="8" s="1"/>
  <c r="M286" i="8" a="1"/>
  <c r="M286" i="8" s="1"/>
  <c r="M285" i="8" a="1"/>
  <c r="M285" i="8" s="1"/>
  <c r="M284" i="8" a="1"/>
  <c r="M284" i="8" s="1"/>
  <c r="M283" i="8" a="1"/>
  <c r="M283" i="8" s="1"/>
  <c r="M282" i="8" a="1"/>
  <c r="M282" i="8" s="1"/>
  <c r="M281" i="8" a="1"/>
  <c r="M281" i="8" s="1"/>
  <c r="M280" i="8"/>
  <c r="M280" i="8" a="1"/>
  <c r="M279" i="8" a="1"/>
  <c r="M279" i="8" s="1"/>
  <c r="M278" i="8" a="1"/>
  <c r="M278" i="8" s="1"/>
  <c r="M277" i="8" a="1"/>
  <c r="M277" i="8" s="1"/>
  <c r="M276" i="8" a="1"/>
  <c r="M276" i="8" s="1"/>
  <c r="M275" i="8" a="1"/>
  <c r="M275" i="8" s="1"/>
  <c r="M274" i="8" a="1"/>
  <c r="M274" i="8" s="1"/>
  <c r="M273" i="8" a="1"/>
  <c r="M273" i="8" s="1"/>
  <c r="M272" i="8" a="1"/>
  <c r="M272" i="8" s="1"/>
  <c r="M271" i="8" a="1"/>
  <c r="M271" i="8" s="1"/>
  <c r="M270" i="8" a="1"/>
  <c r="M270" i="8" s="1"/>
  <c r="M269" i="8" a="1"/>
  <c r="M269" i="8" s="1"/>
  <c r="M268" i="8"/>
  <c r="M268" i="8" a="1"/>
  <c r="M267" i="8" a="1"/>
  <c r="M267" i="8" s="1"/>
  <c r="M266" i="8" a="1"/>
  <c r="M266" i="8" s="1"/>
  <c r="M265" i="8" a="1"/>
  <c r="M265" i="8" s="1"/>
  <c r="M264" i="8"/>
  <c r="M264" i="8" a="1"/>
  <c r="M263" i="8" a="1"/>
  <c r="M263" i="8" s="1"/>
  <c r="M262" i="8" a="1"/>
  <c r="M262" i="8" s="1"/>
  <c r="M261" i="8" a="1"/>
  <c r="M261" i="8" s="1"/>
  <c r="M260" i="8" a="1"/>
  <c r="M260" i="8" s="1"/>
  <c r="M259" i="8" a="1"/>
  <c r="M259" i="8" s="1"/>
  <c r="M258" i="8" a="1"/>
  <c r="M258" i="8" s="1"/>
  <c r="M257" i="8" a="1"/>
  <c r="M257" i="8" s="1"/>
  <c r="M256" i="8" a="1"/>
  <c r="M256" i="8" s="1"/>
  <c r="M255" i="8" a="1"/>
  <c r="M255" i="8" s="1"/>
  <c r="M254" i="8" a="1"/>
  <c r="M254" i="8" s="1"/>
  <c r="M253" i="8" a="1"/>
  <c r="M253" i="8" s="1"/>
  <c r="M252" i="8" a="1"/>
  <c r="M252" i="8" s="1"/>
  <c r="M251" i="8" a="1"/>
  <c r="M251" i="8" s="1"/>
  <c r="M250" i="8" a="1"/>
  <c r="M250" i="8" s="1"/>
  <c r="M249" i="8" a="1"/>
  <c r="M249" i="8" s="1"/>
  <c r="M248" i="8"/>
  <c r="M248" i="8" a="1"/>
  <c r="M247" i="8" a="1"/>
  <c r="M247" i="8" s="1"/>
  <c r="M246" i="8" a="1"/>
  <c r="M246" i="8" s="1"/>
  <c r="M245" i="8" a="1"/>
  <c r="M245" i="8" s="1"/>
  <c r="M244" i="8" a="1"/>
  <c r="M244" i="8" s="1"/>
  <c r="M243" i="8" a="1"/>
  <c r="M243" i="8" s="1"/>
  <c r="M242" i="8" a="1"/>
  <c r="M242" i="8" s="1"/>
  <c r="M241" i="8" a="1"/>
  <c r="M241" i="8" s="1"/>
  <c r="M240" i="8" a="1"/>
  <c r="M240" i="8" s="1"/>
  <c r="M239" i="8" a="1"/>
  <c r="M239" i="8" s="1"/>
  <c r="M238" i="8" a="1"/>
  <c r="M238" i="8" s="1"/>
  <c r="M237" i="8" a="1"/>
  <c r="M237" i="8" s="1"/>
  <c r="M236" i="8"/>
  <c r="M236" i="8" a="1"/>
  <c r="M235" i="8" a="1"/>
  <c r="M235" i="8" s="1"/>
  <c r="M234" i="8" a="1"/>
  <c r="M234" i="8" s="1"/>
  <c r="M233" i="8" a="1"/>
  <c r="M233" i="8" s="1"/>
  <c r="M232" i="8"/>
  <c r="M232" i="8" a="1"/>
  <c r="M231" i="8" a="1"/>
  <c r="M231" i="8" s="1"/>
  <c r="M230" i="8" a="1"/>
  <c r="M230" i="8" s="1"/>
  <c r="M229" i="8" a="1"/>
  <c r="M229" i="8" s="1"/>
  <c r="M228" i="8" a="1"/>
  <c r="M228" i="8" s="1"/>
  <c r="M227" i="8" a="1"/>
  <c r="M227" i="8" s="1"/>
  <c r="M226" i="8"/>
  <c r="M226" i="8" a="1"/>
  <c r="M225" i="8" a="1"/>
  <c r="M225" i="8" s="1"/>
  <c r="M224" i="8"/>
  <c r="M224" i="8" a="1"/>
  <c r="M223" i="8" a="1"/>
  <c r="M223" i="8" s="1"/>
  <c r="M222" i="8"/>
  <c r="M222" i="8" a="1"/>
  <c r="M221" i="8" a="1"/>
  <c r="M221" i="8" s="1"/>
  <c r="M220" i="8" a="1"/>
  <c r="M220" i="8" s="1"/>
  <c r="M219" i="8" a="1"/>
  <c r="M219" i="8" s="1"/>
  <c r="M218" i="8"/>
  <c r="M218" i="8" a="1"/>
  <c r="M217" i="8" a="1"/>
  <c r="M217" i="8" s="1"/>
  <c r="M216" i="8" a="1"/>
  <c r="M216" i="8" s="1"/>
  <c r="M215" i="8" a="1"/>
  <c r="M215" i="8" s="1"/>
  <c r="M214" i="8"/>
  <c r="M214" i="8" a="1"/>
  <c r="M213" i="8" a="1"/>
  <c r="M213" i="8" s="1"/>
  <c r="M212" i="8" a="1"/>
  <c r="M212" i="8" s="1"/>
  <c r="M211" i="8" a="1"/>
  <c r="M211" i="8" s="1"/>
  <c r="M210" i="8"/>
  <c r="M210" i="8" a="1"/>
  <c r="M209" i="8" a="1"/>
  <c r="M209" i="8" s="1"/>
  <c r="M208" i="8" a="1"/>
  <c r="M208" i="8" s="1"/>
  <c r="M207" i="8" a="1"/>
  <c r="M207" i="8" s="1"/>
  <c r="M206" i="8"/>
  <c r="M206" i="8" a="1"/>
  <c r="M205" i="8" a="1"/>
  <c r="M205" i="8" s="1"/>
  <c r="M204" i="8" a="1"/>
  <c r="M204" i="8" s="1"/>
  <c r="M203" i="8" a="1"/>
  <c r="M203" i="8" s="1"/>
  <c r="M202" i="8"/>
  <c r="M202" i="8" a="1"/>
  <c r="M201" i="8" a="1"/>
  <c r="M201" i="8" s="1"/>
  <c r="M200" i="8" a="1"/>
  <c r="M200" i="8" s="1"/>
  <c r="M199" i="8" a="1"/>
  <c r="M199" i="8" s="1"/>
  <c r="M198" i="8"/>
  <c r="M198" i="8" a="1"/>
  <c r="M197" i="8" a="1"/>
  <c r="M197" i="8" s="1"/>
  <c r="M196" i="8" a="1"/>
  <c r="M196" i="8" s="1"/>
  <c r="M195" i="8" a="1"/>
  <c r="M195" i="8" s="1"/>
  <c r="M194" i="8"/>
  <c r="M194" i="8" a="1"/>
  <c r="M193" i="8" a="1"/>
  <c r="M193" i="8" s="1"/>
  <c r="M192" i="8" a="1"/>
  <c r="M192" i="8" s="1"/>
  <c r="M191" i="8" a="1"/>
  <c r="M191" i="8" s="1"/>
  <c r="M190" i="8" a="1"/>
  <c r="M190" i="8" s="1"/>
  <c r="M189" i="8" a="1"/>
  <c r="M189" i="8" s="1"/>
  <c r="M188" i="8" a="1"/>
  <c r="M188" i="8" s="1"/>
  <c r="M187" i="8" a="1"/>
  <c r="M187" i="8" s="1"/>
  <c r="M186" i="8" a="1"/>
  <c r="M186" i="8" s="1"/>
  <c r="M185" i="8" a="1"/>
  <c r="M185" i="8" s="1"/>
  <c r="M184" i="8" a="1"/>
  <c r="M184" i="8" s="1"/>
  <c r="M183" i="8" a="1"/>
  <c r="M183" i="8" s="1"/>
  <c r="M182" i="8" a="1"/>
  <c r="M182" i="8" s="1"/>
  <c r="M181" i="8" a="1"/>
  <c r="M181" i="8" s="1"/>
  <c r="M180" i="8" a="1"/>
  <c r="M180" i="8" s="1"/>
  <c r="M179" i="8" a="1"/>
  <c r="M179" i="8" s="1"/>
  <c r="M178" i="8" a="1"/>
  <c r="M178" i="8" s="1"/>
  <c r="M177" i="8" a="1"/>
  <c r="M177" i="8" s="1"/>
  <c r="M176" i="8" a="1"/>
  <c r="M176" i="8" s="1"/>
  <c r="M175" i="8" a="1"/>
  <c r="M175" i="8" s="1"/>
  <c r="M174" i="8" a="1"/>
  <c r="M174" i="8" s="1"/>
  <c r="M173" i="8" a="1"/>
  <c r="M173" i="8" s="1"/>
  <c r="M172" i="8" a="1"/>
  <c r="M172" i="8" s="1"/>
  <c r="M171" i="8" a="1"/>
  <c r="M171" i="8" s="1"/>
  <c r="M170" i="8" a="1"/>
  <c r="M170" i="8" s="1"/>
  <c r="M169" i="8" a="1"/>
  <c r="M169" i="8" s="1"/>
  <c r="M168" i="8" a="1"/>
  <c r="M168" i="8" s="1"/>
  <c r="M167" i="8" a="1"/>
  <c r="M167" i="8" s="1"/>
  <c r="M166" i="8" a="1"/>
  <c r="M166" i="8" s="1"/>
  <c r="M165" i="8" a="1"/>
  <c r="M165" i="8" s="1"/>
  <c r="M164" i="8" a="1"/>
  <c r="M164" i="8" s="1"/>
  <c r="M163" i="8" a="1"/>
  <c r="M163" i="8" s="1"/>
  <c r="M162" i="8" a="1"/>
  <c r="M162" i="8" s="1"/>
  <c r="M161" i="8" a="1"/>
  <c r="M161" i="8" s="1"/>
  <c r="M160" i="8" a="1"/>
  <c r="M160" i="8" s="1"/>
  <c r="M159" i="8" a="1"/>
  <c r="M159" i="8" s="1"/>
  <c r="M158" i="8" a="1"/>
  <c r="M158" i="8" s="1"/>
  <c r="M157" i="8" a="1"/>
  <c r="M157" i="8" s="1"/>
  <c r="M156" i="8" a="1"/>
  <c r="M156" i="8" s="1"/>
  <c r="M155" i="8" a="1"/>
  <c r="M155" i="8" s="1"/>
  <c r="M154" i="8" a="1"/>
  <c r="M154" i="8" s="1"/>
  <c r="M153" i="8" a="1"/>
  <c r="M153" i="8" s="1"/>
  <c r="M152" i="8" a="1"/>
  <c r="M152" i="8" s="1"/>
  <c r="M151" i="8" a="1"/>
  <c r="M151" i="8" s="1"/>
  <c r="M150" i="8" a="1"/>
  <c r="M150" i="8" s="1"/>
  <c r="M149" i="8" a="1"/>
  <c r="M149" i="8" s="1"/>
  <c r="M148" i="8" a="1"/>
  <c r="M148" i="8" s="1"/>
  <c r="M147" i="8" a="1"/>
  <c r="M147" i="8" s="1"/>
  <c r="M146" i="8" a="1"/>
  <c r="M146" i="8" s="1"/>
  <c r="M145" i="8" a="1"/>
  <c r="M145" i="8" s="1"/>
  <c r="M144" i="8" a="1"/>
  <c r="M144" i="8" s="1"/>
  <c r="M143" i="8" a="1"/>
  <c r="M143" i="8" s="1"/>
  <c r="M142" i="8" a="1"/>
  <c r="M142" i="8" s="1"/>
  <c r="M141" i="8" a="1"/>
  <c r="M141" i="8" s="1"/>
  <c r="M140" i="8" a="1"/>
  <c r="M140" i="8" s="1"/>
  <c r="M139" i="8" a="1"/>
  <c r="M139" i="8" s="1"/>
  <c r="M138" i="8" a="1"/>
  <c r="M138" i="8" s="1"/>
  <c r="M137" i="8" a="1"/>
  <c r="M137" i="8" s="1"/>
  <c r="M136" i="8" a="1"/>
  <c r="M136" i="8" s="1"/>
  <c r="M135" i="8" a="1"/>
  <c r="M135" i="8" s="1"/>
  <c r="M134" i="8" a="1"/>
  <c r="M134" i="8" s="1"/>
  <c r="M133" i="8" a="1"/>
  <c r="M133" i="8" s="1"/>
  <c r="M132" i="8" a="1"/>
  <c r="M132" i="8" s="1"/>
  <c r="M131" i="8" a="1"/>
  <c r="M131" i="8" s="1"/>
  <c r="M130" i="8" a="1"/>
  <c r="M130" i="8" s="1"/>
  <c r="M129" i="8" a="1"/>
  <c r="M129" i="8" s="1"/>
  <c r="M128" i="8" a="1"/>
  <c r="M128" i="8" s="1"/>
  <c r="M127" i="8" a="1"/>
  <c r="M127" i="8" s="1"/>
  <c r="M126" i="8" a="1"/>
  <c r="M126" i="8" s="1"/>
  <c r="M125" i="8" a="1"/>
  <c r="M125" i="8" s="1"/>
  <c r="M124" i="8" a="1"/>
  <c r="M124" i="8" s="1"/>
  <c r="M123" i="8" a="1"/>
  <c r="M123" i="8" s="1"/>
  <c r="M122" i="8" a="1"/>
  <c r="M122" i="8" s="1"/>
  <c r="M121" i="8" a="1"/>
  <c r="M121" i="8" s="1"/>
  <c r="M120" i="8" a="1"/>
  <c r="M120" i="8" s="1"/>
  <c r="M119" i="8" a="1"/>
  <c r="M119" i="8" s="1"/>
  <c r="M118" i="8" a="1"/>
  <c r="M118" i="8" s="1"/>
  <c r="M117" i="8" a="1"/>
  <c r="M117" i="8" s="1"/>
  <c r="M116" i="8" a="1"/>
  <c r="M116" i="8" s="1"/>
  <c r="M115" i="8" a="1"/>
  <c r="M115" i="8" s="1"/>
  <c r="M114" i="8" a="1"/>
  <c r="M114" i="8" s="1"/>
  <c r="M113" i="8" a="1"/>
  <c r="M113" i="8" s="1"/>
  <c r="M112" i="8" a="1"/>
  <c r="M112" i="8" s="1"/>
  <c r="M111" i="8" a="1"/>
  <c r="M111" i="8" s="1"/>
  <c r="M110" i="8" a="1"/>
  <c r="M110" i="8" s="1"/>
  <c r="M109" i="8" a="1"/>
  <c r="M109" i="8" s="1"/>
  <c r="M108" i="8" a="1"/>
  <c r="M108" i="8" s="1"/>
  <c r="M107" i="8" a="1"/>
  <c r="M107" i="8" s="1"/>
  <c r="M106" i="8" a="1"/>
  <c r="M106" i="8" s="1"/>
  <c r="M105" i="8" a="1"/>
  <c r="M105" i="8" s="1"/>
  <c r="M104" i="8" a="1"/>
  <c r="M104" i="8" s="1"/>
  <c r="M103" i="8" a="1"/>
  <c r="M103" i="8" s="1"/>
  <c r="M102" i="8" a="1"/>
  <c r="M102" i="8" s="1"/>
  <c r="M101" i="8" a="1"/>
  <c r="M101" i="8" s="1"/>
  <c r="M100" i="8" a="1"/>
  <c r="M100" i="8" s="1"/>
  <c r="M99" i="8" a="1"/>
  <c r="M99" i="8" s="1"/>
  <c r="M98" i="8" a="1"/>
  <c r="M98" i="8" s="1"/>
  <c r="M97" i="8" a="1"/>
  <c r="M97" i="8" s="1"/>
  <c r="M96" i="8" a="1"/>
  <c r="M96" i="8" s="1"/>
  <c r="M95" i="8" a="1"/>
  <c r="M95" i="8" s="1"/>
  <c r="M94" i="8" a="1"/>
  <c r="M94" i="8" s="1"/>
  <c r="M93" i="8" a="1"/>
  <c r="M93" i="8" s="1"/>
  <c r="M92" i="8" a="1"/>
  <c r="M92" i="8" s="1"/>
  <c r="M91" i="8" a="1"/>
  <c r="M91" i="8" s="1"/>
  <c r="M90" i="8" a="1"/>
  <c r="M90" i="8" s="1"/>
  <c r="M89" i="8" a="1"/>
  <c r="M89" i="8" s="1"/>
  <c r="M88" i="8" a="1"/>
  <c r="M88" i="8" s="1"/>
  <c r="M87" i="8" a="1"/>
  <c r="M87" i="8" s="1"/>
  <c r="M86" i="8" a="1"/>
  <c r="M86" i="8" s="1"/>
  <c r="M85" i="8" a="1"/>
  <c r="M85" i="8" s="1"/>
  <c r="M84" i="8" a="1"/>
  <c r="M84" i="8" s="1"/>
  <c r="M83" i="8" a="1"/>
  <c r="M83" i="8" s="1"/>
  <c r="M82" i="8" a="1"/>
  <c r="M82" i="8" s="1"/>
  <c r="M81" i="8" a="1"/>
  <c r="M81" i="8" s="1"/>
  <c r="M80" i="8" a="1"/>
  <c r="M80" i="8" s="1"/>
  <c r="M79" i="8" a="1"/>
  <c r="M79" i="8" s="1"/>
  <c r="M78" i="8" a="1"/>
  <c r="M78" i="8" s="1"/>
  <c r="M77" i="8" a="1"/>
  <c r="M77" i="8" s="1"/>
  <c r="M76" i="8" a="1"/>
  <c r="M76" i="8" s="1"/>
  <c r="M75" i="8" a="1"/>
  <c r="M75" i="8" s="1"/>
  <c r="M74" i="8" a="1"/>
  <c r="M74" i="8" s="1"/>
  <c r="M73" i="8" a="1"/>
  <c r="M73" i="8" s="1"/>
  <c r="M72" i="8" a="1"/>
  <c r="M72" i="8" s="1"/>
  <c r="M71" i="8" a="1"/>
  <c r="M71" i="8" s="1"/>
  <c r="M70" i="8" a="1"/>
  <c r="M70" i="8" s="1"/>
  <c r="M69" i="8" a="1"/>
  <c r="M69" i="8" s="1"/>
  <c r="M68" i="8" a="1"/>
  <c r="M68" i="8" s="1"/>
  <c r="M67" i="8" a="1"/>
  <c r="M67" i="8" s="1"/>
  <c r="M66" i="8" a="1"/>
  <c r="M66" i="8" s="1"/>
  <c r="M65" i="8" a="1"/>
  <c r="M65" i="8" s="1"/>
  <c r="M64" i="8" a="1"/>
  <c r="M64" i="8" s="1"/>
  <c r="M63" i="8" a="1"/>
  <c r="M63" i="8" s="1"/>
  <c r="M62" i="8" a="1"/>
  <c r="M62" i="8" s="1"/>
  <c r="M61" i="8" a="1"/>
  <c r="M61" i="8" s="1"/>
  <c r="M60" i="8" a="1"/>
  <c r="M60" i="8" s="1"/>
  <c r="M59" i="8" a="1"/>
  <c r="M59" i="8" s="1"/>
  <c r="M58" i="8" a="1"/>
  <c r="M58" i="8" s="1"/>
  <c r="M57" i="8" a="1"/>
  <c r="M57" i="8" s="1"/>
  <c r="M56" i="8" a="1"/>
  <c r="M56" i="8" s="1"/>
  <c r="M55" i="8" a="1"/>
  <c r="M55" i="8" s="1"/>
  <c r="M54" i="8" a="1"/>
  <c r="M54" i="8" s="1"/>
  <c r="M53" i="8" a="1"/>
  <c r="M53" i="8" s="1"/>
  <c r="M52" i="8" a="1"/>
  <c r="M52" i="8" s="1"/>
  <c r="M51" i="8" a="1"/>
  <c r="M51" i="8" s="1"/>
  <c r="M50" i="8" a="1"/>
  <c r="M50" i="8" s="1"/>
  <c r="M49" i="8" a="1"/>
  <c r="M49" i="8" s="1"/>
  <c r="M48" i="8" a="1"/>
  <c r="M48" i="8" s="1"/>
  <c r="M47" i="8" a="1"/>
  <c r="M47" i="8" s="1"/>
  <c r="M46" i="8" a="1"/>
  <c r="M46" i="8" s="1"/>
  <c r="M45" i="8" a="1"/>
  <c r="M45" i="8" s="1"/>
  <c r="M44" i="8" a="1"/>
  <c r="M44" i="8" s="1"/>
  <c r="M43" i="8" a="1"/>
  <c r="M43" i="8" s="1"/>
  <c r="M42" i="8" a="1"/>
  <c r="M42" i="8" s="1"/>
  <c r="M41" i="8" a="1"/>
  <c r="M41" i="8" s="1"/>
  <c r="M40" i="8" a="1"/>
  <c r="M40" i="8" s="1"/>
  <c r="M39" i="8" a="1"/>
  <c r="M39" i="8" s="1"/>
  <c r="M38" i="8" a="1"/>
  <c r="M38" i="8" s="1"/>
  <c r="M37" i="8" a="1"/>
  <c r="M37" i="8" s="1"/>
  <c r="M36" i="8" a="1"/>
  <c r="M36" i="8" s="1"/>
  <c r="M35" i="8" a="1"/>
  <c r="M35" i="8" s="1"/>
  <c r="M34" i="8" a="1"/>
  <c r="M34" i="8" s="1"/>
  <c r="M33" i="8" a="1"/>
  <c r="M33" i="8" s="1"/>
  <c r="M32" i="8" a="1"/>
  <c r="M32" i="8" s="1"/>
  <c r="M31" i="8" a="1"/>
  <c r="M31" i="8" s="1"/>
  <c r="M30" i="8" a="1"/>
  <c r="M30" i="8" s="1"/>
  <c r="M29" i="8" a="1"/>
  <c r="M29" i="8" s="1"/>
  <c r="M28" i="8" a="1"/>
  <c r="M28" i="8" s="1"/>
  <c r="M27" i="8" a="1"/>
  <c r="M27" i="8" s="1"/>
  <c r="M26" i="8" a="1"/>
  <c r="M26" i="8" s="1"/>
  <c r="M25" i="8" a="1"/>
  <c r="M25" i="8" s="1"/>
  <c r="M24" i="8" a="1"/>
  <c r="M24" i="8" s="1"/>
  <c r="M23" i="8" a="1"/>
  <c r="M23" i="8" s="1"/>
  <c r="M22" i="8" a="1"/>
  <c r="M22" i="8" s="1"/>
  <c r="M21" i="8" a="1"/>
  <c r="M21" i="8" s="1"/>
  <c r="M20" i="8" a="1"/>
  <c r="M20" i="8" s="1"/>
  <c r="M19" i="8" a="1"/>
  <c r="M19" i="8" s="1"/>
  <c r="M18" i="8" a="1"/>
  <c r="M18" i="8" s="1"/>
  <c r="M17" i="8" a="1"/>
  <c r="M17" i="8" s="1"/>
  <c r="M16" i="8" a="1"/>
  <c r="M16" i="8" s="1"/>
  <c r="M15" i="8" a="1"/>
  <c r="M15" i="8" s="1"/>
  <c r="M14" i="8" a="1"/>
  <c r="M14" i="8" s="1"/>
  <c r="M13" i="8" a="1"/>
  <c r="M13" i="8" s="1"/>
  <c r="M12" i="8" a="1"/>
  <c r="M12" i="8" s="1"/>
  <c r="M11" i="8" a="1"/>
  <c r="M11" i="8" s="1"/>
  <c r="M10" i="8" a="1"/>
  <c r="M10" i="8" s="1"/>
  <c r="M9" i="8" a="1"/>
  <c r="M9" i="8" s="1"/>
  <c r="M8" i="8" a="1"/>
  <c r="M8" i="8" s="1"/>
  <c r="M7" i="8" a="1"/>
  <c r="M7" i="8" s="1"/>
  <c r="M6" i="8" a="1"/>
  <c r="M6" i="8" s="1"/>
  <c r="M5" i="8" a="1"/>
  <c r="M5" i="8" s="1"/>
  <c r="M4" i="8" a="1"/>
  <c r="M4" i="8" s="1"/>
  <c r="M3" i="8" a="1"/>
  <c r="M3" i="8" s="1"/>
  <c r="M2" i="8" a="1"/>
  <c r="M2" i="8" s="1"/>
  <c r="N526" i="4" a="1"/>
  <c r="N526" i="4" s="1"/>
  <c r="N527" i="4" a="1"/>
  <c r="N527" i="4" s="1"/>
  <c r="N528" i="4" a="1"/>
  <c r="N528" i="4" s="1"/>
  <c r="N529" i="4" a="1"/>
  <c r="N529" i="4" s="1"/>
  <c r="N530" i="4" a="1"/>
  <c r="N530" i="4" s="1"/>
  <c r="N531" i="4" a="1"/>
  <c r="N531" i="4" s="1"/>
  <c r="N532" i="4" a="1"/>
  <c r="N532" i="4" s="1"/>
  <c r="N533" i="4" a="1"/>
  <c r="N533" i="4" s="1"/>
  <c r="N534" i="4" a="1"/>
  <c r="N534" i="4" s="1"/>
  <c r="N535" i="4" a="1"/>
  <c r="N535" i="4" s="1"/>
  <c r="N536" i="4" a="1"/>
  <c r="N536" i="4" s="1"/>
  <c r="N537" i="4" a="1"/>
  <c r="N537" i="4" s="1"/>
  <c r="N538" i="4" a="1"/>
  <c r="N538" i="4" s="1"/>
  <c r="N539" i="4" a="1"/>
  <c r="N539" i="4" s="1"/>
  <c r="N540" i="4" a="1"/>
  <c r="N540" i="4" s="1"/>
  <c r="N541" i="4" a="1"/>
  <c r="N541" i="4" s="1"/>
  <c r="N542" i="4" a="1"/>
  <c r="N542" i="4" s="1"/>
  <c r="N543" i="4" a="1"/>
  <c r="N543" i="4" s="1"/>
  <c r="N544" i="4" a="1"/>
  <c r="N544" i="4" s="1"/>
  <c r="N545" i="4" a="1"/>
  <c r="N545" i="4" s="1"/>
  <c r="N546" i="4" a="1"/>
  <c r="N546" i="4" s="1"/>
  <c r="N547" i="4" a="1"/>
  <c r="N547" i="4" s="1"/>
  <c r="N548" i="4" a="1"/>
  <c r="N548" i="4" s="1"/>
  <c r="N549" i="4" a="1"/>
  <c r="N549" i="4" s="1"/>
  <c r="N550" i="4" a="1"/>
  <c r="N550" i="4" s="1"/>
  <c r="N551" i="4" a="1"/>
  <c r="N551" i="4" s="1"/>
  <c r="N552" i="4" a="1"/>
  <c r="N552" i="4" s="1"/>
  <c r="N553" i="4" a="1"/>
  <c r="N553" i="4" s="1"/>
  <c r="N554" i="4" a="1"/>
  <c r="N554" i="4" s="1"/>
  <c r="N555" i="4" a="1"/>
  <c r="N555" i="4" s="1"/>
  <c r="N556" i="4" a="1"/>
  <c r="N556" i="4" s="1"/>
  <c r="N557" i="4" a="1"/>
  <c r="N557" i="4" s="1"/>
  <c r="N558" i="4" a="1"/>
  <c r="N558" i="4" s="1"/>
  <c r="N559" i="4" a="1"/>
  <c r="N559" i="4" s="1"/>
  <c r="N560" i="4" a="1"/>
  <c r="N560" i="4" s="1"/>
  <c r="N561" i="4" a="1"/>
  <c r="N561" i="4" s="1"/>
  <c r="N562" i="4" a="1"/>
  <c r="N562" i="4" s="1"/>
  <c r="N563" i="4" a="1"/>
  <c r="N563" i="4" s="1"/>
  <c r="N564" i="4" a="1"/>
  <c r="N564" i="4" s="1"/>
  <c r="N565" i="4" a="1"/>
  <c r="N565" i="4" s="1"/>
  <c r="N566" i="4" a="1"/>
  <c r="N566" i="4" s="1"/>
  <c r="N567" i="4" a="1"/>
  <c r="N567" i="4" s="1"/>
  <c r="N568" i="4" a="1"/>
  <c r="N568" i="4" s="1"/>
  <c r="N569" i="4" a="1"/>
  <c r="N569" i="4" s="1"/>
  <c r="N570" i="4" a="1"/>
  <c r="N570" i="4" s="1"/>
  <c r="N571" i="4" a="1"/>
  <c r="N571" i="4" s="1"/>
  <c r="N572" i="4" a="1"/>
  <c r="N572" i="4" s="1"/>
  <c r="N573" i="4" a="1"/>
  <c r="N573" i="4" s="1"/>
  <c r="N574" i="4" a="1"/>
  <c r="N574" i="4" s="1"/>
  <c r="N575" i="4" a="1"/>
  <c r="N575" i="4" s="1"/>
  <c r="N576" i="4" a="1"/>
  <c r="N576" i="4" s="1"/>
  <c r="N577" i="4" a="1"/>
  <c r="N577" i="4" s="1"/>
  <c r="N578" i="4" a="1"/>
  <c r="N578" i="4" s="1"/>
  <c r="N579" i="4" a="1"/>
  <c r="N579" i="4" s="1"/>
  <c r="N580" i="4" a="1"/>
  <c r="N580" i="4" s="1"/>
  <c r="N581" i="4" a="1"/>
  <c r="N581" i="4" s="1"/>
  <c r="N582" i="4" a="1"/>
  <c r="N582" i="4" s="1"/>
  <c r="N583" i="4" a="1"/>
  <c r="N583" i="4" s="1"/>
  <c r="N584" i="4" a="1"/>
  <c r="N584" i="4" s="1"/>
  <c r="N585" i="4" a="1"/>
  <c r="N585" i="4" s="1"/>
  <c r="N586" i="4" a="1"/>
  <c r="N586" i="4" s="1"/>
  <c r="N587" i="4" a="1"/>
  <c r="N587" i="4" s="1"/>
  <c r="N588" i="4" a="1"/>
  <c r="N588" i="4" s="1"/>
  <c r="N589" i="4" a="1"/>
  <c r="N589" i="4" s="1"/>
  <c r="N590" i="4" a="1"/>
  <c r="N590" i="4" s="1"/>
  <c r="N591" i="4" a="1"/>
  <c r="N591" i="4" s="1"/>
  <c r="N592" i="4" a="1"/>
  <c r="N592" i="4" s="1"/>
  <c r="N593" i="4" a="1"/>
  <c r="N593" i="4" s="1"/>
  <c r="N594" i="4" a="1"/>
  <c r="N594" i="4" s="1"/>
  <c r="N595" i="4" a="1"/>
  <c r="N595" i="4" s="1"/>
  <c r="N596" i="4" a="1"/>
  <c r="N596" i="4" s="1"/>
  <c r="N597" i="4" a="1"/>
  <c r="N597" i="4" s="1"/>
  <c r="N598" i="4" a="1"/>
  <c r="N598" i="4" s="1"/>
  <c r="N599" i="4" a="1"/>
  <c r="N599" i="4" s="1"/>
  <c r="N600" i="4" a="1"/>
  <c r="N600" i="4" s="1"/>
  <c r="N601" i="4" a="1"/>
  <c r="N601" i="4" s="1"/>
  <c r="N602" i="4" a="1"/>
  <c r="N602" i="4" s="1"/>
  <c r="N603" i="4" a="1"/>
  <c r="N603" i="4" s="1"/>
  <c r="N604" i="4" a="1"/>
  <c r="N604" i="4" s="1"/>
  <c r="N605" i="4" a="1"/>
  <c r="N605" i="4" s="1"/>
  <c r="N606" i="4" a="1"/>
  <c r="N606" i="4" s="1"/>
  <c r="N607" i="4" a="1"/>
  <c r="N607" i="4" s="1"/>
  <c r="N608" i="4" a="1"/>
  <c r="N608" i="4" s="1"/>
  <c r="N609" i="4" a="1"/>
  <c r="N609" i="4" s="1"/>
  <c r="N610" i="4" a="1"/>
  <c r="N610" i="4" s="1"/>
  <c r="N611" i="4" a="1"/>
  <c r="N611" i="4" s="1"/>
  <c r="N612" i="4" a="1"/>
  <c r="N612" i="4" s="1"/>
  <c r="N613" i="4" a="1"/>
  <c r="N613" i="4" s="1"/>
  <c r="N614" i="4" a="1"/>
  <c r="N614" i="4" s="1"/>
  <c r="N615" i="4" a="1"/>
  <c r="N615" i="4" s="1"/>
  <c r="N616" i="4" a="1"/>
  <c r="N616" i="4" s="1"/>
  <c r="N617" i="4" a="1"/>
  <c r="N617" i="4" s="1"/>
  <c r="N618" i="4" a="1"/>
  <c r="N618" i="4" s="1"/>
  <c r="N619" i="4" a="1"/>
  <c r="N619" i="4" s="1"/>
  <c r="N620" i="4" a="1"/>
  <c r="N620" i="4" s="1"/>
  <c r="N621" i="4" a="1"/>
  <c r="N621" i="4" s="1"/>
  <c r="N622" i="4" a="1"/>
  <c r="N622" i="4" s="1"/>
  <c r="N623" i="4" a="1"/>
  <c r="N623" i="4" s="1"/>
  <c r="N624" i="4" a="1"/>
  <c r="N624" i="4" s="1"/>
  <c r="N625" i="4" a="1"/>
  <c r="N625" i="4" s="1"/>
  <c r="N626" i="4" a="1"/>
  <c r="N626" i="4" s="1"/>
  <c r="N627" i="4" a="1"/>
  <c r="N627" i="4" s="1"/>
  <c r="N628" i="4" a="1"/>
  <c r="N628" i="4" s="1"/>
  <c r="N629" i="4" a="1"/>
  <c r="N629" i="4" s="1"/>
  <c r="N630" i="4" a="1"/>
  <c r="N630" i="4" s="1"/>
  <c r="N631" i="4" a="1"/>
  <c r="N631" i="4" s="1"/>
  <c r="N632" i="4" a="1"/>
  <c r="N632" i="4" s="1"/>
  <c r="N633" i="4" a="1"/>
  <c r="N633" i="4" s="1"/>
  <c r="N634" i="4" a="1"/>
  <c r="N634" i="4" s="1"/>
  <c r="N635" i="4" a="1"/>
  <c r="N635" i="4" s="1"/>
  <c r="N636" i="4" a="1"/>
  <c r="N636" i="4" s="1"/>
  <c r="N637" i="4" a="1"/>
  <c r="N637" i="4" s="1"/>
  <c r="N638" i="4" a="1"/>
  <c r="N638" i="4" s="1"/>
  <c r="N639" i="4" a="1"/>
  <c r="N639" i="4" s="1"/>
  <c r="N640" i="4" a="1"/>
  <c r="N640" i="4" s="1"/>
  <c r="N641" i="4" a="1"/>
  <c r="N641" i="4" s="1"/>
  <c r="N642" i="4" a="1"/>
  <c r="N642" i="4" s="1"/>
  <c r="N643" i="4" a="1"/>
  <c r="N643" i="4" s="1"/>
  <c r="N644" i="4" a="1"/>
  <c r="N644" i="4" s="1"/>
  <c r="N645" i="4" a="1"/>
  <c r="N645" i="4" s="1"/>
  <c r="N646" i="4" a="1"/>
  <c r="N646" i="4" s="1"/>
  <c r="N647" i="4" a="1"/>
  <c r="N647" i="4" s="1"/>
  <c r="N648" i="4" a="1"/>
  <c r="N648" i="4" s="1"/>
  <c r="N649" i="4" a="1"/>
  <c r="N649" i="4" s="1"/>
  <c r="N650" i="4" a="1"/>
  <c r="N650" i="4" s="1"/>
  <c r="N651" i="4" a="1"/>
  <c r="N651" i="4" s="1"/>
  <c r="N652" i="4" a="1"/>
  <c r="N652" i="4" s="1"/>
  <c r="N653" i="4" a="1"/>
  <c r="N653" i="4" s="1"/>
  <c r="N654" i="4" a="1"/>
  <c r="N654" i="4" s="1"/>
  <c r="N655" i="4" a="1"/>
  <c r="N655" i="4" s="1"/>
  <c r="N656" i="4" a="1"/>
  <c r="N656" i="4" s="1"/>
  <c r="N657" i="4" a="1"/>
  <c r="N657" i="4" s="1"/>
  <c r="N658" i="4" a="1"/>
  <c r="N658" i="4" s="1"/>
  <c r="N659" i="4" a="1"/>
  <c r="N659" i="4" s="1"/>
  <c r="N660" i="4" a="1"/>
  <c r="N660" i="4" s="1"/>
  <c r="N661" i="4" a="1"/>
  <c r="N661" i="4" s="1"/>
  <c r="N662" i="4" a="1"/>
  <c r="N662" i="4" s="1"/>
  <c r="N663" i="4" a="1"/>
  <c r="N663" i="4" s="1"/>
  <c r="N664" i="4" a="1"/>
  <c r="N664" i="4" s="1"/>
  <c r="N665" i="4" a="1"/>
  <c r="N665" i="4" s="1"/>
  <c r="N666" i="4" a="1"/>
  <c r="N666" i="4" s="1"/>
  <c r="N667" i="4" a="1"/>
  <c r="N667" i="4" s="1"/>
  <c r="N668" i="4" a="1"/>
  <c r="N668" i="4" s="1"/>
  <c r="N669" i="4" a="1"/>
  <c r="N669" i="4" s="1"/>
  <c r="N670" i="4" a="1"/>
  <c r="N670" i="4" s="1"/>
  <c r="N671" i="4" a="1"/>
  <c r="N671" i="4" s="1"/>
  <c r="N672" i="4" a="1"/>
  <c r="N672" i="4" s="1"/>
  <c r="N673" i="4" a="1"/>
  <c r="N673" i="4" s="1"/>
  <c r="N674" i="4" a="1"/>
  <c r="N674" i="4" s="1"/>
  <c r="N675" i="4" a="1"/>
  <c r="N675" i="4" s="1"/>
  <c r="N676" i="4" a="1"/>
  <c r="N676" i="4" s="1"/>
  <c r="N677" i="4" a="1"/>
  <c r="N677" i="4" s="1"/>
  <c r="N678" i="4" a="1"/>
  <c r="N678" i="4" s="1"/>
  <c r="N679" i="4" a="1"/>
  <c r="N679" i="4" s="1"/>
  <c r="N680" i="4" a="1"/>
  <c r="N680" i="4" s="1"/>
  <c r="N681" i="4" a="1"/>
  <c r="N681" i="4" s="1"/>
  <c r="N682" i="4" a="1"/>
  <c r="N682" i="4" s="1"/>
  <c r="N683" i="4" a="1"/>
  <c r="N683" i="4" s="1"/>
  <c r="N684" i="4" a="1"/>
  <c r="N684" i="4" s="1"/>
  <c r="N685" i="4" a="1"/>
  <c r="N685" i="4" s="1"/>
  <c r="N686" i="4" a="1"/>
  <c r="N686" i="4" s="1"/>
  <c r="N687" i="4" a="1"/>
  <c r="N687" i="4" s="1"/>
  <c r="N688" i="4" a="1"/>
  <c r="N688" i="4" s="1"/>
  <c r="N689" i="4" a="1"/>
  <c r="N689" i="4" s="1"/>
  <c r="N690" i="4" a="1"/>
  <c r="N690" i="4" s="1"/>
  <c r="N691" i="4" a="1"/>
  <c r="N691" i="4" s="1"/>
  <c r="N692" i="4" a="1"/>
  <c r="N692" i="4" s="1"/>
  <c r="N693" i="4" a="1"/>
  <c r="N693" i="4" s="1"/>
  <c r="N694" i="4" a="1"/>
  <c r="N694" i="4" s="1"/>
  <c r="N695" i="4" a="1"/>
  <c r="N695" i="4" s="1"/>
  <c r="N696" i="4" a="1"/>
  <c r="N696" i="4" s="1"/>
  <c r="N697" i="4" a="1"/>
  <c r="N697" i="4" s="1"/>
  <c r="N698" i="4" a="1"/>
  <c r="N698" i="4" s="1"/>
  <c r="N699" i="4" a="1"/>
  <c r="N699" i="4" s="1"/>
  <c r="N700" i="4" a="1"/>
  <c r="N700" i="4" s="1"/>
  <c r="N701" i="4" a="1"/>
  <c r="N701" i="4" s="1"/>
  <c r="N702" i="4" a="1"/>
  <c r="N702" i="4" s="1"/>
  <c r="N703" i="4" a="1"/>
  <c r="N703" i="4" s="1"/>
  <c r="N704" i="4" a="1"/>
  <c r="N704" i="4" s="1"/>
  <c r="N705" i="4" a="1"/>
  <c r="N705" i="4" s="1"/>
  <c r="N706" i="4" a="1"/>
  <c r="N706" i="4" s="1"/>
  <c r="N707" i="4" a="1"/>
  <c r="N707" i="4" s="1"/>
  <c r="N708" i="4" a="1"/>
  <c r="N708" i="4" s="1"/>
  <c r="N709" i="4" a="1"/>
  <c r="N709" i="4" s="1"/>
  <c r="N710" i="4" a="1"/>
  <c r="N710" i="4" s="1"/>
  <c r="N711" i="4" a="1"/>
  <c r="N711" i="4" s="1"/>
  <c r="N712" i="4" a="1"/>
  <c r="N712" i="4" s="1"/>
  <c r="N713" i="4" a="1"/>
  <c r="N713" i="4" s="1"/>
  <c r="N714" i="4" a="1"/>
  <c r="N714" i="4" s="1"/>
  <c r="N715" i="4" a="1"/>
  <c r="N715" i="4" s="1"/>
  <c r="N716" i="4" a="1"/>
  <c r="N716" i="4" s="1"/>
  <c r="N717" i="4" a="1"/>
  <c r="N717" i="4" s="1"/>
  <c r="N718" i="4" a="1"/>
  <c r="N718" i="4" s="1"/>
  <c r="N719" i="4" a="1"/>
  <c r="N719" i="4" s="1"/>
  <c r="N720" i="4" a="1"/>
  <c r="N720" i="4" s="1"/>
  <c r="N721" i="4" a="1"/>
  <c r="N721" i="4" s="1"/>
  <c r="N722" i="4" a="1"/>
  <c r="N722" i="4" s="1"/>
  <c r="N723" i="4" a="1"/>
  <c r="N723" i="4" s="1"/>
  <c r="N724" i="4" a="1"/>
  <c r="N724" i="4" s="1"/>
  <c r="N725" i="4" a="1"/>
  <c r="N725" i="4" s="1"/>
  <c r="N726" i="4" a="1"/>
  <c r="N726" i="4" s="1"/>
  <c r="N727" i="4" a="1"/>
  <c r="N727" i="4" s="1"/>
  <c r="N728" i="4" a="1"/>
  <c r="N728" i="4" s="1"/>
  <c r="N729" i="4" a="1"/>
  <c r="N729" i="4" s="1"/>
  <c r="N730" i="4" a="1"/>
  <c r="N730" i="4" s="1"/>
  <c r="N731" i="4" a="1"/>
  <c r="N731" i="4" s="1"/>
  <c r="N732" i="4" a="1"/>
  <c r="N732" i="4" s="1"/>
  <c r="N733" i="4" a="1"/>
  <c r="N733" i="4" s="1"/>
  <c r="N734" i="4" a="1"/>
  <c r="N734" i="4" s="1"/>
  <c r="N735" i="4" a="1"/>
  <c r="N735" i="4" s="1"/>
  <c r="N736" i="4" a="1"/>
  <c r="N736" i="4" s="1"/>
  <c r="N737" i="4" a="1"/>
  <c r="N737" i="4" s="1"/>
  <c r="N738" i="4" a="1"/>
  <c r="N738" i="4" s="1"/>
  <c r="N739" i="4" a="1"/>
  <c r="N739" i="4" s="1"/>
  <c r="N740" i="4" a="1"/>
  <c r="N740" i="4" s="1"/>
  <c r="N741" i="4" a="1"/>
  <c r="N741" i="4" s="1"/>
  <c r="N742" i="4" a="1"/>
  <c r="N742" i="4" s="1"/>
  <c r="N743" i="4" a="1"/>
  <c r="N743" i="4" s="1"/>
  <c r="N744" i="4" a="1"/>
  <c r="N744" i="4" s="1"/>
  <c r="N745" i="4" a="1"/>
  <c r="N745" i="4" s="1"/>
  <c r="N746" i="4" a="1"/>
  <c r="N746" i="4" s="1"/>
  <c r="N747" i="4" a="1"/>
  <c r="N747" i="4" s="1"/>
  <c r="N748" i="4" a="1"/>
  <c r="N748" i="4" s="1"/>
  <c r="N749" i="4" a="1"/>
  <c r="N749" i="4" s="1"/>
  <c r="N750" i="4" a="1"/>
  <c r="N750" i="4" s="1"/>
  <c r="N751" i="4" a="1"/>
  <c r="N751" i="4" s="1"/>
  <c r="N752" i="4" a="1"/>
  <c r="N752" i="4" s="1"/>
  <c r="N753" i="4" a="1"/>
  <c r="N753" i="4" s="1"/>
  <c r="N754" i="4" a="1"/>
  <c r="N754" i="4" s="1"/>
  <c r="N755" i="4" a="1"/>
  <c r="N755" i="4" s="1"/>
  <c r="N756" i="4" a="1"/>
  <c r="N756" i="4" s="1"/>
  <c r="N757" i="4" a="1"/>
  <c r="N757" i="4" s="1"/>
  <c r="N758" i="4" a="1"/>
  <c r="N758" i="4" s="1"/>
  <c r="N759" i="4" a="1"/>
  <c r="N759" i="4" s="1"/>
  <c r="N760" i="4" a="1"/>
  <c r="N760" i="4" s="1"/>
  <c r="N761" i="4" a="1"/>
  <c r="N761" i="4" s="1"/>
  <c r="N762" i="4" a="1"/>
  <c r="N762" i="4" s="1"/>
  <c r="N763" i="4" a="1"/>
  <c r="N763" i="4" s="1"/>
  <c r="N764" i="4" a="1"/>
  <c r="N764" i="4" s="1"/>
  <c r="N765" i="4" a="1"/>
  <c r="N765" i="4" s="1"/>
  <c r="N766" i="4" a="1"/>
  <c r="N766" i="4" s="1"/>
  <c r="N767" i="4" a="1"/>
  <c r="N767" i="4" s="1"/>
  <c r="N768" i="4" a="1"/>
  <c r="N768" i="4" s="1"/>
  <c r="N769" i="4" a="1"/>
  <c r="N769" i="4" s="1"/>
  <c r="N770" i="4" a="1"/>
  <c r="N770" i="4" s="1"/>
  <c r="N771" i="4" a="1"/>
  <c r="N771" i="4" s="1"/>
  <c r="N772" i="4" a="1"/>
  <c r="N772" i="4" s="1"/>
  <c r="N773" i="4" a="1"/>
  <c r="N773" i="4" s="1"/>
  <c r="N774" i="4" a="1"/>
  <c r="N774" i="4" s="1"/>
  <c r="N775" i="4" a="1"/>
  <c r="N775" i="4" s="1"/>
  <c r="N776" i="4" a="1"/>
  <c r="N776" i="4" s="1"/>
  <c r="N777" i="4" a="1"/>
  <c r="N777" i="4" s="1"/>
  <c r="N778" i="4" a="1"/>
  <c r="N778" i="4" s="1"/>
  <c r="N779" i="4" a="1"/>
  <c r="N779" i="4" s="1"/>
  <c r="N780" i="4" a="1"/>
  <c r="N780" i="4" s="1"/>
  <c r="N781" i="4" a="1"/>
  <c r="N781" i="4" s="1"/>
  <c r="N782" i="4" a="1"/>
  <c r="N782" i="4" s="1"/>
  <c r="N783" i="4" a="1"/>
  <c r="N783" i="4" s="1"/>
  <c r="N784" i="4" a="1"/>
  <c r="N784" i="4" s="1"/>
  <c r="N785" i="4" a="1"/>
  <c r="N785" i="4" s="1"/>
  <c r="N786" i="4" a="1"/>
  <c r="N786" i="4" s="1"/>
  <c r="N787" i="4" a="1"/>
  <c r="N787" i="4" s="1"/>
  <c r="N788" i="4" a="1"/>
  <c r="N788" i="4" s="1"/>
  <c r="N789" i="4" a="1"/>
  <c r="N789" i="4" s="1"/>
  <c r="N790" i="4" a="1"/>
  <c r="N790" i="4" s="1"/>
  <c r="N791" i="4" a="1"/>
  <c r="N791" i="4" s="1"/>
  <c r="N792" i="4" a="1"/>
  <c r="N792" i="4" s="1"/>
  <c r="N793" i="4" a="1"/>
  <c r="N793" i="4" s="1"/>
  <c r="N794" i="4" a="1"/>
  <c r="N794" i="4" s="1"/>
  <c r="N795" i="4" a="1"/>
  <c r="N795" i="4" s="1"/>
  <c r="N796" i="4" a="1"/>
  <c r="N796" i="4" s="1"/>
  <c r="N797" i="4" a="1"/>
  <c r="N797" i="4" s="1"/>
  <c r="N798" i="4" a="1"/>
  <c r="N798" i="4" s="1"/>
  <c r="N799" i="4" a="1"/>
  <c r="N799" i="4" s="1"/>
  <c r="N800" i="4" a="1"/>
  <c r="N800" i="4" s="1"/>
  <c r="N801" i="4" a="1"/>
  <c r="N801" i="4" s="1"/>
  <c r="N802" i="4" a="1"/>
  <c r="N802" i="4" s="1"/>
  <c r="N803" i="4" a="1"/>
  <c r="N803" i="4" s="1"/>
  <c r="N804" i="4" a="1"/>
  <c r="N804" i="4" s="1"/>
  <c r="N805" i="4" a="1"/>
  <c r="N805" i="4" s="1"/>
  <c r="N806" i="4" a="1"/>
  <c r="N806" i="4" s="1"/>
  <c r="N807" i="4" a="1"/>
  <c r="N807" i="4" s="1"/>
  <c r="N808" i="4" a="1"/>
  <c r="N808" i="4" s="1"/>
  <c r="N809" i="4" a="1"/>
  <c r="N809" i="4" s="1"/>
  <c r="N810" i="4" a="1"/>
  <c r="N810" i="4" s="1"/>
  <c r="N811" i="4" a="1"/>
  <c r="N811" i="4" s="1"/>
  <c r="N812" i="4" a="1"/>
  <c r="N812" i="4" s="1"/>
  <c r="N813" i="4" a="1"/>
  <c r="N813" i="4" s="1"/>
  <c r="N814" i="4" a="1"/>
  <c r="N814" i="4" s="1"/>
  <c r="N815" i="4" a="1"/>
  <c r="N815" i="4" s="1"/>
  <c r="N816" i="4" a="1"/>
  <c r="N816" i="4" s="1"/>
  <c r="N817" i="4" a="1"/>
  <c r="N817" i="4" s="1"/>
  <c r="N818" i="4" a="1"/>
  <c r="N818" i="4" s="1"/>
  <c r="N819" i="4" a="1"/>
  <c r="N819" i="4" s="1"/>
  <c r="N820" i="4" a="1"/>
  <c r="N820" i="4" s="1"/>
  <c r="N821" i="4" a="1"/>
  <c r="N821" i="4" s="1"/>
  <c r="N822" i="4" a="1"/>
  <c r="N822" i="4" s="1"/>
  <c r="N823" i="4" a="1"/>
  <c r="N823" i="4" s="1"/>
  <c r="N824" i="4" a="1"/>
  <c r="N824" i="4" s="1"/>
  <c r="N825" i="4" a="1"/>
  <c r="N825" i="4" s="1"/>
  <c r="N826" i="4" a="1"/>
  <c r="N826" i="4" s="1"/>
  <c r="N827" i="4" a="1"/>
  <c r="N827" i="4" s="1"/>
  <c r="N828" i="4" a="1"/>
  <c r="N828" i="4" s="1"/>
  <c r="N829" i="4" a="1"/>
  <c r="N829" i="4" s="1"/>
  <c r="N830" i="4" a="1"/>
  <c r="N830" i="4" s="1"/>
  <c r="N831" i="4" a="1"/>
  <c r="N831" i="4" s="1"/>
  <c r="N832" i="4" a="1"/>
  <c r="N832" i="4" s="1"/>
  <c r="N833" i="4" a="1"/>
  <c r="N833" i="4" s="1"/>
  <c r="N834" i="4" a="1"/>
  <c r="N834" i="4" s="1"/>
  <c r="N835" i="4" a="1"/>
  <c r="N835" i="4" s="1"/>
  <c r="N836" i="4" a="1"/>
  <c r="N836" i="4" s="1"/>
  <c r="N837" i="4" a="1"/>
  <c r="N837" i="4" s="1"/>
  <c r="N838" i="4" a="1"/>
  <c r="N838" i="4" s="1"/>
  <c r="N839" i="4" a="1"/>
  <c r="N839" i="4" s="1"/>
  <c r="N840" i="4" a="1"/>
  <c r="N840" i="4" s="1"/>
  <c r="N841" i="4" a="1"/>
  <c r="N841" i="4" s="1"/>
  <c r="N842" i="4" a="1"/>
  <c r="N842" i="4" s="1"/>
  <c r="N843" i="4" a="1"/>
  <c r="N843" i="4" s="1"/>
  <c r="N844" i="4" a="1"/>
  <c r="N844" i="4" s="1"/>
  <c r="N845" i="4" a="1"/>
  <c r="N845" i="4" s="1"/>
  <c r="N846" i="4" a="1"/>
  <c r="N846" i="4" s="1"/>
  <c r="N847" i="4" a="1"/>
  <c r="N847" i="4" s="1"/>
  <c r="N848" i="4" a="1"/>
  <c r="N848" i="4" s="1"/>
  <c r="N849" i="4" a="1"/>
  <c r="N849" i="4" s="1"/>
  <c r="N850" i="4" a="1"/>
  <c r="N850" i="4" s="1"/>
  <c r="N851" i="4" a="1"/>
  <c r="N851" i="4" s="1"/>
  <c r="N852" i="4" a="1"/>
  <c r="N852" i="4" s="1"/>
  <c r="N853" i="4" a="1"/>
  <c r="N853" i="4" s="1"/>
  <c r="N854" i="4" a="1"/>
  <c r="N854" i="4" s="1"/>
  <c r="N855" i="4" a="1"/>
  <c r="N855" i="4" s="1"/>
  <c r="N856" i="4" a="1"/>
  <c r="N856" i="4" s="1"/>
  <c r="N857" i="4" a="1"/>
  <c r="N857" i="4" s="1"/>
  <c r="N858" i="4" a="1"/>
  <c r="N858" i="4" s="1"/>
  <c r="N859" i="4" a="1"/>
  <c r="N859" i="4" s="1"/>
  <c r="N860" i="4" a="1"/>
  <c r="N860" i="4" s="1"/>
  <c r="N861" i="4" a="1"/>
  <c r="N861" i="4" s="1"/>
  <c r="N862" i="4" a="1"/>
  <c r="N862" i="4" s="1"/>
  <c r="N863" i="4" a="1"/>
  <c r="N863" i="4" s="1"/>
  <c r="N864" i="4" a="1"/>
  <c r="N864" i="4" s="1"/>
  <c r="N865" i="4" a="1"/>
  <c r="N865" i="4" s="1"/>
  <c r="N866" i="4" a="1"/>
  <c r="N866" i="4" s="1"/>
  <c r="N867" i="4" a="1"/>
  <c r="N867" i="4" s="1"/>
  <c r="N868" i="4" a="1"/>
  <c r="N868" i="4" s="1"/>
  <c r="N869" i="4" a="1"/>
  <c r="N869" i="4" s="1"/>
  <c r="N870" i="4" a="1"/>
  <c r="N870" i="4" s="1"/>
  <c r="N871" i="4" a="1"/>
  <c r="N871" i="4" s="1"/>
  <c r="N872" i="4" a="1"/>
  <c r="N872" i="4" s="1"/>
  <c r="N873" i="4" a="1"/>
  <c r="N873" i="4" s="1"/>
  <c r="N874" i="4" a="1"/>
  <c r="N874" i="4" s="1"/>
  <c r="N875" i="4" a="1"/>
  <c r="N875" i="4" s="1"/>
  <c r="N876" i="4" a="1"/>
  <c r="N876" i="4" s="1"/>
  <c r="N877" i="4" a="1"/>
  <c r="N877" i="4" s="1"/>
  <c r="N878" i="4" a="1"/>
  <c r="N878" i="4" s="1"/>
  <c r="N879" i="4" a="1"/>
  <c r="N879" i="4" s="1"/>
  <c r="N880" i="4" a="1"/>
  <c r="N880" i="4" s="1"/>
  <c r="N881" i="4" a="1"/>
  <c r="N881" i="4" s="1"/>
  <c r="N882" i="4" a="1"/>
  <c r="N882" i="4" s="1"/>
  <c r="N883" i="4" a="1"/>
  <c r="N883" i="4" s="1"/>
  <c r="N884" i="4" a="1"/>
  <c r="N884" i="4" s="1"/>
  <c r="N885" i="4" a="1"/>
  <c r="N885" i="4" s="1"/>
  <c r="N886" i="4" a="1"/>
  <c r="N886" i="4" s="1"/>
  <c r="N887" i="4" a="1"/>
  <c r="N887" i="4" s="1"/>
  <c r="N888" i="4" a="1"/>
  <c r="N888" i="4" s="1"/>
  <c r="N889" i="4" a="1"/>
  <c r="N889" i="4" s="1"/>
  <c r="N890" i="4" a="1"/>
  <c r="N890" i="4" s="1"/>
  <c r="N891" i="4" a="1"/>
  <c r="N891" i="4" s="1"/>
  <c r="N892" i="4" a="1"/>
  <c r="N892" i="4" s="1"/>
  <c r="N893" i="4" a="1"/>
  <c r="N893" i="4" s="1"/>
  <c r="N894" i="4" a="1"/>
  <c r="N894" i="4" s="1"/>
  <c r="N895" i="4" a="1"/>
  <c r="N895" i="4" s="1"/>
  <c r="N896" i="4" a="1"/>
  <c r="N896" i="4" s="1"/>
  <c r="N897" i="4" a="1"/>
  <c r="N897" i="4" s="1"/>
  <c r="N898" i="4" a="1"/>
  <c r="N898" i="4" s="1"/>
  <c r="N899" i="4" a="1"/>
  <c r="N899" i="4" s="1"/>
  <c r="N900" i="4" a="1"/>
  <c r="N900" i="4" s="1"/>
  <c r="N901" i="4" a="1"/>
  <c r="N901" i="4" s="1"/>
  <c r="N902" i="4" a="1"/>
  <c r="N902" i="4" s="1"/>
  <c r="N903" i="4" a="1"/>
  <c r="N903" i="4" s="1"/>
  <c r="N904" i="4" a="1"/>
  <c r="N904" i="4" s="1"/>
  <c r="N905" i="4" a="1"/>
  <c r="N905" i="4" s="1"/>
  <c r="N906" i="4" a="1"/>
  <c r="N906" i="4" s="1"/>
  <c r="N907" i="4" a="1"/>
  <c r="N907" i="4" s="1"/>
  <c r="N908" i="4" a="1"/>
  <c r="N908" i="4" s="1"/>
  <c r="N909" i="4" a="1"/>
  <c r="N909" i="4" s="1"/>
  <c r="N910" i="4" a="1"/>
  <c r="N910" i="4" s="1"/>
  <c r="N911" i="4" a="1"/>
  <c r="N911" i="4" s="1"/>
  <c r="N912" i="4" a="1"/>
  <c r="N912" i="4" s="1"/>
  <c r="N913" i="4" a="1"/>
  <c r="N913" i="4" s="1"/>
  <c r="N914" i="4" a="1"/>
  <c r="N914" i="4" s="1"/>
  <c r="N915" i="4" a="1"/>
  <c r="N915" i="4" s="1"/>
  <c r="N916" i="4" a="1"/>
  <c r="N916" i="4" s="1"/>
  <c r="N917" i="4" a="1"/>
  <c r="N917" i="4" s="1"/>
  <c r="N918" i="4" a="1"/>
  <c r="N918" i="4" s="1"/>
  <c r="N919" i="4" a="1"/>
  <c r="N919" i="4" s="1"/>
  <c r="N920" i="4" a="1"/>
  <c r="N920" i="4" s="1"/>
  <c r="N921" i="4" a="1"/>
  <c r="N921" i="4" s="1"/>
  <c r="N922" i="4" a="1"/>
  <c r="N922" i="4" s="1"/>
  <c r="N923" i="4" a="1"/>
  <c r="N923" i="4" s="1"/>
  <c r="N924" i="4" a="1"/>
  <c r="N924" i="4" s="1"/>
  <c r="N925" i="4" a="1"/>
  <c r="N925" i="4" s="1"/>
  <c r="N926" i="4" a="1"/>
  <c r="N926" i="4" s="1"/>
  <c r="N927" i="4" a="1"/>
  <c r="N927" i="4" s="1"/>
  <c r="N928" i="4" a="1"/>
  <c r="N928" i="4" s="1"/>
  <c r="N929" i="4" a="1"/>
  <c r="N929" i="4" s="1"/>
  <c r="N930" i="4" a="1"/>
  <c r="N930" i="4" s="1"/>
  <c r="N931" i="4" a="1"/>
  <c r="N931" i="4" s="1"/>
  <c r="N932" i="4" a="1"/>
  <c r="N932" i="4" s="1"/>
  <c r="N933" i="4" a="1"/>
  <c r="N933" i="4" s="1"/>
  <c r="N934" i="4" a="1"/>
  <c r="N934" i="4" s="1"/>
  <c r="N935" i="4" a="1"/>
  <c r="N935" i="4" s="1"/>
  <c r="N936" i="4" a="1"/>
  <c r="N936" i="4" s="1"/>
  <c r="N937" i="4" a="1"/>
  <c r="N937" i="4" s="1"/>
  <c r="N938" i="4" a="1"/>
  <c r="N938" i="4" s="1"/>
  <c r="N939" i="4" a="1"/>
  <c r="N939" i="4" s="1"/>
  <c r="N940" i="4" a="1"/>
  <c r="N940" i="4" s="1"/>
  <c r="N941" i="4" a="1"/>
  <c r="N941" i="4" s="1"/>
  <c r="N942" i="4" a="1"/>
  <c r="N942" i="4" s="1"/>
  <c r="N943" i="4" a="1"/>
  <c r="N943" i="4" s="1"/>
  <c r="N944" i="4" a="1"/>
  <c r="N944" i="4" s="1"/>
  <c r="N945" i="4" a="1"/>
  <c r="N945" i="4" s="1"/>
  <c r="N946" i="4" a="1"/>
  <c r="N946" i="4" s="1"/>
  <c r="N947" i="4" a="1"/>
  <c r="N947" i="4" s="1"/>
  <c r="N948" i="4" a="1"/>
  <c r="N948" i="4" s="1"/>
  <c r="N949" i="4" a="1"/>
  <c r="N949" i="4" s="1"/>
  <c r="N950" i="4" a="1"/>
  <c r="N950" i="4" s="1"/>
  <c r="N951" i="4" a="1"/>
  <c r="N951" i="4" s="1"/>
  <c r="N952" i="4" a="1"/>
  <c r="N952" i="4" s="1"/>
  <c r="N953" i="4" a="1"/>
  <c r="N953" i="4" s="1"/>
  <c r="N954" i="4" a="1"/>
  <c r="N954" i="4" s="1"/>
  <c r="N955" i="4" a="1"/>
  <c r="N955" i="4" s="1"/>
  <c r="N956" i="4" a="1"/>
  <c r="N956" i="4" s="1"/>
  <c r="N957" i="4" a="1"/>
  <c r="N957" i="4" s="1"/>
  <c r="N958" i="4" a="1"/>
  <c r="N958" i="4" s="1"/>
  <c r="N959" i="4" a="1"/>
  <c r="N959" i="4" s="1"/>
  <c r="N960" i="4" a="1"/>
  <c r="N960" i="4" s="1"/>
  <c r="N961" i="4" a="1"/>
  <c r="N961" i="4" s="1"/>
  <c r="N962" i="4" a="1"/>
  <c r="N962" i="4" s="1"/>
  <c r="N963" i="4" a="1"/>
  <c r="N963" i="4" s="1"/>
  <c r="N964" i="4" a="1"/>
  <c r="N964" i="4" s="1"/>
  <c r="N965" i="4" a="1"/>
  <c r="N965" i="4" s="1"/>
  <c r="N966" i="4" a="1"/>
  <c r="N966" i="4" s="1"/>
  <c r="N967" i="4" a="1"/>
  <c r="N967" i="4" s="1"/>
  <c r="N968" i="4" a="1"/>
  <c r="N968" i="4" s="1"/>
  <c r="N969" i="4" a="1"/>
  <c r="N969" i="4" s="1"/>
  <c r="N970" i="4" a="1"/>
  <c r="N970" i="4" s="1"/>
  <c r="N971" i="4" a="1"/>
  <c r="N971" i="4" s="1"/>
  <c r="N972" i="4" a="1"/>
  <c r="N972" i="4" s="1"/>
  <c r="N973" i="4" a="1"/>
  <c r="N973" i="4" s="1"/>
  <c r="N974" i="4" a="1"/>
  <c r="N974" i="4" s="1"/>
  <c r="N975" i="4" a="1"/>
  <c r="N975" i="4" s="1"/>
  <c r="N976" i="4" a="1"/>
  <c r="N976" i="4" s="1"/>
  <c r="N977" i="4" a="1"/>
  <c r="N977" i="4" s="1"/>
  <c r="N978" i="4" a="1"/>
  <c r="N978" i="4" s="1"/>
  <c r="N979" i="4" a="1"/>
  <c r="N979" i="4" s="1"/>
  <c r="N980" i="4" a="1"/>
  <c r="N980" i="4" s="1"/>
  <c r="N981" i="4" a="1"/>
  <c r="N981" i="4" s="1"/>
  <c r="N982" i="4" a="1"/>
  <c r="N982" i="4" s="1"/>
  <c r="N983" i="4" a="1"/>
  <c r="N983" i="4" s="1"/>
  <c r="N984" i="4" a="1"/>
  <c r="N984" i="4" s="1"/>
  <c r="N985" i="4" a="1"/>
  <c r="N985" i="4" s="1"/>
  <c r="N986" i="4" a="1"/>
  <c r="N986" i="4" s="1"/>
  <c r="N987" i="4" a="1"/>
  <c r="N987" i="4" s="1"/>
  <c r="N988" i="4" a="1"/>
  <c r="N988" i="4" s="1"/>
  <c r="N989" i="4" a="1"/>
  <c r="N989" i="4" s="1"/>
  <c r="N990" i="4" a="1"/>
  <c r="N990" i="4" s="1"/>
  <c r="N991" i="4" a="1"/>
  <c r="N991" i="4" s="1"/>
  <c r="N992" i="4" a="1"/>
  <c r="N992" i="4" s="1"/>
  <c r="N993" i="4" a="1"/>
  <c r="N993" i="4" s="1"/>
  <c r="N994" i="4" a="1"/>
  <c r="N994" i="4" s="1"/>
  <c r="N995" i="4" a="1"/>
  <c r="N995" i="4" s="1"/>
  <c r="N996" i="4" a="1"/>
  <c r="N996" i="4" s="1"/>
  <c r="N997" i="4" a="1"/>
  <c r="N997" i="4" s="1"/>
  <c r="N998" i="4" a="1"/>
  <c r="N998" i="4" s="1"/>
  <c r="N999" i="4" a="1"/>
  <c r="N999" i="4" s="1"/>
  <c r="N1000" i="4" a="1"/>
  <c r="N1000" i="4" s="1"/>
  <c r="N1001" i="4" a="1"/>
  <c r="N1001" i="4" s="1"/>
  <c r="N184" i="4" a="1"/>
  <c r="N184" i="4" s="1"/>
  <c r="N185" i="4" a="1"/>
  <c r="N185" i="4" s="1"/>
  <c r="N186" i="4" a="1"/>
  <c r="N186" i="4" s="1"/>
  <c r="N187" i="4" a="1"/>
  <c r="N187" i="4" s="1"/>
  <c r="N188" i="4" a="1"/>
  <c r="N188" i="4" s="1"/>
  <c r="N189" i="4" a="1"/>
  <c r="N189" i="4" s="1"/>
  <c r="N190" i="4" a="1"/>
  <c r="N190" i="4" s="1"/>
  <c r="N191" i="4" a="1"/>
  <c r="N191" i="4" s="1"/>
  <c r="N192" i="4" a="1"/>
  <c r="N192" i="4" s="1"/>
  <c r="N193" i="4" a="1"/>
  <c r="N193" i="4" s="1"/>
  <c r="N194" i="4" a="1"/>
  <c r="N194" i="4" s="1"/>
  <c r="N195" i="4" a="1"/>
  <c r="N195" i="4" s="1"/>
  <c r="N196" i="4" a="1"/>
  <c r="N196" i="4" s="1"/>
  <c r="N197" i="4" a="1"/>
  <c r="N197" i="4" s="1"/>
  <c r="N198" i="4" a="1"/>
  <c r="N198" i="4" s="1"/>
  <c r="N199" i="4" a="1"/>
  <c r="N199" i="4" s="1"/>
  <c r="N200" i="4" a="1"/>
  <c r="N200" i="4" s="1"/>
  <c r="N201" i="4" a="1"/>
  <c r="N201" i="4" s="1"/>
  <c r="N202" i="4" a="1"/>
  <c r="N202" i="4" s="1"/>
  <c r="N203" i="4" a="1"/>
  <c r="N203" i="4" s="1"/>
  <c r="N204" i="4" a="1"/>
  <c r="N204" i="4" s="1"/>
  <c r="N205" i="4" a="1"/>
  <c r="N205" i="4" s="1"/>
  <c r="N206" i="4" a="1"/>
  <c r="N206" i="4" s="1"/>
  <c r="N207" i="4" a="1"/>
  <c r="N207" i="4" s="1"/>
  <c r="N208" i="4" a="1"/>
  <c r="N208" i="4" s="1"/>
  <c r="N209" i="4" a="1"/>
  <c r="N209" i="4" s="1"/>
  <c r="N210" i="4" a="1"/>
  <c r="N210" i="4" s="1"/>
  <c r="N211" i="4" a="1"/>
  <c r="N211" i="4" s="1"/>
  <c r="N212" i="4" a="1"/>
  <c r="N212" i="4" s="1"/>
  <c r="N213" i="4" a="1"/>
  <c r="N213" i="4" s="1"/>
  <c r="N214" i="4" a="1"/>
  <c r="N214" i="4" s="1"/>
  <c r="N215" i="4" a="1"/>
  <c r="N215" i="4" s="1"/>
  <c r="N216" i="4" a="1"/>
  <c r="N216" i="4" s="1"/>
  <c r="N217" i="4" a="1"/>
  <c r="N217" i="4" s="1"/>
  <c r="N218" i="4" a="1"/>
  <c r="N218" i="4" s="1"/>
  <c r="N219" i="4" a="1"/>
  <c r="N219" i="4" s="1"/>
  <c r="N220" i="4" a="1"/>
  <c r="N220" i="4" s="1"/>
  <c r="N221" i="4" a="1"/>
  <c r="N221" i="4" s="1"/>
  <c r="N222" i="4" a="1"/>
  <c r="N222" i="4" s="1"/>
  <c r="N223" i="4" a="1"/>
  <c r="N223" i="4" s="1"/>
  <c r="N224" i="4" a="1"/>
  <c r="N224" i="4" s="1"/>
  <c r="N225" i="4" a="1"/>
  <c r="N225" i="4" s="1"/>
  <c r="N226" i="4" a="1"/>
  <c r="N226" i="4" s="1"/>
  <c r="N227" i="4" a="1"/>
  <c r="N227" i="4" s="1"/>
  <c r="N228" i="4" a="1"/>
  <c r="N228" i="4" s="1"/>
  <c r="N229" i="4" a="1"/>
  <c r="N229" i="4" s="1"/>
  <c r="N230" i="4" a="1"/>
  <c r="N230" i="4" s="1"/>
  <c r="N231" i="4" a="1"/>
  <c r="N231" i="4" s="1"/>
  <c r="N232" i="4" a="1"/>
  <c r="N232" i="4" s="1"/>
  <c r="N233" i="4" a="1"/>
  <c r="N233" i="4" s="1"/>
  <c r="N234" i="4" a="1"/>
  <c r="N234" i="4" s="1"/>
  <c r="N235" i="4" a="1"/>
  <c r="N235" i="4" s="1"/>
  <c r="N236" i="4" a="1"/>
  <c r="N236" i="4" s="1"/>
  <c r="N237" i="4" a="1"/>
  <c r="N237" i="4" s="1"/>
  <c r="N238" i="4" a="1"/>
  <c r="N238" i="4" s="1"/>
  <c r="N239" i="4" a="1"/>
  <c r="N239" i="4" s="1"/>
  <c r="N240" i="4" a="1"/>
  <c r="N240" i="4" s="1"/>
  <c r="N241" i="4" a="1"/>
  <c r="N241" i="4" s="1"/>
  <c r="N242" i="4" a="1"/>
  <c r="N242" i="4" s="1"/>
  <c r="N243" i="4" a="1"/>
  <c r="N243" i="4" s="1"/>
  <c r="N244" i="4" a="1"/>
  <c r="N244" i="4" s="1"/>
  <c r="N245" i="4" a="1"/>
  <c r="N245" i="4" s="1"/>
  <c r="N246" i="4" a="1"/>
  <c r="N246" i="4" s="1"/>
  <c r="N247" i="4" a="1"/>
  <c r="N247" i="4" s="1"/>
  <c r="N248" i="4" a="1"/>
  <c r="N248" i="4" s="1"/>
  <c r="N249" i="4" a="1"/>
  <c r="N249" i="4" s="1"/>
  <c r="N250" i="4" a="1"/>
  <c r="N250" i="4" s="1"/>
  <c r="N251" i="4" a="1"/>
  <c r="N251" i="4" s="1"/>
  <c r="N252" i="4" a="1"/>
  <c r="N252" i="4" s="1"/>
  <c r="N253" i="4" a="1"/>
  <c r="N253" i="4" s="1"/>
  <c r="N254" i="4" a="1"/>
  <c r="N254" i="4" s="1"/>
  <c r="N255" i="4" a="1"/>
  <c r="N255" i="4" s="1"/>
  <c r="N256" i="4" a="1"/>
  <c r="N256" i="4" s="1"/>
  <c r="N257" i="4" a="1"/>
  <c r="N257" i="4" s="1"/>
  <c r="N258" i="4" a="1"/>
  <c r="N258" i="4" s="1"/>
  <c r="N259" i="4" a="1"/>
  <c r="N259" i="4" s="1"/>
  <c r="N260" i="4" a="1"/>
  <c r="N260" i="4" s="1"/>
  <c r="N261" i="4" a="1"/>
  <c r="N261" i="4" s="1"/>
  <c r="N262" i="4" a="1"/>
  <c r="N262" i="4" s="1"/>
  <c r="N263" i="4" a="1"/>
  <c r="N263" i="4" s="1"/>
  <c r="N264" i="4" a="1"/>
  <c r="N264" i="4" s="1"/>
  <c r="N265" i="4" a="1"/>
  <c r="N265" i="4" s="1"/>
  <c r="N266" i="4" a="1"/>
  <c r="N266" i="4" s="1"/>
  <c r="N267" i="4" a="1"/>
  <c r="N267" i="4" s="1"/>
  <c r="N268" i="4" a="1"/>
  <c r="N268" i="4" s="1"/>
  <c r="N269" i="4" a="1"/>
  <c r="N269" i="4" s="1"/>
  <c r="N270" i="4" a="1"/>
  <c r="N270" i="4" s="1"/>
  <c r="N271" i="4" a="1"/>
  <c r="N271" i="4" s="1"/>
  <c r="N272" i="4" a="1"/>
  <c r="N272" i="4" s="1"/>
  <c r="N273" i="4" a="1"/>
  <c r="N273" i="4" s="1"/>
  <c r="N274" i="4" a="1"/>
  <c r="N274" i="4" s="1"/>
  <c r="N275" i="4" a="1"/>
  <c r="N275" i="4" s="1"/>
  <c r="N276" i="4" a="1"/>
  <c r="N276" i="4" s="1"/>
  <c r="N277" i="4" a="1"/>
  <c r="N277" i="4" s="1"/>
  <c r="N278" i="4" a="1"/>
  <c r="N278" i="4" s="1"/>
  <c r="N279" i="4" a="1"/>
  <c r="N279" i="4" s="1"/>
  <c r="N280" i="4" a="1"/>
  <c r="N280" i="4" s="1"/>
  <c r="N281" i="4" a="1"/>
  <c r="N281" i="4" s="1"/>
  <c r="N282" i="4" a="1"/>
  <c r="N282" i="4" s="1"/>
  <c r="N283" i="4" a="1"/>
  <c r="N283" i="4" s="1"/>
  <c r="N284" i="4" a="1"/>
  <c r="N284" i="4" s="1"/>
  <c r="N285" i="4" a="1"/>
  <c r="N285" i="4" s="1"/>
  <c r="N286" i="4" a="1"/>
  <c r="N286" i="4" s="1"/>
  <c r="N287" i="4" a="1"/>
  <c r="N287" i="4" s="1"/>
  <c r="N288" i="4" a="1"/>
  <c r="N288" i="4" s="1"/>
  <c r="N289" i="4" a="1"/>
  <c r="N289" i="4" s="1"/>
  <c r="N290" i="4" a="1"/>
  <c r="N290" i="4" s="1"/>
  <c r="N291" i="4" a="1"/>
  <c r="N291" i="4" s="1"/>
  <c r="N292" i="4" a="1"/>
  <c r="N292" i="4" s="1"/>
  <c r="N293" i="4" a="1"/>
  <c r="N293" i="4" s="1"/>
  <c r="N294" i="4" a="1"/>
  <c r="N294" i="4" s="1"/>
  <c r="N295" i="4" a="1"/>
  <c r="N295" i="4" s="1"/>
  <c r="N296" i="4" a="1"/>
  <c r="N296" i="4" s="1"/>
  <c r="N297" i="4" a="1"/>
  <c r="N297" i="4" s="1"/>
  <c r="N298" i="4" a="1"/>
  <c r="N298" i="4" s="1"/>
  <c r="N299" i="4" a="1"/>
  <c r="N299" i="4" s="1"/>
  <c r="N300" i="4" a="1"/>
  <c r="N300" i="4" s="1"/>
  <c r="N301" i="4" a="1"/>
  <c r="N301" i="4" s="1"/>
  <c r="N302" i="4" a="1"/>
  <c r="N302" i="4" s="1"/>
  <c r="N303" i="4" a="1"/>
  <c r="N303" i="4" s="1"/>
  <c r="N304" i="4" a="1"/>
  <c r="N304" i="4" s="1"/>
  <c r="N305" i="4" a="1"/>
  <c r="N305" i="4" s="1"/>
  <c r="N306" i="4" a="1"/>
  <c r="N306" i="4" s="1"/>
  <c r="N307" i="4" a="1"/>
  <c r="N307" i="4" s="1"/>
  <c r="N308" i="4" a="1"/>
  <c r="N308" i="4" s="1"/>
  <c r="N309" i="4" a="1"/>
  <c r="N309" i="4" s="1"/>
  <c r="N310" i="4" a="1"/>
  <c r="N310" i="4" s="1"/>
  <c r="N311" i="4" a="1"/>
  <c r="N311" i="4" s="1"/>
  <c r="N312" i="4" a="1"/>
  <c r="N312" i="4" s="1"/>
  <c r="N313" i="4" a="1"/>
  <c r="N313" i="4" s="1"/>
  <c r="N314" i="4" a="1"/>
  <c r="N314" i="4" s="1"/>
  <c r="N315" i="4" a="1"/>
  <c r="N315" i="4" s="1"/>
  <c r="N316" i="4" a="1"/>
  <c r="N316" i="4" s="1"/>
  <c r="N317" i="4" a="1"/>
  <c r="N317" i="4" s="1"/>
  <c r="N318" i="4" a="1"/>
  <c r="N318" i="4" s="1"/>
  <c r="N319" i="4" a="1"/>
  <c r="N319" i="4" s="1"/>
  <c r="N320" i="4" a="1"/>
  <c r="N320" i="4" s="1"/>
  <c r="N321" i="4" a="1"/>
  <c r="N321" i="4" s="1"/>
  <c r="N322" i="4" a="1"/>
  <c r="N322" i="4" s="1"/>
  <c r="N323" i="4" a="1"/>
  <c r="N323" i="4" s="1"/>
  <c r="N324" i="4" a="1"/>
  <c r="N324" i="4" s="1"/>
  <c r="N325" i="4" a="1"/>
  <c r="N325" i="4" s="1"/>
  <c r="N326" i="4" a="1"/>
  <c r="N326" i="4" s="1"/>
  <c r="N327" i="4" a="1"/>
  <c r="N327" i="4" s="1"/>
  <c r="N328" i="4" a="1"/>
  <c r="N328" i="4" s="1"/>
  <c r="N329" i="4" a="1"/>
  <c r="N329" i="4" s="1"/>
  <c r="N330" i="4" a="1"/>
  <c r="N330" i="4" s="1"/>
  <c r="N331" i="4" a="1"/>
  <c r="N331" i="4" s="1"/>
  <c r="N332" i="4" a="1"/>
  <c r="N332" i="4" s="1"/>
  <c r="N333" i="4" a="1"/>
  <c r="N333" i="4" s="1"/>
  <c r="N334" i="4" a="1"/>
  <c r="N334" i="4" s="1"/>
  <c r="N335" i="4" a="1"/>
  <c r="N335" i="4" s="1"/>
  <c r="N336" i="4" a="1"/>
  <c r="N336" i="4" s="1"/>
  <c r="N337" i="4" a="1"/>
  <c r="N337" i="4" s="1"/>
  <c r="N338" i="4" a="1"/>
  <c r="N338" i="4" s="1"/>
  <c r="N339" i="4" a="1"/>
  <c r="N339" i="4" s="1"/>
  <c r="N340" i="4" a="1"/>
  <c r="N340" i="4" s="1"/>
  <c r="N341" i="4" a="1"/>
  <c r="N341" i="4" s="1"/>
  <c r="N342" i="4" a="1"/>
  <c r="N342" i="4" s="1"/>
  <c r="N343" i="4" a="1"/>
  <c r="N343" i="4" s="1"/>
  <c r="N344" i="4" a="1"/>
  <c r="N344" i="4" s="1"/>
  <c r="N345" i="4" a="1"/>
  <c r="N345" i="4" s="1"/>
  <c r="N346" i="4" a="1"/>
  <c r="N346" i="4" s="1"/>
  <c r="N347" i="4" a="1"/>
  <c r="N347" i="4" s="1"/>
  <c r="N348" i="4" a="1"/>
  <c r="N348" i="4" s="1"/>
  <c r="N349" i="4" a="1"/>
  <c r="N349" i="4" s="1"/>
  <c r="N350" i="4" a="1"/>
  <c r="N350" i="4" s="1"/>
  <c r="N351" i="4" a="1"/>
  <c r="N351" i="4" s="1"/>
  <c r="N352" i="4" a="1"/>
  <c r="N352" i="4" s="1"/>
  <c r="N353" i="4" a="1"/>
  <c r="N353" i="4" s="1"/>
  <c r="N354" i="4" a="1"/>
  <c r="N354" i="4" s="1"/>
  <c r="N355" i="4" a="1"/>
  <c r="N355" i="4" s="1"/>
  <c r="N356" i="4" a="1"/>
  <c r="N356" i="4" s="1"/>
  <c r="N357" i="4" a="1"/>
  <c r="N357" i="4" s="1"/>
  <c r="N358" i="4" a="1"/>
  <c r="N358" i="4" s="1"/>
  <c r="N359" i="4" a="1"/>
  <c r="N359" i="4" s="1"/>
  <c r="N360" i="4" a="1"/>
  <c r="N360" i="4" s="1"/>
  <c r="N361" i="4" a="1"/>
  <c r="N361" i="4" s="1"/>
  <c r="N362" i="4" a="1"/>
  <c r="N362" i="4" s="1"/>
  <c r="N363" i="4" a="1"/>
  <c r="N363" i="4" s="1"/>
  <c r="N364" i="4" a="1"/>
  <c r="N364" i="4" s="1"/>
  <c r="N365" i="4" a="1"/>
  <c r="N365" i="4" s="1"/>
  <c r="N366" i="4" a="1"/>
  <c r="N366" i="4"/>
  <c r="N367" i="4" a="1"/>
  <c r="N367" i="4" s="1"/>
  <c r="N368" i="4" a="1"/>
  <c r="N368" i="4" s="1"/>
  <c r="N369" i="4" a="1"/>
  <c r="N369" i="4" s="1"/>
  <c r="N370" i="4" a="1"/>
  <c r="N370" i="4" s="1"/>
  <c r="N371" i="4" a="1"/>
  <c r="N371" i="4" s="1"/>
  <c r="N372" i="4" a="1"/>
  <c r="N372" i="4" s="1"/>
  <c r="N373" i="4" a="1"/>
  <c r="N373" i="4" s="1"/>
  <c r="N374" i="4" a="1"/>
  <c r="N374" i="4" s="1"/>
  <c r="N375" i="4" a="1"/>
  <c r="N375" i="4" s="1"/>
  <c r="N376" i="4" a="1"/>
  <c r="N376" i="4" s="1"/>
  <c r="N377" i="4" a="1"/>
  <c r="N377" i="4" s="1"/>
  <c r="N378" i="4" a="1"/>
  <c r="N378" i="4" s="1"/>
  <c r="N379" i="4" a="1"/>
  <c r="N379" i="4" s="1"/>
  <c r="N380" i="4" a="1"/>
  <c r="N380" i="4" s="1"/>
  <c r="N381" i="4" a="1"/>
  <c r="N381" i="4" s="1"/>
  <c r="N382" i="4" a="1"/>
  <c r="N382" i="4" s="1"/>
  <c r="N383" i="4" a="1"/>
  <c r="N383" i="4" s="1"/>
  <c r="N384" i="4" a="1"/>
  <c r="N384" i="4" s="1"/>
  <c r="N385" i="4" a="1"/>
  <c r="N385" i="4" s="1"/>
  <c r="N386" i="4" a="1"/>
  <c r="N386" i="4" s="1"/>
  <c r="N387" i="4" a="1"/>
  <c r="N387" i="4" s="1"/>
  <c r="N388" i="4" a="1"/>
  <c r="N388" i="4" s="1"/>
  <c r="N389" i="4" a="1"/>
  <c r="N389" i="4" s="1"/>
  <c r="N390" i="4" a="1"/>
  <c r="N390" i="4" s="1"/>
  <c r="N391" i="4" a="1"/>
  <c r="N391" i="4" s="1"/>
  <c r="N392" i="4" a="1"/>
  <c r="N392" i="4" s="1"/>
  <c r="N393" i="4" a="1"/>
  <c r="N393" i="4" s="1"/>
  <c r="N394" i="4" a="1"/>
  <c r="N394" i="4" s="1"/>
  <c r="N395" i="4" a="1"/>
  <c r="N395" i="4" s="1"/>
  <c r="N396" i="4" a="1"/>
  <c r="N396" i="4" s="1"/>
  <c r="N397" i="4" a="1"/>
  <c r="N397" i="4" s="1"/>
  <c r="N398" i="4" a="1"/>
  <c r="N398" i="4" s="1"/>
  <c r="N399" i="4" a="1"/>
  <c r="N399" i="4" s="1"/>
  <c r="N400" i="4" a="1"/>
  <c r="N400" i="4" s="1"/>
  <c r="N401" i="4" a="1"/>
  <c r="N401" i="4" s="1"/>
  <c r="N402" i="4" a="1"/>
  <c r="N402" i="4" s="1"/>
  <c r="N403" i="4" a="1"/>
  <c r="N403" i="4" s="1"/>
  <c r="N404" i="4" a="1"/>
  <c r="N404" i="4" s="1"/>
  <c r="N405" i="4" a="1"/>
  <c r="N405" i="4" s="1"/>
  <c r="N406" i="4" a="1"/>
  <c r="N406" i="4" s="1"/>
  <c r="N407" i="4" a="1"/>
  <c r="N407" i="4" s="1"/>
  <c r="N408" i="4" a="1"/>
  <c r="N408" i="4" s="1"/>
  <c r="N409" i="4" a="1"/>
  <c r="N409" i="4" s="1"/>
  <c r="N410" i="4" a="1"/>
  <c r="N410" i="4" s="1"/>
  <c r="N411" i="4" a="1"/>
  <c r="N411" i="4" s="1"/>
  <c r="N412" i="4" a="1"/>
  <c r="N412" i="4" s="1"/>
  <c r="N413" i="4" a="1"/>
  <c r="N413" i="4" s="1"/>
  <c r="N414" i="4" a="1"/>
  <c r="N414" i="4" s="1"/>
  <c r="N415" i="4" a="1"/>
  <c r="N415" i="4" s="1"/>
  <c r="N416" i="4" a="1"/>
  <c r="N416" i="4" s="1"/>
  <c r="N417" i="4" a="1"/>
  <c r="N417" i="4" s="1"/>
  <c r="N418" i="4" a="1"/>
  <c r="N418" i="4" s="1"/>
  <c r="N419" i="4" a="1"/>
  <c r="N419" i="4" s="1"/>
  <c r="N420" i="4" a="1"/>
  <c r="N420" i="4" s="1"/>
  <c r="N421" i="4" a="1"/>
  <c r="N421" i="4" s="1"/>
  <c r="N422" i="4" a="1"/>
  <c r="N422" i="4" s="1"/>
  <c r="N423" i="4" a="1"/>
  <c r="N423" i="4" s="1"/>
  <c r="N424" i="4" a="1"/>
  <c r="N424" i="4" s="1"/>
  <c r="N425" i="4" a="1"/>
  <c r="N425" i="4" s="1"/>
  <c r="N426" i="4" a="1"/>
  <c r="N426" i="4" s="1"/>
  <c r="N427" i="4" a="1"/>
  <c r="N427" i="4" s="1"/>
  <c r="N428" i="4" a="1"/>
  <c r="N428" i="4" s="1"/>
  <c r="N429" i="4" a="1"/>
  <c r="N429" i="4" s="1"/>
  <c r="N430" i="4" a="1"/>
  <c r="N430" i="4" s="1"/>
  <c r="N431" i="4" a="1"/>
  <c r="N431" i="4" s="1"/>
  <c r="N432" i="4" a="1"/>
  <c r="N432" i="4" s="1"/>
  <c r="N433" i="4" a="1"/>
  <c r="N433" i="4" s="1"/>
  <c r="N434" i="4" a="1"/>
  <c r="N434" i="4" s="1"/>
  <c r="N435" i="4" a="1"/>
  <c r="N435" i="4" s="1"/>
  <c r="N436" i="4" a="1"/>
  <c r="N436" i="4" s="1"/>
  <c r="N437" i="4" a="1"/>
  <c r="N437" i="4" s="1"/>
  <c r="N438" i="4" a="1"/>
  <c r="N438" i="4" s="1"/>
  <c r="N439" i="4" a="1"/>
  <c r="N439" i="4" s="1"/>
  <c r="N440" i="4" a="1"/>
  <c r="N440" i="4" s="1"/>
  <c r="N441" i="4" a="1"/>
  <c r="N441" i="4" s="1"/>
  <c r="N442" i="4" a="1"/>
  <c r="N442" i="4" s="1"/>
  <c r="N443" i="4" a="1"/>
  <c r="N443" i="4" s="1"/>
  <c r="N444" i="4" a="1"/>
  <c r="N444" i="4" s="1"/>
  <c r="N445" i="4" a="1"/>
  <c r="N445" i="4" s="1"/>
  <c r="N446" i="4" a="1"/>
  <c r="N446" i="4" s="1"/>
  <c r="N447" i="4" a="1"/>
  <c r="N447" i="4" s="1"/>
  <c r="N448" i="4" a="1"/>
  <c r="N448" i="4" s="1"/>
  <c r="N449" i="4" a="1"/>
  <c r="N449" i="4" s="1"/>
  <c r="N450" i="4" a="1"/>
  <c r="N450" i="4" s="1"/>
  <c r="N451" i="4" a="1"/>
  <c r="N451" i="4" s="1"/>
  <c r="N452" i="4" a="1"/>
  <c r="N452" i="4" s="1"/>
  <c r="N453" i="4" a="1"/>
  <c r="N453" i="4" s="1"/>
  <c r="N454" i="4" a="1"/>
  <c r="N454" i="4" s="1"/>
  <c r="N455" i="4" a="1"/>
  <c r="N455" i="4" s="1"/>
  <c r="N456" i="4" a="1"/>
  <c r="N456" i="4" s="1"/>
  <c r="N457" i="4" a="1"/>
  <c r="N457" i="4" s="1"/>
  <c r="N458" i="4" a="1"/>
  <c r="N458" i="4" s="1"/>
  <c r="N459" i="4" a="1"/>
  <c r="N459" i="4" s="1"/>
  <c r="N460" i="4" a="1"/>
  <c r="N460" i="4" s="1"/>
  <c r="N461" i="4" a="1"/>
  <c r="N461" i="4" s="1"/>
  <c r="N462" i="4" a="1"/>
  <c r="N462" i="4" s="1"/>
  <c r="N463" i="4" a="1"/>
  <c r="N463" i="4" s="1"/>
  <c r="N464" i="4" a="1"/>
  <c r="N464" i="4" s="1"/>
  <c r="N465" i="4" a="1"/>
  <c r="N465" i="4" s="1"/>
  <c r="N466" i="4" a="1"/>
  <c r="N466" i="4" s="1"/>
  <c r="N467" i="4" a="1"/>
  <c r="N467" i="4" s="1"/>
  <c r="N468" i="4" a="1"/>
  <c r="N468" i="4" s="1"/>
  <c r="N469" i="4" a="1"/>
  <c r="N469" i="4" s="1"/>
  <c r="N470" i="4" a="1"/>
  <c r="N470" i="4" s="1"/>
  <c r="N471" i="4" a="1"/>
  <c r="N471" i="4" s="1"/>
  <c r="N472" i="4" a="1"/>
  <c r="N472" i="4" s="1"/>
  <c r="N473" i="4" a="1"/>
  <c r="N473" i="4" s="1"/>
  <c r="N474" i="4" a="1"/>
  <c r="N474" i="4" s="1"/>
  <c r="N475" i="4" a="1"/>
  <c r="N475" i="4" s="1"/>
  <c r="N476" i="4" a="1"/>
  <c r="N476" i="4" s="1"/>
  <c r="N477" i="4" a="1"/>
  <c r="N477" i="4" s="1"/>
  <c r="N478" i="4" a="1"/>
  <c r="N478" i="4" s="1"/>
  <c r="N479" i="4" a="1"/>
  <c r="N479" i="4" s="1"/>
  <c r="N480" i="4" a="1"/>
  <c r="N480" i="4" s="1"/>
  <c r="N481" i="4" a="1"/>
  <c r="N481" i="4" s="1"/>
  <c r="N482" i="4" a="1"/>
  <c r="N482" i="4" s="1"/>
  <c r="N483" i="4" a="1"/>
  <c r="N483" i="4" s="1"/>
  <c r="N484" i="4" a="1"/>
  <c r="N484" i="4" s="1"/>
  <c r="N485" i="4" a="1"/>
  <c r="N485" i="4" s="1"/>
  <c r="N486" i="4" a="1"/>
  <c r="N486" i="4" s="1"/>
  <c r="N487" i="4" a="1"/>
  <c r="N487" i="4"/>
  <c r="N488" i="4" a="1"/>
  <c r="N488" i="4" s="1"/>
  <c r="N489" i="4" a="1"/>
  <c r="N489" i="4" s="1"/>
  <c r="N490" i="4" a="1"/>
  <c r="N490" i="4" s="1"/>
  <c r="N491" i="4" a="1"/>
  <c r="N491" i="4" s="1"/>
  <c r="N492" i="4" a="1"/>
  <c r="N492" i="4" s="1"/>
  <c r="N493" i="4" a="1"/>
  <c r="N493" i="4" s="1"/>
  <c r="N494" i="4" a="1"/>
  <c r="N494" i="4" s="1"/>
  <c r="N495" i="4" a="1"/>
  <c r="N495" i="4" s="1"/>
  <c r="N496" i="4" a="1"/>
  <c r="N496" i="4" s="1"/>
  <c r="N497" i="4" a="1"/>
  <c r="N497" i="4" s="1"/>
  <c r="N498" i="4" a="1"/>
  <c r="N498" i="4" s="1"/>
  <c r="N499" i="4" a="1"/>
  <c r="N499" i="4" s="1"/>
  <c r="N500" i="4" a="1"/>
  <c r="N500" i="4" s="1"/>
  <c r="N501" i="4" a="1"/>
  <c r="N501" i="4" s="1"/>
  <c r="N502" i="4" a="1"/>
  <c r="N502" i="4" s="1"/>
  <c r="N503" i="4" a="1"/>
  <c r="N503" i="4" s="1"/>
  <c r="N504" i="4" a="1"/>
  <c r="N504" i="4" s="1"/>
  <c r="N505" i="4" a="1"/>
  <c r="N505" i="4" s="1"/>
  <c r="N506" i="4" a="1"/>
  <c r="N506" i="4" s="1"/>
  <c r="N507" i="4" a="1"/>
  <c r="N507" i="4" s="1"/>
  <c r="N508" i="4" a="1"/>
  <c r="N508" i="4" s="1"/>
  <c r="N509" i="4" a="1"/>
  <c r="N509" i="4" s="1"/>
  <c r="N510" i="4" a="1"/>
  <c r="N510" i="4" s="1"/>
  <c r="N511" i="4" a="1"/>
  <c r="N511" i="4" s="1"/>
  <c r="N512" i="4" a="1"/>
  <c r="N512" i="4" s="1"/>
  <c r="N513" i="4" a="1"/>
  <c r="N513" i="4" s="1"/>
  <c r="N514" i="4" a="1"/>
  <c r="N514" i="4" s="1"/>
  <c r="N515" i="4" a="1"/>
  <c r="N515" i="4" s="1"/>
  <c r="N516" i="4" a="1"/>
  <c r="N516" i="4" s="1"/>
  <c r="N517" i="4" a="1"/>
  <c r="N517" i="4" s="1"/>
  <c r="N518" i="4" a="1"/>
  <c r="N518" i="4" s="1"/>
  <c r="N519" i="4" a="1"/>
  <c r="N519" i="4" s="1"/>
  <c r="N520" i="4" a="1"/>
  <c r="N520" i="4" s="1"/>
  <c r="N521" i="4" a="1"/>
  <c r="N521" i="4" s="1"/>
  <c r="N522" i="4" a="1"/>
  <c r="N522" i="4" s="1"/>
  <c r="N523" i="4" a="1"/>
  <c r="N523" i="4" s="1"/>
  <c r="N524" i="4" a="1"/>
  <c r="N524" i="4" s="1"/>
  <c r="N525" i="4" a="1"/>
  <c r="N525" i="4" s="1"/>
  <c r="N23" i="4" a="1"/>
  <c r="N23" i="4" s="1"/>
  <c r="N24" i="4" a="1"/>
  <c r="N24" i="4" s="1"/>
  <c r="N25" i="4" a="1"/>
  <c r="N25" i="4"/>
  <c r="N26" i="4" a="1"/>
  <c r="N26" i="4" s="1"/>
  <c r="N27" i="4" a="1"/>
  <c r="N27" i="4" s="1"/>
  <c r="N28" i="4" a="1"/>
  <c r="N28" i="4" s="1"/>
  <c r="N29" i="4" a="1"/>
  <c r="N29" i="4" s="1"/>
  <c r="N30" i="4" a="1"/>
  <c r="N30" i="4"/>
  <c r="N31" i="4" a="1"/>
  <c r="N31" i="4" s="1"/>
  <c r="N32" i="4" a="1"/>
  <c r="N32" i="4" s="1"/>
  <c r="N33" i="4" a="1"/>
  <c r="N33" i="4" s="1"/>
  <c r="N34" i="4" a="1"/>
  <c r="N34" i="4" s="1"/>
  <c r="N35" i="4" a="1"/>
  <c r="N35" i="4" s="1"/>
  <c r="N36" i="4" a="1"/>
  <c r="N36" i="4" s="1"/>
  <c r="N37" i="4" a="1"/>
  <c r="N37" i="4" s="1"/>
  <c r="N38" i="4" a="1"/>
  <c r="N38" i="4" s="1"/>
  <c r="N39" i="4" a="1"/>
  <c r="N39" i="4" s="1"/>
  <c r="N40" i="4" a="1"/>
  <c r="N40" i="4" s="1"/>
  <c r="N41" i="4" a="1"/>
  <c r="N41" i="4" s="1"/>
  <c r="N42" i="4" a="1"/>
  <c r="N42" i="4" s="1"/>
  <c r="N43" i="4" a="1"/>
  <c r="N43" i="4" s="1"/>
  <c r="N44" i="4" a="1"/>
  <c r="N44" i="4" s="1"/>
  <c r="N45" i="4" a="1"/>
  <c r="N45" i="4" s="1"/>
  <c r="N46" i="4" a="1"/>
  <c r="N46" i="4" s="1"/>
  <c r="N47" i="4" a="1"/>
  <c r="N47" i="4" s="1"/>
  <c r="N48" i="4" a="1"/>
  <c r="N48" i="4" s="1"/>
  <c r="N49" i="4" a="1"/>
  <c r="N49" i="4" s="1"/>
  <c r="N50" i="4" a="1"/>
  <c r="N50" i="4" s="1"/>
  <c r="N51" i="4" a="1"/>
  <c r="N51" i="4" s="1"/>
  <c r="N52" i="4" a="1"/>
  <c r="N52" i="4" s="1"/>
  <c r="N53" i="4" a="1"/>
  <c r="N53" i="4" s="1"/>
  <c r="N54" i="4" a="1"/>
  <c r="N54" i="4" s="1"/>
  <c r="N55" i="4" a="1"/>
  <c r="N55" i="4" s="1"/>
  <c r="N56" i="4" a="1"/>
  <c r="N56" i="4" s="1"/>
  <c r="N57" i="4" a="1"/>
  <c r="N57" i="4"/>
  <c r="N58" i="4" a="1"/>
  <c r="N58" i="4" s="1"/>
  <c r="N59" i="4" a="1"/>
  <c r="N59" i="4" s="1"/>
  <c r="N60" i="4" a="1"/>
  <c r="N60" i="4" s="1"/>
  <c r="N61" i="4" a="1"/>
  <c r="N61" i="4" s="1"/>
  <c r="N62" i="4" a="1"/>
  <c r="N62" i="4" s="1"/>
  <c r="N63" i="4" a="1"/>
  <c r="N63" i="4" s="1"/>
  <c r="N64" i="4" a="1"/>
  <c r="N64" i="4" s="1"/>
  <c r="N65" i="4" a="1"/>
  <c r="N65" i="4" s="1"/>
  <c r="N66" i="4" a="1"/>
  <c r="N66" i="4" s="1"/>
  <c r="N67" i="4" a="1"/>
  <c r="N67" i="4" s="1"/>
  <c r="N68" i="4" a="1"/>
  <c r="N68" i="4" s="1"/>
  <c r="N69" i="4" a="1"/>
  <c r="N69" i="4" s="1"/>
  <c r="N70" i="4" a="1"/>
  <c r="N70" i="4" s="1"/>
  <c r="N71" i="4" a="1"/>
  <c r="N71" i="4" s="1"/>
  <c r="N72" i="4" a="1"/>
  <c r="N72" i="4" s="1"/>
  <c r="N73" i="4" a="1"/>
  <c r="N73" i="4" s="1"/>
  <c r="N74" i="4" a="1"/>
  <c r="N74" i="4" s="1"/>
  <c r="N75" i="4" a="1"/>
  <c r="N75" i="4" s="1"/>
  <c r="N76" i="4" a="1"/>
  <c r="N76" i="4" s="1"/>
  <c r="N77" i="4" a="1"/>
  <c r="N77" i="4" s="1"/>
  <c r="N78" i="4" a="1"/>
  <c r="N78" i="4" s="1"/>
  <c r="N79" i="4" a="1"/>
  <c r="N79" i="4" s="1"/>
  <c r="N80" i="4" a="1"/>
  <c r="N80" i="4" s="1"/>
  <c r="N81" i="4" a="1"/>
  <c r="N81" i="4" s="1"/>
  <c r="N82" i="4" a="1"/>
  <c r="N82" i="4" s="1"/>
  <c r="N83" i="4" a="1"/>
  <c r="N83" i="4" s="1"/>
  <c r="N84" i="4" a="1"/>
  <c r="N84" i="4" s="1"/>
  <c r="N85" i="4" a="1"/>
  <c r="N85" i="4" s="1"/>
  <c r="N86" i="4" a="1"/>
  <c r="N86" i="4" s="1"/>
  <c r="N87" i="4" a="1"/>
  <c r="N87" i="4" s="1"/>
  <c r="N88" i="4" a="1"/>
  <c r="N88" i="4" s="1"/>
  <c r="N89" i="4" a="1"/>
  <c r="N89" i="4" s="1"/>
  <c r="N90" i="4" a="1"/>
  <c r="N90" i="4" s="1"/>
  <c r="N91" i="4" a="1"/>
  <c r="N91" i="4" s="1"/>
  <c r="N92" i="4" a="1"/>
  <c r="N92" i="4" s="1"/>
  <c r="N93" i="4" a="1"/>
  <c r="N93" i="4" s="1"/>
  <c r="N94" i="4" a="1"/>
  <c r="N94" i="4" s="1"/>
  <c r="N95" i="4" a="1"/>
  <c r="N95" i="4" s="1"/>
  <c r="N96" i="4" a="1"/>
  <c r="N96" i="4" s="1"/>
  <c r="N97" i="4" a="1"/>
  <c r="N97" i="4" s="1"/>
  <c r="N98" i="4" a="1"/>
  <c r="N98" i="4" s="1"/>
  <c r="N99" i="4" a="1"/>
  <c r="N99" i="4" s="1"/>
  <c r="N100" i="4" a="1"/>
  <c r="N100" i="4" s="1"/>
  <c r="N101" i="4" a="1"/>
  <c r="N101" i="4"/>
  <c r="N102" i="4" a="1"/>
  <c r="N102" i="4" s="1"/>
  <c r="N103" i="4" a="1"/>
  <c r="N103" i="4" s="1"/>
  <c r="N104" i="4" a="1"/>
  <c r="N104" i="4" s="1"/>
  <c r="N105" i="4" a="1"/>
  <c r="N105" i="4" s="1"/>
  <c r="N106" i="4" a="1"/>
  <c r="N106" i="4" s="1"/>
  <c r="N107" i="4" a="1"/>
  <c r="N107" i="4" s="1"/>
  <c r="N108" i="4" a="1"/>
  <c r="N108" i="4" s="1"/>
  <c r="N109" i="4" a="1"/>
  <c r="N109" i="4" s="1"/>
  <c r="N110" i="4" a="1"/>
  <c r="N110" i="4" s="1"/>
  <c r="N111" i="4" a="1"/>
  <c r="N111" i="4" s="1"/>
  <c r="N112" i="4" a="1"/>
  <c r="N112" i="4" s="1"/>
  <c r="N113" i="4" a="1"/>
  <c r="N113" i="4" s="1"/>
  <c r="N114" i="4" a="1"/>
  <c r="N114" i="4" s="1"/>
  <c r="N115" i="4" a="1"/>
  <c r="N115" i="4" s="1"/>
  <c r="N116" i="4" a="1"/>
  <c r="N116" i="4" s="1"/>
  <c r="N117" i="4" a="1"/>
  <c r="N117" i="4" s="1"/>
  <c r="N118" i="4" a="1"/>
  <c r="N118" i="4" s="1"/>
  <c r="N119" i="4" a="1"/>
  <c r="N119" i="4" s="1"/>
  <c r="N120" i="4" a="1"/>
  <c r="N120" i="4" s="1"/>
  <c r="N121" i="4" a="1"/>
  <c r="N121" i="4" s="1"/>
  <c r="N122" i="4" a="1"/>
  <c r="N122" i="4" s="1"/>
  <c r="N123" i="4" a="1"/>
  <c r="N123" i="4" s="1"/>
  <c r="N124" i="4" a="1"/>
  <c r="N124" i="4" s="1"/>
  <c r="N125" i="4" a="1"/>
  <c r="N125" i="4" s="1"/>
  <c r="N126" i="4" a="1"/>
  <c r="N126" i="4" s="1"/>
  <c r="N127" i="4" a="1"/>
  <c r="N127" i="4" s="1"/>
  <c r="N128" i="4" a="1"/>
  <c r="N128" i="4" s="1"/>
  <c r="N129" i="4" a="1"/>
  <c r="N129" i="4" s="1"/>
  <c r="N130" i="4" a="1"/>
  <c r="N130" i="4"/>
  <c r="N131" i="4" a="1"/>
  <c r="N131" i="4" s="1"/>
  <c r="N132" i="4" a="1"/>
  <c r="N132" i="4" s="1"/>
  <c r="N133" i="4" a="1"/>
  <c r="N133" i="4" s="1"/>
  <c r="N134" i="4" a="1"/>
  <c r="N134" i="4" s="1"/>
  <c r="N135" i="4" a="1"/>
  <c r="N135" i="4" s="1"/>
  <c r="N136" i="4" a="1"/>
  <c r="N136" i="4" s="1"/>
  <c r="N137" i="4" a="1"/>
  <c r="N137" i="4" s="1"/>
  <c r="N138" i="4" a="1"/>
  <c r="N138" i="4" s="1"/>
  <c r="N139" i="4" a="1"/>
  <c r="N139" i="4" s="1"/>
  <c r="N140" i="4" a="1"/>
  <c r="N140" i="4" s="1"/>
  <c r="N141" i="4" a="1"/>
  <c r="N141" i="4" s="1"/>
  <c r="N142" i="4" a="1"/>
  <c r="N142" i="4" s="1"/>
  <c r="N143" i="4" a="1"/>
  <c r="N143" i="4" s="1"/>
  <c r="N144" i="4" a="1"/>
  <c r="N144" i="4" s="1"/>
  <c r="N145" i="4" a="1"/>
  <c r="N145" i="4" s="1"/>
  <c r="N146" i="4" a="1"/>
  <c r="N146" i="4" s="1"/>
  <c r="N147" i="4" a="1"/>
  <c r="N147" i="4" s="1"/>
  <c r="N148" i="4" a="1"/>
  <c r="N148" i="4" s="1"/>
  <c r="N149" i="4" a="1"/>
  <c r="N149" i="4" s="1"/>
  <c r="N150" i="4" a="1"/>
  <c r="N150" i="4" s="1"/>
  <c r="N151" i="4" a="1"/>
  <c r="N151" i="4" s="1"/>
  <c r="N152" i="4" a="1"/>
  <c r="N152" i="4" s="1"/>
  <c r="N153" i="4" a="1"/>
  <c r="N153" i="4" s="1"/>
  <c r="N154" i="4" a="1"/>
  <c r="N154" i="4" s="1"/>
  <c r="N155" i="4" a="1"/>
  <c r="N155" i="4" s="1"/>
  <c r="N156" i="4" a="1"/>
  <c r="N156" i="4" s="1"/>
  <c r="N157" i="4" a="1"/>
  <c r="N157" i="4"/>
  <c r="N158" i="4" a="1"/>
  <c r="N158" i="4" s="1"/>
  <c r="N159" i="4" a="1"/>
  <c r="N159" i="4" s="1"/>
  <c r="N160" i="4" a="1"/>
  <c r="N160" i="4" s="1"/>
  <c r="N161" i="4" a="1"/>
  <c r="N161" i="4" s="1"/>
  <c r="N162" i="4" a="1"/>
  <c r="N162" i="4" s="1"/>
  <c r="N163" i="4" a="1"/>
  <c r="N163" i="4" s="1"/>
  <c r="N164" i="4" a="1"/>
  <c r="N164" i="4" s="1"/>
  <c r="N165" i="4" a="1"/>
  <c r="N165" i="4" s="1"/>
  <c r="N166" i="4" a="1"/>
  <c r="N166" i="4" s="1"/>
  <c r="N167" i="4" a="1"/>
  <c r="N167" i="4" s="1"/>
  <c r="N168" i="4" a="1"/>
  <c r="N168" i="4" s="1"/>
  <c r="N169" i="4" a="1"/>
  <c r="N169" i="4" s="1"/>
  <c r="N170" i="4" a="1"/>
  <c r="N170" i="4" s="1"/>
  <c r="N171" i="4" a="1"/>
  <c r="N171" i="4" s="1"/>
  <c r="N172" i="4" a="1"/>
  <c r="N172" i="4" s="1"/>
  <c r="N173" i="4" a="1"/>
  <c r="N173" i="4" s="1"/>
  <c r="N174" i="4" a="1"/>
  <c r="N174" i="4" s="1"/>
  <c r="N175" i="4" a="1"/>
  <c r="N175" i="4" s="1"/>
  <c r="N176" i="4" a="1"/>
  <c r="N176" i="4" s="1"/>
  <c r="N177" i="4" a="1"/>
  <c r="N177" i="4" s="1"/>
  <c r="N178" i="4" a="1"/>
  <c r="N178" i="4" s="1"/>
  <c r="N179" i="4" a="1"/>
  <c r="N179" i="4" s="1"/>
  <c r="N180" i="4" a="1"/>
  <c r="N180" i="4" s="1"/>
  <c r="N181" i="4" a="1"/>
  <c r="N181" i="4" s="1"/>
  <c r="N182" i="4" a="1"/>
  <c r="N182" i="4" s="1"/>
  <c r="N183" i="4" a="1"/>
  <c r="N183" i="4" s="1"/>
  <c r="N3" i="4" a="1"/>
  <c r="N3" i="4" s="1"/>
  <c r="N4" i="4" a="1"/>
  <c r="N4" i="4" s="1"/>
  <c r="N5" i="4" a="1"/>
  <c r="N5" i="4" s="1"/>
  <c r="N6" i="4" a="1"/>
  <c r="N6" i="4"/>
  <c r="N7" i="4" a="1"/>
  <c r="N7" i="4" s="1"/>
  <c r="N8" i="4" a="1"/>
  <c r="N8" i="4" s="1"/>
  <c r="N9" i="4" a="1"/>
  <c r="N9" i="4" s="1"/>
  <c r="N10" i="4" a="1"/>
  <c r="N10" i="4" s="1"/>
  <c r="N11" i="4" a="1"/>
  <c r="N11" i="4" s="1"/>
  <c r="N12" i="4" a="1"/>
  <c r="N12" i="4" s="1"/>
  <c r="N13" i="4" a="1"/>
  <c r="N13" i="4" s="1"/>
  <c r="N14" i="4" a="1"/>
  <c r="N14" i="4" s="1"/>
  <c r="N15" i="4" a="1"/>
  <c r="N15" i="4" s="1"/>
  <c r="N16" i="4" a="1"/>
  <c r="N16" i="4" s="1"/>
  <c r="N17" i="4" a="1"/>
  <c r="N17" i="4" s="1"/>
  <c r="N18" i="4" a="1"/>
  <c r="N18" i="4" s="1"/>
  <c r="N19" i="4" a="1"/>
  <c r="N19" i="4" s="1"/>
  <c r="N20" i="4" a="1"/>
  <c r="N20" i="4" s="1"/>
  <c r="N21" i="4" a="1"/>
  <c r="N21" i="4" s="1"/>
  <c r="N22" i="4" a="1"/>
  <c r="N22" i="4" s="1"/>
  <c r="N2" i="4" a="1"/>
  <c r="N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<sst xmlns="http://schemas.openxmlformats.org/spreadsheetml/2006/main" count="24718" uniqueCount="193">
  <si>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</si>
  <si>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</si>
  <si>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</si>
  <si>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</si>
  <si>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</si>
  <si>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</si>
  <si>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</si>
  <si>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</si>
  <si>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</si>
  <si>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</si>
  <si>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</si>
  <si>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</si>
  <si>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</si>
  <si>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</si>
  <si>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</si>
  <si>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</si>
  <si>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</si>
  <si>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</si>
  <si>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</si>
  <si>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</si>
  <si>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</si>
  <si>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</si>
  <si>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</si>
  <si>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</si>
  <si>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</si>
  <si>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</si>
  <si>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</si>
  <si>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</si>
  <si>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</si>
  <si>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</si>
  <si>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</si>
  <si>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</si>
  <si>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</si>
  <si>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</si>
  <si>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</si>
  <si>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</si>
  <si>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Groups</t>
  </si>
  <si>
    <t>Married</t>
  </si>
  <si>
    <t>Female</t>
  </si>
  <si>
    <t>Male</t>
  </si>
  <si>
    <t>Single</t>
  </si>
  <si>
    <t>More than 10 Miles</t>
  </si>
  <si>
    <t>Row Labels</t>
  </si>
  <si>
    <t>Count of Gender</t>
  </si>
  <si>
    <t>Grand Total</t>
  </si>
  <si>
    <t>Count of Marital Status</t>
  </si>
  <si>
    <t>Count of Education</t>
  </si>
  <si>
    <t>Count of Region</t>
  </si>
  <si>
    <t>Count of Children</t>
  </si>
  <si>
    <t>Average of Income</t>
  </si>
  <si>
    <t>Column Labels</t>
  </si>
  <si>
    <t>Count of Purchased Bike</t>
  </si>
  <si>
    <t>Seniors</t>
  </si>
  <si>
    <t>Middle-Aged</t>
  </si>
  <si>
    <t>Adults</t>
  </si>
  <si>
    <t>1. Were there any missing values?</t>
  </si>
  <si>
    <t>Mention is needed then as per how they are handled explicitly</t>
  </si>
  <si>
    <t>Select your table</t>
  </si>
  <si>
    <r>
      <t xml:space="preserve">Press </t>
    </r>
    <r>
      <rPr>
        <b/>
        <sz val="11"/>
        <color theme="1"/>
        <rFont val="Calibri"/>
        <family val="2"/>
        <scheme val="minor"/>
      </rPr>
      <t>Ctrl + G</t>
    </r>
  </si>
  <si>
    <r>
      <t xml:space="preserve">Click </t>
    </r>
    <r>
      <rPr>
        <b/>
        <sz val="11"/>
        <color theme="1"/>
        <rFont val="Calibri"/>
        <family val="2"/>
        <scheme val="minor"/>
      </rPr>
      <t>Special</t>
    </r>
  </si>
  <si>
    <r>
      <t xml:space="preserve">Select </t>
    </r>
    <r>
      <rPr>
        <b/>
        <sz val="11"/>
        <color theme="1"/>
        <rFont val="Calibri"/>
        <family val="2"/>
        <scheme val="minor"/>
      </rPr>
      <t>Blanks</t>
    </r>
  </si>
  <si>
    <r>
      <t xml:space="preserve">Click </t>
    </r>
    <r>
      <rPr>
        <b/>
        <sz val="11"/>
        <color theme="1"/>
        <rFont val="Calibri"/>
        <family val="2"/>
        <scheme val="minor"/>
      </rPr>
      <t>OK</t>
    </r>
  </si>
  <si>
    <t>Answer: No cells were found</t>
  </si>
  <si>
    <t>So, there is no missing values in our dataset</t>
  </si>
  <si>
    <t>2. outlier detection through boxplots or quartile() to detect extreme incomes or commute distances</t>
  </si>
  <si>
    <t>then to decide whether to trim them or how to tackle</t>
  </si>
  <si>
    <t>These values were retained as they represent genuine high-earning customers and provide valuable insight into purchasing behavior.</t>
  </si>
  <si>
    <t xml:space="preserve">The income distribution shows a small number of high-income outliers. </t>
  </si>
  <si>
    <t>So, we don't remove the outliers in this case.</t>
  </si>
  <si>
    <t>3. Low , middle and high income could be made (income bracket)</t>
  </si>
  <si>
    <t>Then we can check bike purchase rate by income tier</t>
  </si>
  <si>
    <t>Income Bracket</t>
  </si>
  <si>
    <t>Formula: IFS(D2&lt;= 60000, "Low Income",
D2&lt;=120000,"Medium Income",
D2&gt; 120000,"High Income"
)</t>
  </si>
  <si>
    <t>High Income</t>
  </si>
  <si>
    <t>Low Income</t>
  </si>
  <si>
    <t>Medium Income</t>
  </si>
  <si>
    <t>We can use the numeric Buyer column (1 for Yes, 0 for No) because it allows us to calculate conversion rates and do aggregations by other fields, like age group or gender. If we only use Yes/No text, a pie chart can show overall percentages, but we can’t easily compare or calculate metrics across different segments.</t>
  </si>
  <si>
    <t>4. We can create a calculated column
Buyer or not Buyer
buyer = if(bikepurchased = "Yes",1,0)
this would be helpful to calculate conversion rate in %
and also compare buyer vs non buyer ratios by each segment</t>
  </si>
  <si>
    <t>Buyer or not</t>
  </si>
  <si>
    <t>5. Some more analysis qs could be giving good insights-</t>
  </si>
  <si>
    <t>a. Which age + income combinations have the highest conversion?</t>
  </si>
  <si>
    <t>b. Does education amplify income effect on bike purchases?</t>
  </si>
  <si>
    <t>c. Are long travelling / commuting customers more inclined to income or occupation?</t>
  </si>
  <si>
    <t>d. Which region - occupation combinations are underperforming?</t>
  </si>
  <si>
    <t>Sum of Buyer or not</t>
  </si>
  <si>
    <t>Young Adults</t>
  </si>
  <si>
    <t>Count of Buyer or not</t>
  </si>
  <si>
    <t>Middle Aged + Low Income</t>
  </si>
  <si>
    <t>Average of Buyer or not</t>
  </si>
  <si>
    <t>Pivot table on purchase rate, avg income, % contribution of each region to total sales</t>
  </si>
  <si>
    <t>7. Ranking-</t>
  </si>
  <si>
    <t>top 5 occupations by bike purchases</t>
  </si>
  <si>
    <t>top ince brackets by conversion rate</t>
  </si>
  <si>
    <t xml:space="preserve"> Check the dashboard</t>
  </si>
  <si>
    <t>Customer Count</t>
  </si>
  <si>
    <t>Sum of Customer Count</t>
  </si>
  <si>
    <t>Sum of Purchase Rate</t>
  </si>
  <si>
    <t xml:space="preserve">Sales </t>
  </si>
  <si>
    <t>Sum of Purchased Rate</t>
  </si>
  <si>
    <t xml:space="preserve">9. A heatmap was created using conditional formatting for the pivot table. Purchase rate was calculated as the ratio of buyers to total customers. Darker colors indicate higher conversion allowing quick identification of high performing region wrt purchase rate in percentage (%). Pacific is having the highest purchase rate with 59%. </t>
  </si>
  <si>
    <t xml:space="preserve">10. business impact </t>
  </si>
  <si>
    <t xml:space="preserve">8. KPI values could be noted for 1. total </t>
  </si>
  <si>
    <t>Purchased Rate (in %)</t>
  </si>
  <si>
    <t>Customer_Count</t>
  </si>
  <si>
    <t>Total Buyers</t>
  </si>
  <si>
    <t xml:space="preserve">Total Sales </t>
  </si>
  <si>
    <t>Average Income</t>
  </si>
  <si>
    <t xml:space="preserve">Handling strageries for missing values related columns </t>
  </si>
  <si>
    <t>1. Approach - We used Excel Filters / Countblank () to check missing values count across columns such as income, education, occupation, commute distance, region, etc</t>
  </si>
  <si>
    <t xml:space="preserve">Column </t>
  </si>
  <si>
    <t xml:space="preserve">Income </t>
  </si>
  <si>
    <t xml:space="preserve">Commute Distance </t>
  </si>
  <si>
    <t xml:space="preserve">Region </t>
  </si>
  <si>
    <t xml:space="preserve">Purchase Bike </t>
  </si>
  <si>
    <t>Handling Method</t>
  </si>
  <si>
    <t xml:space="preserve">Used Average of Income to handle missing values ensuring they were not much outliers. </t>
  </si>
  <si>
    <t xml:space="preserve">Reason </t>
  </si>
  <si>
    <t xml:space="preserve">Income drives purchase behavior. </t>
  </si>
  <si>
    <t>Filled with "unknown"</t>
  </si>
  <si>
    <t>Wanted to avoid row deletion. Data loss is bad.</t>
  </si>
  <si>
    <t>Median Imputation</t>
  </si>
  <si>
    <t>Wanted to reduce the effect of extreme values.</t>
  </si>
  <si>
    <t>Mode Imputation ensuring almost even distribution. (not normal distribution)</t>
  </si>
  <si>
    <t xml:space="preserve">No blanks are allowed. </t>
  </si>
  <si>
    <t xml:space="preserve">This is the core target variable </t>
  </si>
  <si>
    <t xml:space="preserve">Missing values were handled based on business relevance. Critical fields were preserved at the optimum level while categorical gaps were labelled as "unknown" to avoid data loss. </t>
  </si>
  <si>
    <t xml:space="preserve">Outlier Detection: Used boxplot on Income. </t>
  </si>
  <si>
    <t>Methods Used:
Boxplots
Quartiles (Q1, Q3, IQR)</t>
  </si>
  <si>
    <t>IQR = Q3 – Q1 
Lower bound = Q1 – 1.5 × IQR Upper bound = Q3 + 1.5 × IQR</t>
  </si>
  <si>
    <t>Observations:
Extreme income outliers (very high earners)
Some unusually long commute distances</t>
  </si>
  <si>
    <t>Reason</t>
  </si>
  <si>
    <t>Extreme values may represent real high-income customers and were therefore capped instead of removed to retain business insight.</t>
  </si>
  <si>
    <t>Income Brackets (Low / Middle / High)- Raw income is hard to interpret : segments give clarity</t>
  </si>
  <si>
    <t xml:space="preserve">Age </t>
  </si>
  <si>
    <t>Analysis Performed: Purchase rate by income tier Buyer distribution by income group</t>
  </si>
  <si>
    <t>Insight - Higher income groups show significantly higher conversion rates, validating income as a strong purchase driver.</t>
  </si>
  <si>
    <t>Created Column Buyer_Flag</t>
  </si>
  <si>
    <t>Enables: Purchase rate calculation Buyer vs Non-buyer comparison Attributes to pivot table metrics</t>
  </si>
  <si>
    <t>A numeric buyer flag simplifies conversion analysis and enables ratio-based insights across all segments.</t>
  </si>
  <si>
    <t>Which age + income combinations convert best? 
Pivot: Age Groups × Income Bracket Metric: Purchase Rate</t>
  </si>
  <si>
    <t>Middle-aged, high-income customers show the highest bike purchase likelihood. (ENTER YOURS)</t>
  </si>
  <si>
    <t>Does education amplify income effect? Pivot: Education × Income Bracket Metric: Purchase Rate</t>
  </si>
  <si>
    <t>Higher education strengthens the positive effect of income on purchase decisions.</t>
  </si>
  <si>
    <t>Commute distance vs income/occupation</t>
  </si>
  <si>
    <t>Long commute + professional/skilled roles show higher purchase intent- Customers with longer commutes and stable occupations prioritize bikes for efficiency.</t>
  </si>
  <si>
    <t>Heatmap used to flag underperforming Regions wrt purchase rate</t>
  </si>
  <si>
    <t>Certain regions show low pucrchase rate and need targeted marketing.</t>
  </si>
  <si>
    <t xml:space="preserve">Conclusion: </t>
  </si>
  <si>
    <t>The analysis enables targeted marketing, optimized regional strategies, and income-based customer segmentation, leading to improved conversion and revenue efficiency.</t>
  </si>
  <si>
    <t>This analysis transforms raw customer data into actionable insights by combining segmentation, conversion metrics, ranking, heatmaps, and KPI dashboards to support data-driven business decisions.</t>
  </si>
  <si>
    <t>Q/A</t>
  </si>
  <si>
    <t>1. Were there any missing values? Mention is needed then as per how they are handled explicitly</t>
  </si>
  <si>
    <t xml:space="preserve">Answer </t>
  </si>
  <si>
    <t>Suppose, if we had missing values, how would you handle it?</t>
  </si>
  <si>
    <r>
      <t xml:space="preserve">2. </t>
    </r>
    <r>
      <rPr>
        <b/>
        <sz val="11"/>
        <color theme="1"/>
        <rFont val="Calibri"/>
        <family val="2"/>
        <scheme val="minor"/>
      </rPr>
      <t>Outlier detection</t>
    </r>
    <r>
      <rPr>
        <sz val="11"/>
        <color theme="1"/>
        <rFont val="Calibri"/>
        <family val="2"/>
        <scheme val="minor"/>
      </rPr>
      <t xml:space="preserve"> through boxplots or quartile() to detect extreme </t>
    </r>
    <r>
      <rPr>
        <b/>
        <sz val="11"/>
        <color theme="1"/>
        <rFont val="Calibri"/>
        <family val="2"/>
        <scheme val="minor"/>
      </rPr>
      <t>incomes or commute distances</t>
    </r>
    <r>
      <rPr>
        <sz val="11"/>
        <color theme="1"/>
        <rFont val="Calibri"/>
        <family val="2"/>
        <scheme val="minor"/>
      </rPr>
      <t>, then to decide whether to trim them or how to tackle</t>
    </r>
  </si>
  <si>
    <t>Questions / Tasks</t>
  </si>
  <si>
    <t>Extreme income outliers (very high earners)
Some unusually long commute distances</t>
  </si>
  <si>
    <t>Observations</t>
  </si>
  <si>
    <r>
      <rPr>
        <b/>
        <u/>
        <sz val="11"/>
        <color theme="1"/>
        <rFont val="Calibri"/>
        <family val="2"/>
        <scheme val="minor"/>
      </rPr>
      <t>Methods Used:</t>
    </r>
    <r>
      <rPr>
        <sz val="11"/>
        <color theme="1"/>
        <rFont val="Calibri"/>
        <family val="2"/>
        <scheme val="minor"/>
      </rPr>
      <t xml:space="preserve">
Boxplots
Quartiles (Q1, Q3, IQR)</t>
    </r>
  </si>
  <si>
    <r>
      <rPr>
        <b/>
        <u/>
        <sz val="11"/>
        <color theme="1"/>
        <rFont val="Calibri"/>
        <family val="2"/>
        <scheme val="minor"/>
      </rPr>
      <t>Formula:</t>
    </r>
    <r>
      <rPr>
        <sz val="11"/>
        <color theme="1"/>
        <rFont val="Calibri"/>
        <family val="2"/>
        <scheme val="minor"/>
      </rPr>
      <t xml:space="preserve"> IQR = Q3 – Q1 
Lower bound = Q1 – 1.5 × IQR Upper bound = Q3 + 1.5 × IQR</t>
    </r>
  </si>
  <si>
    <t>Formula Used:  IFS(D2&lt;= 60000, "Low Income",
D2&lt;=120000,"Medium Income",
D2&gt; 120000,"High Income")</t>
  </si>
  <si>
    <r>
      <rPr>
        <b/>
        <sz val="11"/>
        <color theme="1"/>
        <rFont val="Calibri"/>
        <family val="2"/>
        <scheme val="minor"/>
      </rPr>
      <t>Interpretation:</t>
    </r>
    <r>
      <rPr>
        <sz val="11"/>
        <color theme="1"/>
        <rFont val="Calibri"/>
        <family val="2"/>
        <scheme val="minor"/>
      </rPr>
      <t xml:space="preserve"> Low Income people purchase more bikes than high and medium income people. At the same time, the number low income people refuse to purchase bikes remains high compared to other two income people. </t>
    </r>
  </si>
  <si>
    <t>6. Pivot table on purchase rate, avg income, % contribution of each region to total sales</t>
  </si>
  <si>
    <t xml:space="preserve">Yes but not really </t>
  </si>
  <si>
    <t>Higher education strengthens the positive effect of income on purchase decisions. However, people whose education level is partial college but having high income show a high percentage of bike purchase.</t>
  </si>
  <si>
    <t>Top 5 occupation by bike purchase rate</t>
  </si>
  <si>
    <t>Average of Purchased Rate</t>
  </si>
  <si>
    <t>Top income brackets by purchase rate</t>
  </si>
  <si>
    <r>
      <t xml:space="preserve">8. </t>
    </r>
    <r>
      <rPr>
        <b/>
        <sz val="11"/>
        <color theme="1"/>
        <rFont val="Calibri"/>
        <family val="2"/>
        <scheme val="minor"/>
      </rPr>
      <t>KPI values could be noted for:</t>
    </r>
    <r>
      <rPr>
        <sz val="11"/>
        <color theme="1"/>
        <rFont val="Calibri"/>
        <family val="2"/>
        <scheme val="minor"/>
      </rPr>
      <t xml:space="preserve">
Total customers
Total buyers
Conversion/Purchase Rate in %
Avg income of buyers</t>
    </r>
  </si>
  <si>
    <t>9. Add a business impact section</t>
  </si>
  <si>
    <t>Business Impact:</t>
  </si>
  <si>
    <t>TYPE</t>
  </si>
  <si>
    <t>In other words, For customers who travel long distances, what matters more when buying a bike: how much money they earn (income) or the type of job they have (occupation)?</t>
  </si>
  <si>
    <t>Pivot 1 — Income influence</t>
  </si>
  <si>
    <t>Pivot 2 — Occupation influence</t>
  </si>
  <si>
    <r>
      <t xml:space="preserve">If purchases are </t>
    </r>
    <r>
      <rPr>
        <b/>
        <sz val="11"/>
        <color theme="1"/>
        <rFont val="Calibri"/>
        <family val="2"/>
        <scheme val="minor"/>
      </rPr>
      <t>spread across occupations</t>
    </r>
    <r>
      <rPr>
        <sz val="11"/>
        <color theme="1"/>
        <rFont val="Calibri"/>
        <family val="2"/>
        <scheme val="minor"/>
      </rPr>
      <t>, occupation matters less.</t>
    </r>
  </si>
  <si>
    <r>
      <t xml:space="preserve">If </t>
    </r>
    <r>
      <rPr>
        <b/>
        <sz val="11"/>
        <color theme="1"/>
        <rFont val="Calibri"/>
        <family val="2"/>
        <scheme val="minor"/>
      </rPr>
      <t>one or two dominate</t>
    </r>
    <r>
      <rPr>
        <sz val="11"/>
        <color theme="1"/>
        <rFont val="Calibri"/>
        <family val="2"/>
        <scheme val="minor"/>
      </rPr>
      <t>, occupation matters more.</t>
    </r>
  </si>
  <si>
    <r>
      <t xml:space="preserve">If buyers have </t>
    </r>
    <r>
      <rPr>
        <b/>
        <sz val="11"/>
        <color theme="1"/>
        <rFont val="Calibri"/>
        <family val="2"/>
        <scheme val="minor"/>
      </rPr>
      <t>much higher average income</t>
    </r>
    <r>
      <rPr>
        <sz val="11"/>
        <color theme="1"/>
        <rFont val="Calibri"/>
        <family val="2"/>
        <scheme val="minor"/>
      </rPr>
      <t xml:space="preserve"> than non-buyers → income matters.</t>
    </r>
  </si>
  <si>
    <r>
      <rPr>
        <b/>
        <sz val="11"/>
        <color theme="1"/>
        <rFont val="Calibri"/>
        <family val="2"/>
        <scheme val="minor"/>
      </rPr>
      <t>Conclusion:</t>
    </r>
    <r>
      <rPr>
        <sz val="11"/>
        <color theme="1"/>
        <rFont val="Calibri"/>
        <family val="2"/>
        <scheme val="minor"/>
      </rPr>
      <t xml:space="preserve"> For long-distance commuters, both income and occupation play a role in bike purchases</t>
    </r>
  </si>
  <si>
    <t>If buyers have much higher average income than non-buyers → income matters.</t>
  </si>
  <si>
    <t>The underperforming region-occupation combinations are:</t>
  </si>
  <si>
    <t>Europe:</t>
  </si>
  <si>
    <t>Management: 18.75%</t>
  </si>
  <si>
    <t>Manual: 41.18%</t>
  </si>
  <si>
    <t>North America:</t>
  </si>
  <si>
    <t>Clerical: 32.43%</t>
  </si>
  <si>
    <t>Management: 35.19%</t>
  </si>
  <si>
    <t>Skilled Manual: 40.22%</t>
  </si>
  <si>
    <t>Pacific:</t>
  </si>
  <si>
    <t>Clerical: 48.00% (marginally below)</t>
  </si>
  <si>
    <r>
      <t xml:space="preserve">7. </t>
    </r>
    <r>
      <rPr>
        <b/>
        <sz val="11"/>
        <color theme="1"/>
        <rFont val="Calibri"/>
        <family val="2"/>
        <scheme val="minor"/>
      </rPr>
      <t>Ranking</t>
    </r>
    <r>
      <rPr>
        <sz val="11"/>
        <color theme="1"/>
        <rFont val="Calibri"/>
        <family val="2"/>
        <scheme val="minor"/>
      </rPr>
      <t xml:space="preserve">
Top 5 occupations by bike purchases
</t>
    </r>
  </si>
  <si>
    <t>Have to complete the Dashboard</t>
  </si>
  <si>
    <r>
      <t xml:space="preserve">                                   </t>
    </r>
    <r>
      <rPr>
        <sz val="36"/>
        <color theme="1"/>
        <rFont val="Bahnschrift SemiBold"/>
        <family val="2"/>
      </rPr>
      <t>Bikes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</si>
</sst>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Bahnschrift SemiBold"/>
      <family val="2"/>
    </font>
    <font>
      <sz val="8"/>
      <color theme="1"/>
      <name val="Arial"/>
      <family val="2"/>
    </font>
    <font>
      <b/>
      <sz val="24"/>
      <color theme="1"/>
      <name val="Calibri"/>
      <family val="2"/>
      <scheme val="minor"/>
    </font>
    <font>
      <b/>
      <u/>
      <sz val="11"/>
      <color theme="1"/>
      <name val="Calibri"/>
      <family val="2"/>
      <scheme val="minor"/>
    </font>
    <font>
      <sz val="36"/>
      <color theme="1"/>
      <name val="Calibri"/>
      <family val="2"/>
      <scheme val="minor"/>
    </font>
    <font>
      <sz val="36"/>
      <color theme="1"/>
      <name val="Bahnschrift SemiBold"/>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7"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5">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16" fillId="34" borderId="10" xfId="0" applyFont="1" applyFill="1" applyBorder="1"/>
    <xf numFmtId="0" fontId="0" fillId="0" borderId="0" xfId="0" applyAlignment="1">
      <alignment horizontal="center"/>
    </xf>
    <xf numFmtId="165" fontId="0" fillId="0" borderId="0" xfId="0" applyNumberFormat="1" applyAlignment="1">
      <alignment horizontal="center"/>
    </xf>
    <xf numFmtId="0" fontId="18" fillId="0" borderId="0" xfId="0" applyFont="1" applyAlignment="1">
      <alignment horizontal="center"/>
    </xf>
    <xf numFmtId="0" fontId="16" fillId="0" borderId="0" xfId="0" applyFont="1"/>
    <xf numFmtId="10" fontId="0" fillId="0" borderId="0" xfId="0" applyNumberFormat="1"/>
    <xf numFmtId="0" fontId="16" fillId="33" borderId="0" xfId="0" applyFont="1" applyFill="1" applyAlignment="1">
      <alignment horizontal="center"/>
    </xf>
    <xf numFmtId="0" fontId="20" fillId="0" borderId="0" xfId="0" applyFont="1"/>
    <xf numFmtId="165" fontId="16" fillId="33" borderId="0" xfId="0" applyNumberFormat="1" applyFont="1" applyFill="1" applyAlignment="1">
      <alignment horizontal="center"/>
    </xf>
    <xf numFmtId="0" fontId="0" fillId="0" borderId="0" xfId="0" applyAlignment="1">
      <alignment horizontal="center" wrapText="1"/>
    </xf>
    <xf numFmtId="0" fontId="0" fillId="0" borderId="0" xfId="0" applyAlignment="1">
      <alignment horizontal="left" vertical="center" wrapText="1"/>
    </xf>
    <xf numFmtId="0" fontId="0" fillId="36" borderId="12" xfId="0" applyFill="1" applyBorder="1" applyAlignment="1">
      <alignment horizontal="center"/>
    </xf>
    <xf numFmtId="0" fontId="0" fillId="36" borderId="12" xfId="0" applyFill="1" applyBorder="1"/>
    <xf numFmtId="0" fontId="16" fillId="36" borderId="13" xfId="0" applyFont="1" applyFill="1" applyBorder="1" applyAlignment="1">
      <alignment horizontal="center"/>
    </xf>
    <xf numFmtId="0" fontId="16" fillId="36" borderId="12" xfId="0" applyFont="1" applyFill="1" applyBorder="1" applyAlignment="1">
      <alignment horizontal="center"/>
    </xf>
    <xf numFmtId="0" fontId="0" fillId="0" borderId="0" xfId="0" applyAlignment="1">
      <alignment horizontal="center" vertical="center" wrapText="1"/>
    </xf>
    <xf numFmtId="0" fontId="16" fillId="0" borderId="0" xfId="0" applyFont="1" applyAlignment="1">
      <alignment horizontal="center" vertical="center" wrapText="1"/>
    </xf>
    <xf numFmtId="0" fontId="0" fillId="0" borderId="0" xfId="0" applyAlignment="1">
      <alignment vertical="center" wrapText="1"/>
    </xf>
    <xf numFmtId="0" fontId="16" fillId="37" borderId="0" xfId="0" applyFont="1" applyFill="1" applyAlignment="1">
      <alignment horizontal="center" vertical="center" wrapText="1"/>
    </xf>
    <xf numFmtId="0" fontId="16" fillId="0" borderId="0" xfId="0" applyFont="1" applyAlignment="1">
      <alignment wrapText="1"/>
    </xf>
    <xf numFmtId="0" fontId="16" fillId="0" borderId="0" xfId="0" applyFont="1" applyAlignment="1">
      <alignment horizontal="center" wrapText="1"/>
    </xf>
    <xf numFmtId="0" fontId="16" fillId="37" borderId="0" xfId="0" applyFont="1" applyFill="1" applyAlignment="1">
      <alignment horizontal="center" wrapText="1"/>
    </xf>
    <xf numFmtId="0" fontId="16" fillId="37" borderId="0" xfId="0" applyFont="1" applyFill="1" applyAlignment="1">
      <alignment horizontal="center" vertical="center"/>
    </xf>
    <xf numFmtId="0" fontId="0" fillId="0" borderId="0" xfId="0" applyAlignment="1">
      <alignment horizontal="center" vertical="top"/>
    </xf>
    <xf numFmtId="0" fontId="0" fillId="0" borderId="0" xfId="0" pivotButton="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xf>
    <xf numFmtId="0" fontId="16" fillId="34" borderId="11" xfId="0" applyFont="1" applyFill="1" applyBorder="1" applyAlignment="1">
      <alignment horizontal="left"/>
    </xf>
    <xf numFmtId="0" fontId="16" fillId="34" borderId="11" xfId="0" applyFont="1" applyFill="1" applyBorder="1"/>
    <xf numFmtId="0" fontId="0" fillId="38" borderId="0" xfId="0" applyFill="1" applyAlignment="1">
      <alignment wrapText="1"/>
    </xf>
    <xf numFmtId="0" fontId="0" fillId="0" borderId="0" xfId="0" applyAlignment="1">
      <alignment horizontal="left" vertical="center" indent="1"/>
    </xf>
    <xf numFmtId="0" fontId="0" fillId="38" borderId="0" xfId="0" applyFill="1"/>
    <xf numFmtId="0" fontId="16" fillId="38" borderId="0" xfId="0" applyFont="1" applyFill="1"/>
    <xf numFmtId="0" fontId="0" fillId="38" borderId="0" xfId="0" applyFill="1" applyAlignment="1">
      <alignment horizontal="left" vertical="center" indent="1"/>
    </xf>
    <xf numFmtId="0" fontId="21" fillId="35" borderId="0" xfId="0" applyFont="1" applyFill="1" applyAlignment="1">
      <alignment horizontal="center"/>
    </xf>
    <xf numFmtId="0" fontId="0" fillId="35" borderId="0" xfId="0" applyFill="1" applyAlignment="1">
      <alignment horizontal="center"/>
    </xf>
    <xf numFmtId="0" fontId="0" fillId="0" borderId="0" xfId="0" applyNumberFormat="1"/>
    <xf numFmtId="0" fontId="23" fillId="0" borderId="0" xfId="0" applyFont="1" applyBorder="1" applyAlignment="1"/>
    <xf numFmtId="0" fontId="0" fillId="0" borderId="0" xfId="0" applyNumberFormat="1" applyAlignment="1">
      <alignment horizontal="center"/>
    </xf>
    <xf numFmtId="0" fontId="19" fillId="33" borderId="0" xfId="0" applyFont="1" applyFill="1" applyAlignment="1">
      <alignment vertical="center"/>
    </xf>
    <xf numFmtId="0" fontId="0" fillId="0" borderId="0" xfId="0" applyBorder="1"/>
    <xf numFmtId="0" fontId="23" fillId="38" borderId="0" xfId="0" applyFont="1" applyFill="1" applyBorder="1" applyAlignment="1">
      <alignment horizontal="center"/>
    </xf>
    <xf numFmtId="164" fontId="23" fillId="38" borderId="0" xfId="0" applyNumberFormat="1" applyFont="1" applyFill="1" applyAlignment="1">
      <alignment horizontal="center"/>
    </xf>
    <xf numFmtId="10" fontId="23" fillId="38" borderId="0" xfId="42" applyNumberFormat="1" applyFont="1" applyFill="1" applyAlignment="1">
      <alignment horizontal="center"/>
    </xf>
    <xf numFmtId="0" fontId="23" fillId="0" borderId="0" xfId="0" applyFont="1" applyFill="1" applyBorder="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7">
    <dxf>
      <fill>
        <patternFill>
          <bgColor rgb="FFC00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0.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sheetMetadata" Target="metadata.xml"/><Relationship Id="rId10" Type="http://schemas.openxmlformats.org/officeDocument/2006/relationships/pivotCacheDefinition" Target="pivotCache/pivotCacheDefinition1.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8.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Excel_Project.xlsx]purchase rate vs income &amp; age!PivotTable12</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Highest Conversion Rates Across Age and Income Segments</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 rate vs income &amp; age'!$C$3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'purchase rate vs income &amp; age'!$A$4:$B$14</c:f>
              <c:multiLvlStrCache>
                <c:ptCount val="11"/>
                <c:lvl>
                  <c:pt idx="0">
                    <c:v>High Income</c:v>
                  </c:pt>
                  <c:pt idx="1">
                    <c:v>Low Income</c:v>
                  </c:pt>
                  <c:pt idx="2">
                    <c:v>Medium Income</c:v>
                  </c:pt>
                  <c:pt idx="3">
                    <c:v>High Income</c:v>
                  </c:pt>
                  <c:pt idx="4">
                    <c:v>Low Income</c:v>
                  </c:pt>
                  <c:pt idx="5">
                    <c:v>Medium Income</c:v>
                  </c:pt>
                  <c:pt idx="6">
                    <c:v>High Income</c:v>
                  </c:pt>
                  <c:pt idx="7">
                    <c:v>Low Income</c:v>
                  </c:pt>
                  <c:pt idx="8">
                    <c:v>Medium Income</c:v>
                  </c:pt>
                  <c:pt idx="9">
                    <c:v>Low Income</c:v>
                  </c:pt>
                  <c:pt idx="10">
                    <c:v>Medium Income</c:v>
                  </c:pt>
                </c:lvl>
                <c:lvl>
                  <c:pt idx="0">
                    <c:v>Adults</c:v>
                  </c:pt>
                  <c:pt idx="3">
                    <c:v>Middle-Aged</c:v>
                  </c:pt>
                  <c:pt idx="6">
                    <c:v>Seniors</c:v>
                  </c:pt>
                  <c:pt idx="9">
                    <c:v>Young Adults</c:v>
                  </c:pt>
                </c:lvl>
              </c:multiLvlStrCache>
            </c:multiLvlStrRef>
          </c:cat>
          <c:val>
            <c:numRef>
              <c:f>'purchase rate vs income &amp; age'!$C$4:$C$14</c:f>
              <c:numCache>
                <c:formatCode>General</c:formatCode>
                <c:ptCount val="11"/>
                <c:pt idx="0">
                  <c:v>4</c:v>
                </c:pt>
                <c:pt idx="1">
                  <c:v>115</c:v>
                </c:pt>
                <c:pt idx="2">
                  <c:v>60</c:v>
                </c:pt>
                <c:pt idx="3">
                  <c:v>16</c:v>
                </c:pt>
                <c:pt idx="4">
                  <c:v>133</c:v>
                </c:pt>
                <c:pt idx="5">
                  <c:v>81</c:v>
                </c:pt>
                <c:pt idx="6">
                  <c:v>2</c:v>
                </c:pt>
                <c:pt idx="7">
                  <c:v>23</c:v>
                </c:pt>
                <c:pt idx="8">
                  <c:v>12</c:v>
                </c:pt>
                <c:pt idx="9">
                  <c:v>33</c:v>
                </c:pt>
                <c:pt idx="10">
                  <c:v>2</c:v>
                </c:pt>
              </c:numCache>
            </c:numRef>
          </c:val>
          <c:extLst>
            <c:ext xmlns:c16="http://schemas.microsoft.com/office/drawing/2014/chart" uri="{C3380CC4-5D6E-409C-BE32-E72D297353CC}">
              <c16:uniqueId val="{00000000-8B2E-4475-A9DA-3EA3D0CC683A}"/>
            </c:ext>
          </c:extLst>
        </c:ser>
        <c:dLbls>
          <c:dLblPos val="outEnd"/>
          <c:showLegendKey val="0"/>
          <c:showVal val="1"/>
          <c:showCatName val="0"/>
          <c:showSerName val="0"/>
          <c:showPercent val="0"/>
          <c:showBubbleSize val="0"/>
        </c:dLbls>
        <c:gapWidth val="182"/>
        <c:axId val="1253265808"/>
        <c:axId val="1253266288"/>
      </c:barChart>
      <c:catAx>
        <c:axId val="12532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66288"/>
        <c:crosses val="autoZero"/>
        <c:auto val="1"/>
        <c:lblAlgn val="ctr"/>
        <c:lblOffset val="100"/>
        <c:noMultiLvlLbl val="0"/>
      </c:catAx>
      <c:valAx>
        <c:axId val="1253266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Customers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Count of Commute Distance</c:v>
          </c:tx>
          <c:spPr>
            <a:solidFill>
              <a:schemeClr val="accent1"/>
            </a:solidFill>
            <a:ln>
              <a:noFill/>
            </a:ln>
            <a:effectLst/>
          </c:spPr>
          <c:invertIfNegative val="0"/>
          <c:cat>
            <c:strLit>
              <c:ptCount val="5"/>
              <c:pt idx="0">
                <c:v>0-1 Miles</c:v>
              </c:pt>
              <c:pt idx="1">
                <c:v>1-2 Miles</c:v>
              </c:pt>
              <c:pt idx="2">
                <c:v>2-5 Miles</c:v>
              </c:pt>
              <c:pt idx="3">
                <c:v>5-10 Miles</c:v>
              </c:pt>
              <c:pt idx="4">
                <c:v>More than 10 Miles</c:v>
              </c:pt>
            </c:strLit>
          </c:cat>
          <c:val>
            <c:numLit>
              <c:formatCode>General</c:formatCode>
              <c:ptCount val="5"/>
              <c:pt idx="0">
                <c:v>366</c:v>
              </c:pt>
              <c:pt idx="1">
                <c:v>169</c:v>
              </c:pt>
              <c:pt idx="2">
                <c:v>162</c:v>
              </c:pt>
              <c:pt idx="3">
                <c:v>192</c:v>
              </c:pt>
              <c:pt idx="4">
                <c:v>111</c:v>
              </c:pt>
            </c:numLit>
          </c:val>
          <c:extLst>
            <c:ext xmlns:c16="http://schemas.microsoft.com/office/drawing/2014/chart" uri="{C3380CC4-5D6E-409C-BE32-E72D297353CC}">
              <c16:uniqueId val="{00000000-6C5B-46C5-A352-FB908BBB309E}"/>
            </c:ext>
          </c:extLst>
        </c:ser>
        <c:dLbls>
          <c:showLegendKey val="0"/>
          <c:showVal val="0"/>
          <c:showCatName val="0"/>
          <c:showSerName val="0"/>
          <c:showPercent val="0"/>
          <c:showBubbleSize val="0"/>
        </c:dLbls>
        <c:gapWidth val="182"/>
        <c:axId val="1760745296"/>
        <c:axId val="1760748176"/>
      </c:barChart>
      <c:catAx>
        <c:axId val="17607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8176"/>
        <c:crosses val="autoZero"/>
        <c:auto val="1"/>
        <c:lblAlgn val="ctr"/>
        <c:lblOffset val="100"/>
        <c:noMultiLvlLbl val="0"/>
      </c:catAx>
      <c:valAx>
        <c:axId val="176074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5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Count of Commute Distance</c:v>
          </c:tx>
          <c:spPr>
            <a:solidFill>
              <a:schemeClr val="accent1"/>
            </a:solidFill>
            <a:ln>
              <a:noFill/>
            </a:ln>
            <a:effectLst/>
          </c:spPr>
          <c:invertIfNegative val="0"/>
          <c:cat>
            <c:strLit>
              <c:ptCount val="5"/>
              <c:pt idx="0">
                <c:v>0-1 Miles</c:v>
              </c:pt>
              <c:pt idx="1">
                <c:v>1-2 Miles</c:v>
              </c:pt>
              <c:pt idx="2">
                <c:v>2-5 Miles</c:v>
              </c:pt>
              <c:pt idx="3">
                <c:v>5-10 Miles</c:v>
              </c:pt>
              <c:pt idx="4">
                <c:v>More than 10 Miles</c:v>
              </c:pt>
            </c:strLit>
          </c:cat>
          <c:val>
            <c:numLit>
              <c:formatCode>General</c:formatCode>
              <c:ptCount val="5"/>
              <c:pt idx="0">
                <c:v>366</c:v>
              </c:pt>
              <c:pt idx="1">
                <c:v>169</c:v>
              </c:pt>
              <c:pt idx="2">
                <c:v>162</c:v>
              </c:pt>
              <c:pt idx="3">
                <c:v>192</c:v>
              </c:pt>
              <c:pt idx="4">
                <c:v>111</c:v>
              </c:pt>
            </c:numLit>
          </c:val>
          <c:extLst>
            <c:ext xmlns:c16="http://schemas.microsoft.com/office/drawing/2014/chart" uri="{C3380CC4-5D6E-409C-BE32-E72D297353CC}">
              <c16:uniqueId val="{00000000-6B0F-4390-9D93-50301B4F9BAC}"/>
            </c:ext>
          </c:extLst>
        </c:ser>
        <c:dLbls>
          <c:showLegendKey val="0"/>
          <c:showVal val="0"/>
          <c:showCatName val="0"/>
          <c:showSerName val="0"/>
          <c:showPercent val="0"/>
          <c:showBubbleSize val="0"/>
        </c:dLbls>
        <c:gapWidth val="182"/>
        <c:axId val="1760745296"/>
        <c:axId val="1760748176"/>
      </c:barChart>
      <c:catAx>
        <c:axId val="17607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8176"/>
        <c:crosses val="autoZero"/>
        <c:auto val="1"/>
        <c:lblAlgn val="ctr"/>
        <c:lblOffset val="100"/>
        <c:noMultiLvlLbl val="0"/>
      </c:catAx>
      <c:valAx>
        <c:axId val="176074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5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Bike Purchases by Income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 Table'!$A$71:$A$80</c:f>
              <c:multiLvlStrCache>
                <c:ptCount val="6"/>
                <c:lvl>
                  <c:pt idx="0">
                    <c:v>No</c:v>
                  </c:pt>
                  <c:pt idx="1">
                    <c:v>Yes</c:v>
                  </c:pt>
                  <c:pt idx="2">
                    <c:v>No</c:v>
                  </c:pt>
                  <c:pt idx="3">
                    <c:v>Yes</c:v>
                  </c:pt>
                  <c:pt idx="4">
                    <c:v>No</c:v>
                  </c:pt>
                  <c:pt idx="5">
                    <c:v>Yes</c:v>
                  </c:pt>
                </c:lvl>
                <c:lvl>
                  <c:pt idx="0">
                    <c:v>High Income</c:v>
                  </c:pt>
                  <c:pt idx="2">
                    <c:v>Low Income</c:v>
                  </c:pt>
                  <c:pt idx="4">
                    <c:v>Medium Income</c:v>
                  </c:pt>
                </c:lvl>
              </c:multiLvlStrCache>
            </c:multiLvlStrRef>
          </c:cat>
          <c:val>
            <c:numRef>
              <c:f>'Pivot Table'!$B$71:$B$80</c:f>
              <c:numCache>
                <c:formatCode>General</c:formatCode>
                <c:ptCount val="6"/>
                <c:pt idx="0">
                  <c:v>20</c:v>
                </c:pt>
                <c:pt idx="1">
                  <c:v>22</c:v>
                </c:pt>
                <c:pt idx="2">
                  <c:v>337</c:v>
                </c:pt>
                <c:pt idx="3">
                  <c:v>304</c:v>
                </c:pt>
                <c:pt idx="4">
                  <c:v>162</c:v>
                </c:pt>
                <c:pt idx="5">
                  <c:v>155</c:v>
                </c:pt>
              </c:numCache>
            </c:numRef>
          </c:val>
          <c:extLst>
            <c:ext xmlns:c16="http://schemas.microsoft.com/office/drawing/2014/chart" uri="{C3380CC4-5D6E-409C-BE32-E72D297353CC}">
              <c16:uniqueId val="{00000000-6DDB-40E7-88C2-64C99D088D78}"/>
            </c:ext>
          </c:extLst>
        </c:ser>
        <c:dLbls>
          <c:dLblPos val="outEnd"/>
          <c:showLegendKey val="0"/>
          <c:showVal val="1"/>
          <c:showCatName val="0"/>
          <c:showSerName val="0"/>
          <c:showPercent val="0"/>
          <c:showBubbleSize val="0"/>
        </c:dLbls>
        <c:gapWidth val="100"/>
        <c:overlap val="-24"/>
        <c:axId val="964072912"/>
        <c:axId val="894081504"/>
      </c:barChart>
      <c:catAx>
        <c:axId val="964072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Income Bracket</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4081504"/>
        <c:crosses val="autoZero"/>
        <c:auto val="1"/>
        <c:lblAlgn val="ctr"/>
        <c:lblOffset val="100"/>
        <c:noMultiLvlLbl val="0"/>
      </c:catAx>
      <c:valAx>
        <c:axId val="8940815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Number of Customers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40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Excel_Project.xlsx]purchase rate vs income &amp; age!PivotTable12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Highest Conversion Rates Across Age and Income Segments</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 rate vs income &amp; age'!$C$3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'purchase rate vs income &amp; age'!$A$4:$B$14</c:f>
              <c:multiLvlStrCache>
                <c:ptCount val="11"/>
                <c:lvl>
                  <c:pt idx="0">
                    <c:v>High Income</c:v>
                  </c:pt>
                  <c:pt idx="1">
                    <c:v>Low Income</c:v>
                  </c:pt>
                  <c:pt idx="2">
                    <c:v>Medium Income</c:v>
                  </c:pt>
                  <c:pt idx="3">
                    <c:v>High Income</c:v>
                  </c:pt>
                  <c:pt idx="4">
                    <c:v>Low Income</c:v>
                  </c:pt>
                  <c:pt idx="5">
                    <c:v>Medium Income</c:v>
                  </c:pt>
                  <c:pt idx="6">
                    <c:v>High Income</c:v>
                  </c:pt>
                  <c:pt idx="7">
                    <c:v>Low Income</c:v>
                  </c:pt>
                  <c:pt idx="8">
                    <c:v>Medium Income</c:v>
                  </c:pt>
                  <c:pt idx="9">
                    <c:v>Low Income</c:v>
                  </c:pt>
                  <c:pt idx="10">
                    <c:v>Medium Income</c:v>
                  </c:pt>
                </c:lvl>
                <c:lvl>
                  <c:pt idx="0">
                    <c:v>Adults</c:v>
                  </c:pt>
                  <c:pt idx="3">
                    <c:v>Middle-Aged</c:v>
                  </c:pt>
                  <c:pt idx="6">
                    <c:v>Seniors</c:v>
                  </c:pt>
                  <c:pt idx="9">
                    <c:v>Young Adults</c:v>
                  </c:pt>
                </c:lvl>
              </c:multiLvlStrCache>
            </c:multiLvlStrRef>
          </c:cat>
          <c:val>
            <c:numRef>
              <c:f>'purchase rate vs income &amp; age'!$C$4:$C$14</c:f>
              <c:numCache>
                <c:formatCode>General</c:formatCode>
                <c:ptCount val="11"/>
                <c:pt idx="0">
                  <c:v>4</c:v>
                </c:pt>
                <c:pt idx="1">
                  <c:v>115</c:v>
                </c:pt>
                <c:pt idx="2">
                  <c:v>60</c:v>
                </c:pt>
                <c:pt idx="3">
                  <c:v>16</c:v>
                </c:pt>
                <c:pt idx="4">
                  <c:v>133</c:v>
                </c:pt>
                <c:pt idx="5">
                  <c:v>81</c:v>
                </c:pt>
                <c:pt idx="6">
                  <c:v>2</c:v>
                </c:pt>
                <c:pt idx="7">
                  <c:v>23</c:v>
                </c:pt>
                <c:pt idx="8">
                  <c:v>12</c:v>
                </c:pt>
                <c:pt idx="9">
                  <c:v>33</c:v>
                </c:pt>
                <c:pt idx="10">
                  <c:v>2</c:v>
                </c:pt>
              </c:numCache>
            </c:numRef>
          </c:val>
          <c:extLst>
            <c:ext xmlns:c16="http://schemas.microsoft.com/office/drawing/2014/chart" uri="{C3380CC4-5D6E-409C-BE32-E72D297353CC}">
              <c16:uniqueId val="{00000000-E57D-46C3-8878-D879E726C0BA}"/>
            </c:ext>
          </c:extLst>
        </c:ser>
        <c:dLbls>
          <c:dLblPos val="outEnd"/>
          <c:showLegendKey val="0"/>
          <c:showVal val="1"/>
          <c:showCatName val="0"/>
          <c:showSerName val="0"/>
          <c:showPercent val="0"/>
          <c:showBubbleSize val="0"/>
        </c:dLbls>
        <c:gapWidth val="182"/>
        <c:axId val="1253265808"/>
        <c:axId val="1253266288"/>
      </c:barChart>
      <c:catAx>
        <c:axId val="12532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66288"/>
        <c:crosses val="autoZero"/>
        <c:auto val="1"/>
        <c:lblAlgn val="ctr"/>
        <c:lblOffset val="100"/>
        <c:noMultiLvlLbl val="0"/>
      </c:catAx>
      <c:valAx>
        <c:axId val="1253266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Customers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Table!PivotTable14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t>Income Effect on Bike Purchases Across Education Levels</a:t>
            </a: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High Income</c:v>
                </c:pt>
              </c:strCache>
            </c:strRef>
          </c:tx>
          <c:spPr>
            <a:solidFill>
              <a:schemeClr val="accent1"/>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Table'!$B$88:$B$93</c:f>
              <c:numCache>
                <c:formatCode>0.00</c:formatCode>
                <c:ptCount val="5"/>
                <c:pt idx="0">
                  <c:v>0.625</c:v>
                </c:pt>
                <c:pt idx="1">
                  <c:v>0.38461538461538464</c:v>
                </c:pt>
                <c:pt idx="2">
                  <c:v>0.375</c:v>
                </c:pt>
                <c:pt idx="3">
                  <c:v>0.69230769230769229</c:v>
                </c:pt>
              </c:numCache>
            </c:numRef>
          </c:val>
          <c:extLst>
            <c:ext xmlns:c16="http://schemas.microsoft.com/office/drawing/2014/chart" uri="{C3380CC4-5D6E-409C-BE32-E72D297353CC}">
              <c16:uniqueId val="{00000000-E626-41E8-B509-A38910C1CE99}"/>
            </c:ext>
          </c:extLst>
        </c:ser>
        <c:ser>
          <c:idx val="1"/>
          <c:order val="1"/>
          <c:tx>
            <c:strRef>
              <c:f>'Pivot Table'!$C$86:$C$87</c:f>
              <c:strCache>
                <c:ptCount val="1"/>
                <c:pt idx="0">
                  <c:v>Low Income</c:v>
                </c:pt>
              </c:strCache>
            </c:strRef>
          </c:tx>
          <c:spPr>
            <a:solidFill>
              <a:schemeClr val="accent2"/>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Table'!$C$88:$C$93</c:f>
              <c:numCache>
                <c:formatCode>0.00</c:formatCode>
                <c:ptCount val="5"/>
                <c:pt idx="0">
                  <c:v>0.59171597633136097</c:v>
                </c:pt>
                <c:pt idx="1">
                  <c:v>0.55434782608695654</c:v>
                </c:pt>
                <c:pt idx="2">
                  <c:v>0.40714285714285714</c:v>
                </c:pt>
                <c:pt idx="3">
                  <c:v>0.45</c:v>
                </c:pt>
                <c:pt idx="4">
                  <c:v>0.25</c:v>
                </c:pt>
              </c:numCache>
            </c:numRef>
          </c:val>
          <c:extLst>
            <c:ext xmlns:c16="http://schemas.microsoft.com/office/drawing/2014/chart" uri="{C3380CC4-5D6E-409C-BE32-E72D297353CC}">
              <c16:uniqueId val="{00000001-E626-41E8-B509-A38910C1CE99}"/>
            </c:ext>
          </c:extLst>
        </c:ser>
        <c:ser>
          <c:idx val="2"/>
          <c:order val="2"/>
          <c:tx>
            <c:strRef>
              <c:f>'Pivot Table'!$D$86:$D$87</c:f>
              <c:strCache>
                <c:ptCount val="1"/>
                <c:pt idx="0">
                  <c:v>Medium Income</c:v>
                </c:pt>
              </c:strCache>
            </c:strRef>
          </c:tx>
          <c:spPr>
            <a:solidFill>
              <a:schemeClr val="accent3"/>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Table'!$D$88:$D$93</c:f>
              <c:numCache>
                <c:formatCode>0.00</c:formatCode>
                <c:ptCount val="5"/>
                <c:pt idx="0">
                  <c:v>0.49612403100775193</c:v>
                </c:pt>
                <c:pt idx="1">
                  <c:v>0.55072463768115942</c:v>
                </c:pt>
                <c:pt idx="2">
                  <c:v>0.61290322580645162</c:v>
                </c:pt>
                <c:pt idx="3">
                  <c:v>0.40277777777777779</c:v>
                </c:pt>
                <c:pt idx="4">
                  <c:v>0.3125</c:v>
                </c:pt>
              </c:numCache>
            </c:numRef>
          </c:val>
          <c:extLst>
            <c:ext xmlns:c16="http://schemas.microsoft.com/office/drawing/2014/chart" uri="{C3380CC4-5D6E-409C-BE32-E72D297353CC}">
              <c16:uniqueId val="{00000002-E626-41E8-B509-A38910C1CE99}"/>
            </c:ext>
          </c:extLst>
        </c:ser>
        <c:dLbls>
          <c:showLegendKey val="0"/>
          <c:showVal val="0"/>
          <c:showCatName val="0"/>
          <c:showSerName val="0"/>
          <c:showPercent val="0"/>
          <c:showBubbleSize val="0"/>
        </c:dLbls>
        <c:gapWidth val="219"/>
        <c:overlap val="-27"/>
        <c:axId val="1002954400"/>
        <c:axId val="1002954880"/>
      </c:barChart>
      <c:catAx>
        <c:axId val="100295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54880"/>
        <c:crosses val="autoZero"/>
        <c:auto val="1"/>
        <c:lblAlgn val="ctr"/>
        <c:lblOffset val="100"/>
        <c:noMultiLvlLbl val="0"/>
      </c:catAx>
      <c:valAx>
        <c:axId val="100295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Bike Purchase Conversion Rate (%</a:t>
                </a:r>
                <a:endParaRPr lang="en-US"/>
              </a:p>
            </c:rich>
          </c:tx>
          <c:layout>
            <c:manualLayout>
              <c:xMode val="edge"/>
              <c:yMode val="edge"/>
              <c:x val="2.4477153011475225E-2"/>
              <c:y val="0.24551366255576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No</c:v>
                </c:pt>
              </c:strCache>
            </c:strRef>
          </c:tx>
          <c:spPr>
            <a:solidFill>
              <a:schemeClr val="accent1"/>
            </a:solidFill>
            <a:ln>
              <a:noFill/>
            </a:ln>
            <a:effectLst/>
          </c:spPr>
          <c:invertIfNegative val="0"/>
          <c:cat>
            <c:strRef>
              <c:f>'Pivot Table'!$A$54:$A$57</c:f>
              <c:strCache>
                <c:ptCount val="3"/>
                <c:pt idx="0">
                  <c:v>Europe</c:v>
                </c:pt>
                <c:pt idx="1">
                  <c:v>North America</c:v>
                </c:pt>
                <c:pt idx="2">
                  <c:v>Pacific</c:v>
                </c:pt>
              </c:strCache>
            </c:strRef>
          </c:cat>
          <c:val>
            <c:numRef>
              <c:f>'Pivot Table'!$B$54:$B$57</c:f>
              <c:numCache>
                <c:formatCode>General</c:formatCode>
                <c:ptCount val="3"/>
                <c:pt idx="0">
                  <c:v>152</c:v>
                </c:pt>
                <c:pt idx="1">
                  <c:v>288</c:v>
                </c:pt>
                <c:pt idx="2">
                  <c:v>79</c:v>
                </c:pt>
              </c:numCache>
            </c:numRef>
          </c:val>
          <c:extLst>
            <c:ext xmlns:c16="http://schemas.microsoft.com/office/drawing/2014/chart" uri="{C3380CC4-5D6E-409C-BE32-E72D297353CC}">
              <c16:uniqueId val="{00000000-905B-49C9-8F50-546E3EADC4F8}"/>
            </c:ext>
          </c:extLst>
        </c:ser>
        <c:ser>
          <c:idx val="1"/>
          <c:order val="1"/>
          <c:tx>
            <c:strRef>
              <c:f>'Pivot Table'!$C$52:$C$53</c:f>
              <c:strCache>
                <c:ptCount val="1"/>
                <c:pt idx="0">
                  <c:v>Yes</c:v>
                </c:pt>
              </c:strCache>
            </c:strRef>
          </c:tx>
          <c:spPr>
            <a:solidFill>
              <a:schemeClr val="accent2"/>
            </a:solidFill>
            <a:ln>
              <a:noFill/>
            </a:ln>
            <a:effectLst/>
          </c:spPr>
          <c:invertIfNegative val="0"/>
          <c:cat>
            <c:strRef>
              <c:f>'Pivot Table'!$A$54:$A$57</c:f>
              <c:strCache>
                <c:ptCount val="3"/>
                <c:pt idx="0">
                  <c:v>Europe</c:v>
                </c:pt>
                <c:pt idx="1">
                  <c:v>North America</c:v>
                </c:pt>
                <c:pt idx="2">
                  <c:v>Pacific</c:v>
                </c:pt>
              </c:strCache>
            </c:strRef>
          </c:cat>
          <c:val>
            <c:numRef>
              <c:f>'Pivot Table'!$C$54:$C$57</c:f>
              <c:numCache>
                <c:formatCode>General</c:formatCode>
                <c:ptCount val="3"/>
                <c:pt idx="0">
                  <c:v>148</c:v>
                </c:pt>
                <c:pt idx="1">
                  <c:v>220</c:v>
                </c:pt>
                <c:pt idx="2">
                  <c:v>113</c:v>
                </c:pt>
              </c:numCache>
            </c:numRef>
          </c:val>
          <c:extLst>
            <c:ext xmlns:c16="http://schemas.microsoft.com/office/drawing/2014/chart" uri="{C3380CC4-5D6E-409C-BE32-E72D297353CC}">
              <c16:uniqueId val="{00000001-905B-49C9-8F50-546E3EADC4F8}"/>
            </c:ext>
          </c:extLst>
        </c:ser>
        <c:dLbls>
          <c:showLegendKey val="0"/>
          <c:showVal val="0"/>
          <c:showCatName val="0"/>
          <c:showSerName val="0"/>
          <c:showPercent val="0"/>
          <c:showBubbleSize val="0"/>
        </c:dLbls>
        <c:gapWidth val="219"/>
        <c:overlap val="-27"/>
        <c:axId val="1273821455"/>
        <c:axId val="1273819055"/>
      </c:barChart>
      <c:catAx>
        <c:axId val="12738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19055"/>
        <c:crosses val="autoZero"/>
        <c:auto val="1"/>
        <c:lblAlgn val="ctr"/>
        <c:lblOffset val="100"/>
        <c:noMultiLvlLbl val="0"/>
      </c:catAx>
      <c:valAx>
        <c:axId val="12738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Count of Commute Distance</c:v>
          </c:tx>
          <c:spPr>
            <a:solidFill>
              <a:schemeClr val="accent1"/>
            </a:solidFill>
            <a:ln>
              <a:noFill/>
            </a:ln>
            <a:effectLst/>
          </c:spPr>
          <c:invertIfNegative val="0"/>
          <c:cat>
            <c:strLit>
              <c:ptCount val="5"/>
              <c:pt idx="0">
                <c:v>0-1 Miles</c:v>
              </c:pt>
              <c:pt idx="1">
                <c:v>1-2 Miles</c:v>
              </c:pt>
              <c:pt idx="2">
                <c:v>2-5 Miles</c:v>
              </c:pt>
              <c:pt idx="3">
                <c:v>5-10 Miles</c:v>
              </c:pt>
              <c:pt idx="4">
                <c:v>More than 10 Miles</c:v>
              </c:pt>
            </c:strLit>
          </c:cat>
          <c:val>
            <c:numLit>
              <c:formatCode>General</c:formatCode>
              <c:ptCount val="5"/>
              <c:pt idx="0">
                <c:v>366</c:v>
              </c:pt>
              <c:pt idx="1">
                <c:v>169</c:v>
              </c:pt>
              <c:pt idx="2">
                <c:v>162</c:v>
              </c:pt>
              <c:pt idx="3">
                <c:v>192</c:v>
              </c:pt>
              <c:pt idx="4">
                <c:v>111</c:v>
              </c:pt>
            </c:numLit>
          </c:val>
          <c:extLst>
            <c:ext xmlns:c16="http://schemas.microsoft.com/office/drawing/2014/chart" uri="{C3380CC4-5D6E-409C-BE32-E72D297353CC}">
              <c16:uniqueId val="{00000000-A1ED-4EB4-82AC-D3ACE1A5748B}"/>
            </c:ext>
          </c:extLst>
        </c:ser>
        <c:dLbls>
          <c:showLegendKey val="0"/>
          <c:showVal val="0"/>
          <c:showCatName val="0"/>
          <c:showSerName val="0"/>
          <c:showPercent val="0"/>
          <c:showBubbleSize val="0"/>
        </c:dLbls>
        <c:gapWidth val="182"/>
        <c:axId val="1760745296"/>
        <c:axId val="1760748176"/>
      </c:barChart>
      <c:catAx>
        <c:axId val="17607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8176"/>
        <c:crosses val="autoZero"/>
        <c:auto val="1"/>
        <c:lblAlgn val="ctr"/>
        <c:lblOffset val="100"/>
        <c:noMultiLvlLbl val="0"/>
      </c:catAx>
      <c:valAx>
        <c:axId val="176074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45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Bike Purchases by Income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 Table'!$A$71:$A$80</c:f>
              <c:multiLvlStrCache>
                <c:ptCount val="6"/>
                <c:lvl>
                  <c:pt idx="0">
                    <c:v>No</c:v>
                  </c:pt>
                  <c:pt idx="1">
                    <c:v>Yes</c:v>
                  </c:pt>
                  <c:pt idx="2">
                    <c:v>No</c:v>
                  </c:pt>
                  <c:pt idx="3">
                    <c:v>Yes</c:v>
                  </c:pt>
                  <c:pt idx="4">
                    <c:v>No</c:v>
                  </c:pt>
                  <c:pt idx="5">
                    <c:v>Yes</c:v>
                  </c:pt>
                </c:lvl>
                <c:lvl>
                  <c:pt idx="0">
                    <c:v>High Income</c:v>
                  </c:pt>
                  <c:pt idx="2">
                    <c:v>Low Income</c:v>
                  </c:pt>
                  <c:pt idx="4">
                    <c:v>Medium Income</c:v>
                  </c:pt>
                </c:lvl>
              </c:multiLvlStrCache>
            </c:multiLvlStrRef>
          </c:cat>
          <c:val>
            <c:numRef>
              <c:f>'Pivot Table'!$B$71:$B$80</c:f>
              <c:numCache>
                <c:formatCode>General</c:formatCode>
                <c:ptCount val="6"/>
                <c:pt idx="0">
                  <c:v>20</c:v>
                </c:pt>
                <c:pt idx="1">
                  <c:v>22</c:v>
                </c:pt>
                <c:pt idx="2">
                  <c:v>337</c:v>
                </c:pt>
                <c:pt idx="3">
                  <c:v>304</c:v>
                </c:pt>
                <c:pt idx="4">
                  <c:v>162</c:v>
                </c:pt>
                <c:pt idx="5">
                  <c:v>155</c:v>
                </c:pt>
              </c:numCache>
            </c:numRef>
          </c:val>
          <c:extLst>
            <c:ext xmlns:c16="http://schemas.microsoft.com/office/drawing/2014/chart" uri="{C3380CC4-5D6E-409C-BE32-E72D297353CC}">
              <c16:uniqueId val="{00000000-7D68-400C-BB25-D48AA9B4B94A}"/>
            </c:ext>
          </c:extLst>
        </c:ser>
        <c:dLbls>
          <c:dLblPos val="outEnd"/>
          <c:showLegendKey val="0"/>
          <c:showVal val="1"/>
          <c:showCatName val="0"/>
          <c:showSerName val="0"/>
          <c:showPercent val="0"/>
          <c:showBubbleSize val="0"/>
        </c:dLbls>
        <c:gapWidth val="100"/>
        <c:overlap val="-24"/>
        <c:axId val="964072912"/>
        <c:axId val="894081504"/>
      </c:barChart>
      <c:catAx>
        <c:axId val="964072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Income Bracket</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4081504"/>
        <c:crosses val="autoZero"/>
        <c:auto val="1"/>
        <c:lblAlgn val="ctr"/>
        <c:lblOffset val="100"/>
        <c:noMultiLvlLbl val="0"/>
      </c:catAx>
      <c:valAx>
        <c:axId val="8940815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Number of Customers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40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Excel_Project.xlsx]purchase rate vs income &amp; age!PivotTable12</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Highest Conversion Rates Across Age and Income Segments</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 rate vs income &amp; age'!$C$3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'purchase rate vs income &amp; age'!$A$4:$B$14</c:f>
              <c:multiLvlStrCache>
                <c:ptCount val="11"/>
                <c:lvl>
                  <c:pt idx="0">
                    <c:v>High Income</c:v>
                  </c:pt>
                  <c:pt idx="1">
                    <c:v>Low Income</c:v>
                  </c:pt>
                  <c:pt idx="2">
                    <c:v>Medium Income</c:v>
                  </c:pt>
                  <c:pt idx="3">
                    <c:v>High Income</c:v>
                  </c:pt>
                  <c:pt idx="4">
                    <c:v>Low Income</c:v>
                  </c:pt>
                  <c:pt idx="5">
                    <c:v>Medium Income</c:v>
                  </c:pt>
                  <c:pt idx="6">
                    <c:v>High Income</c:v>
                  </c:pt>
                  <c:pt idx="7">
                    <c:v>Low Income</c:v>
                  </c:pt>
                  <c:pt idx="8">
                    <c:v>Medium Income</c:v>
                  </c:pt>
                  <c:pt idx="9">
                    <c:v>Low Income</c:v>
                  </c:pt>
                  <c:pt idx="10">
                    <c:v>Medium Income</c:v>
                  </c:pt>
                </c:lvl>
                <c:lvl>
                  <c:pt idx="0">
                    <c:v>Adults</c:v>
                  </c:pt>
                  <c:pt idx="3">
                    <c:v>Middle-Aged</c:v>
                  </c:pt>
                  <c:pt idx="6">
                    <c:v>Seniors</c:v>
                  </c:pt>
                  <c:pt idx="9">
                    <c:v>Young Adults</c:v>
                  </c:pt>
                </c:lvl>
              </c:multiLvlStrCache>
            </c:multiLvlStrRef>
          </c:cat>
          <c:val>
            <c:numRef>
              <c:f>'purchase rate vs income &amp; age'!$C$4:$C$14</c:f>
              <c:numCache>
                <c:formatCode>General</c:formatCode>
                <c:ptCount val="11"/>
                <c:pt idx="0">
                  <c:v>4</c:v>
                </c:pt>
                <c:pt idx="1">
                  <c:v>115</c:v>
                </c:pt>
                <c:pt idx="2">
                  <c:v>60</c:v>
                </c:pt>
                <c:pt idx="3">
                  <c:v>16</c:v>
                </c:pt>
                <c:pt idx="4">
                  <c:v>133</c:v>
                </c:pt>
                <c:pt idx="5">
                  <c:v>81</c:v>
                </c:pt>
                <c:pt idx="6">
                  <c:v>2</c:v>
                </c:pt>
                <c:pt idx="7">
                  <c:v>23</c:v>
                </c:pt>
                <c:pt idx="8">
                  <c:v>12</c:v>
                </c:pt>
                <c:pt idx="9">
                  <c:v>33</c:v>
                </c:pt>
                <c:pt idx="10">
                  <c:v>2</c:v>
                </c:pt>
              </c:numCache>
            </c:numRef>
          </c:val>
          <c:extLst>
            <c:ext xmlns:c16="http://schemas.microsoft.com/office/drawing/2014/chart" uri="{C3380CC4-5D6E-409C-BE32-E72D297353CC}">
              <c16:uniqueId val="{00000000-F2B0-47D0-84A3-4A2F85B3879D}"/>
            </c:ext>
          </c:extLst>
        </c:ser>
        <c:dLbls>
          <c:dLblPos val="outEnd"/>
          <c:showLegendKey val="0"/>
          <c:showVal val="1"/>
          <c:showCatName val="0"/>
          <c:showSerName val="0"/>
          <c:showPercent val="0"/>
          <c:showBubbleSize val="0"/>
        </c:dLbls>
        <c:gapWidth val="182"/>
        <c:axId val="1253265808"/>
        <c:axId val="1253266288"/>
      </c:barChart>
      <c:catAx>
        <c:axId val="12532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66288"/>
        <c:crosses val="autoZero"/>
        <c:auto val="1"/>
        <c:lblAlgn val="ctr"/>
        <c:lblOffset val="100"/>
        <c:noMultiLvlLbl val="0"/>
      </c:catAx>
      <c:valAx>
        <c:axId val="1253266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Customers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Table!PivotTable14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t>Income Effect on Bike Purchases Across Education Levels</a:t>
            </a: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High Income</c:v>
                </c:pt>
              </c:strCache>
            </c:strRef>
          </c:tx>
          <c:spPr>
            <a:solidFill>
              <a:schemeClr val="accent1"/>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Table'!$B$88:$B$93</c:f>
              <c:numCache>
                <c:formatCode>0.00</c:formatCode>
                <c:ptCount val="5"/>
                <c:pt idx="0">
                  <c:v>0.625</c:v>
                </c:pt>
                <c:pt idx="1">
                  <c:v>0.38461538461538464</c:v>
                </c:pt>
                <c:pt idx="2">
                  <c:v>0.375</c:v>
                </c:pt>
                <c:pt idx="3">
                  <c:v>0.69230769230769229</c:v>
                </c:pt>
              </c:numCache>
            </c:numRef>
          </c:val>
          <c:extLst>
            <c:ext xmlns:c16="http://schemas.microsoft.com/office/drawing/2014/chart" uri="{C3380CC4-5D6E-409C-BE32-E72D297353CC}">
              <c16:uniqueId val="{00000000-E6A1-4D36-AF9C-769412716906}"/>
            </c:ext>
          </c:extLst>
        </c:ser>
        <c:ser>
          <c:idx val="1"/>
          <c:order val="1"/>
          <c:tx>
            <c:strRef>
              <c:f>'Pivot Table'!$C$86:$C$87</c:f>
              <c:strCache>
                <c:ptCount val="1"/>
                <c:pt idx="0">
                  <c:v>Low Income</c:v>
                </c:pt>
              </c:strCache>
            </c:strRef>
          </c:tx>
          <c:spPr>
            <a:solidFill>
              <a:schemeClr val="accent2"/>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Table'!$C$88:$C$93</c:f>
              <c:numCache>
                <c:formatCode>0.00</c:formatCode>
                <c:ptCount val="5"/>
                <c:pt idx="0">
                  <c:v>0.59171597633136097</c:v>
                </c:pt>
                <c:pt idx="1">
                  <c:v>0.55434782608695654</c:v>
                </c:pt>
                <c:pt idx="2">
                  <c:v>0.40714285714285714</c:v>
                </c:pt>
                <c:pt idx="3">
                  <c:v>0.45</c:v>
                </c:pt>
                <c:pt idx="4">
                  <c:v>0.25</c:v>
                </c:pt>
              </c:numCache>
            </c:numRef>
          </c:val>
          <c:extLst>
            <c:ext xmlns:c16="http://schemas.microsoft.com/office/drawing/2014/chart" uri="{C3380CC4-5D6E-409C-BE32-E72D297353CC}">
              <c16:uniqueId val="{00000001-E6A1-4D36-AF9C-769412716906}"/>
            </c:ext>
          </c:extLst>
        </c:ser>
        <c:ser>
          <c:idx val="2"/>
          <c:order val="2"/>
          <c:tx>
            <c:strRef>
              <c:f>'Pivot Table'!$D$86:$D$87</c:f>
              <c:strCache>
                <c:ptCount val="1"/>
                <c:pt idx="0">
                  <c:v>Medium Income</c:v>
                </c:pt>
              </c:strCache>
            </c:strRef>
          </c:tx>
          <c:spPr>
            <a:solidFill>
              <a:schemeClr val="accent3"/>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Table'!$D$88:$D$93</c:f>
              <c:numCache>
                <c:formatCode>0.00</c:formatCode>
                <c:ptCount val="5"/>
                <c:pt idx="0">
                  <c:v>0.49612403100775193</c:v>
                </c:pt>
                <c:pt idx="1">
                  <c:v>0.55072463768115942</c:v>
                </c:pt>
                <c:pt idx="2">
                  <c:v>0.61290322580645162</c:v>
                </c:pt>
                <c:pt idx="3">
                  <c:v>0.40277777777777779</c:v>
                </c:pt>
                <c:pt idx="4">
                  <c:v>0.3125</c:v>
                </c:pt>
              </c:numCache>
            </c:numRef>
          </c:val>
          <c:extLst>
            <c:ext xmlns:c16="http://schemas.microsoft.com/office/drawing/2014/chart" uri="{C3380CC4-5D6E-409C-BE32-E72D297353CC}">
              <c16:uniqueId val="{00000002-E6A1-4D36-AF9C-769412716906}"/>
            </c:ext>
          </c:extLst>
        </c:ser>
        <c:dLbls>
          <c:showLegendKey val="0"/>
          <c:showVal val="0"/>
          <c:showCatName val="0"/>
          <c:showSerName val="0"/>
          <c:showPercent val="0"/>
          <c:showBubbleSize val="0"/>
        </c:dLbls>
        <c:gapWidth val="219"/>
        <c:overlap val="-27"/>
        <c:axId val="1002954400"/>
        <c:axId val="1002954880"/>
      </c:barChart>
      <c:catAx>
        <c:axId val="100295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54880"/>
        <c:crosses val="autoZero"/>
        <c:auto val="1"/>
        <c:lblAlgn val="ctr"/>
        <c:lblOffset val="100"/>
        <c:noMultiLvlLbl val="0"/>
      </c:catAx>
      <c:valAx>
        <c:axId val="100295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Bike Purchase Conversion Rate (%</a:t>
                </a:r>
                <a:endParaRPr lang="en-US"/>
              </a:p>
            </c:rich>
          </c:tx>
          <c:layout>
            <c:manualLayout>
              <c:xMode val="edge"/>
              <c:yMode val="edge"/>
              <c:x val="2.4477153011475225E-2"/>
              <c:y val="0.24551366255576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Excel_Project.xlsx]Final Notes!PivotTable33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Identifying Underperforming Region-Occupation Segments</a:t>
            </a:r>
            <a:endParaRPr lang="en-US" b="1"/>
          </a:p>
        </c:rich>
      </c:tx>
      <c:layout>
        <c:manualLayout>
          <c:xMode val="edge"/>
          <c:yMode val="edge"/>
          <c:x val="0.1518263342082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'Final Notes'!$C$90</c:f>
              <c:strCache>
                <c:ptCount val="1"/>
                <c:pt idx="0">
                  <c:v>Total</c:v>
                </c:pt>
              </c:strCache>
            </c:strRef>
          </c:tx>
          <c:spPr>
            <a:solidFill>
              <a:schemeClr val="accent1"/>
            </a:solidFill>
            <a:ln>
              <a:noFill/>
            </a:ln>
            <a:effectLst/>
          </c:spPr>
          <c:invertIfNegative val="0"/>
          <c:cat>
            <c:multiLvlStrRef>
              <c:f>'Final Notes'!$B$91:$B$109</c:f>
              <c:multiLvlStrCache>
                <c:ptCount val="15"/>
                <c:lvl>
                  <c:pt idx="0">
                    <c:v>Clerical</c:v>
                  </c:pt>
                  <c:pt idx="1">
                    <c:v>Management</c:v>
                  </c:pt>
                  <c:pt idx="2">
                    <c:v>Manual</c:v>
                  </c:pt>
                  <c:pt idx="3">
                    <c:v>Professional</c:v>
                  </c:pt>
                  <c:pt idx="4">
                    <c:v>Skilled Manual</c:v>
                  </c:pt>
                  <c:pt idx="5">
                    <c:v>Clerical</c:v>
                  </c:pt>
                  <c:pt idx="6">
                    <c:v>Management</c:v>
                  </c:pt>
                  <c:pt idx="7">
                    <c:v>Manual</c:v>
                  </c:pt>
                  <c:pt idx="8">
                    <c:v>Professional</c:v>
                  </c:pt>
                  <c:pt idx="9">
                    <c:v>Skilled Manual</c:v>
                  </c:pt>
                  <c:pt idx="10">
                    <c:v>Clerical</c:v>
                  </c:pt>
                  <c:pt idx="11">
                    <c:v>Management</c:v>
                  </c:pt>
                  <c:pt idx="12">
                    <c:v>Manual</c:v>
                  </c:pt>
                  <c:pt idx="13">
                    <c:v>Professional</c:v>
                  </c:pt>
                  <c:pt idx="14">
                    <c:v>Skilled Manual</c:v>
                  </c:pt>
                </c:lvl>
                <c:lvl>
                  <c:pt idx="0">
                    <c:v>Europe</c:v>
                  </c:pt>
                  <c:pt idx="5">
                    <c:v>North America</c:v>
                  </c:pt>
                  <c:pt idx="10">
                    <c:v>Pacific</c:v>
                  </c:pt>
                </c:lvl>
              </c:multiLvlStrCache>
            </c:multiLvlStrRef>
          </c:cat>
          <c:val>
            <c:numRef>
              <c:f>'Final Notes'!$C$91:$C$109</c:f>
              <c:numCache>
                <c:formatCode>0.00%</c:formatCode>
                <c:ptCount val="15"/>
                <c:pt idx="0">
                  <c:v>0.55652173913043479</c:v>
                </c:pt>
                <c:pt idx="1">
                  <c:v>0.1875</c:v>
                </c:pt>
                <c:pt idx="2">
                  <c:v>0.41176470588235292</c:v>
                </c:pt>
                <c:pt idx="3">
                  <c:v>0.54054054054054057</c:v>
                </c:pt>
                <c:pt idx="4">
                  <c:v>0.6333333333333333</c:v>
                </c:pt>
                <c:pt idx="5">
                  <c:v>0.32432432432432434</c:v>
                </c:pt>
                <c:pt idx="6">
                  <c:v>0.35185185185185186</c:v>
                </c:pt>
                <c:pt idx="7">
                  <c:v>0.5</c:v>
                </c:pt>
                <c:pt idx="8">
                  <c:v>0.53714285714285714</c:v>
                </c:pt>
                <c:pt idx="9">
                  <c:v>0.40217391304347827</c:v>
                </c:pt>
                <c:pt idx="10">
                  <c:v>0.48</c:v>
                </c:pt>
                <c:pt idx="11">
                  <c:v>0.65306122448979587</c:v>
                </c:pt>
                <c:pt idx="12">
                  <c:v>0.84615384615384615</c:v>
                </c:pt>
                <c:pt idx="13">
                  <c:v>0.5625</c:v>
                </c:pt>
                <c:pt idx="14">
                  <c:v>0.53658536585365857</c:v>
                </c:pt>
              </c:numCache>
            </c:numRef>
          </c:val>
          <c:extLst>
            <c:ext xmlns:c16="http://schemas.microsoft.com/office/drawing/2014/chart" uri="{C3380CC4-5D6E-409C-BE32-E72D297353CC}">
              <c16:uniqueId val="{00000000-24A8-4624-A4CF-0570D4B35745}"/>
            </c:ext>
          </c:extLst>
        </c:ser>
        <c:dLbls>
          <c:showLegendKey val="0"/>
          <c:showVal val="0"/>
          <c:showCatName val="0"/>
          <c:showSerName val="0"/>
          <c:showPercent val="0"/>
          <c:showBubbleSize val="0"/>
        </c:dLbls>
        <c:gapWidth val="182"/>
        <c:axId val="1516264416"/>
        <c:axId val="1516261056"/>
      </c:barChart>
      <c:catAx>
        <c:axId val="151626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61056"/>
        <c:crosses val="autoZero"/>
        <c:auto val="1"/>
        <c:lblAlgn val="ctr"/>
        <c:lblOffset val="100"/>
        <c:noMultiLvlLbl val="0"/>
      </c:catAx>
      <c:valAx>
        <c:axId val="15162610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6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82400</c:v>
                </c:pt>
                <c:pt idx="1">
                  <c:v>82325.58139534884</c:v>
                </c:pt>
              </c:numCache>
            </c:numRef>
          </c:val>
          <c:extLst>
            <c:ext xmlns:c16="http://schemas.microsoft.com/office/drawing/2014/chart" uri="{C3380CC4-5D6E-409C-BE32-E72D297353CC}">
              <c16:uniqueId val="{00000000-619D-46E5-A6D9-C62929D9157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92500</c:v>
                </c:pt>
                <c:pt idx="1">
                  <c:v>90714.28571428571</c:v>
                </c:pt>
              </c:numCache>
            </c:numRef>
          </c:val>
          <c:extLst>
            <c:ext xmlns:c16="http://schemas.microsoft.com/office/drawing/2014/chart" uri="{C3380CC4-5D6E-409C-BE32-E72D297353CC}">
              <c16:uniqueId val="{00000001-8F1C-472F-B629-90E9ACD4992B}"/>
            </c:ext>
          </c:extLst>
        </c:ser>
        <c:dLbls>
          <c:showLegendKey val="0"/>
          <c:showVal val="0"/>
          <c:showCatName val="0"/>
          <c:showSerName val="0"/>
          <c:showPercent val="0"/>
          <c:showBubbleSize val="0"/>
        </c:dLbls>
        <c:gapWidth val="219"/>
        <c:overlap val="-27"/>
        <c:axId val="375706495"/>
        <c:axId val="375700735"/>
      </c:barChart>
      <c:catAx>
        <c:axId val="37570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0735"/>
        <c:crosses val="autoZero"/>
        <c:auto val="1"/>
        <c:lblAlgn val="ctr"/>
        <c:lblOffset val="100"/>
        <c:noMultiLvlLbl val="0"/>
      </c:catAx>
      <c:valAx>
        <c:axId val="37570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Customer Commute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14</c:v>
                </c:pt>
                <c:pt idx="1">
                  <c:v>13</c:v>
                </c:pt>
                <c:pt idx="2">
                  <c:v>11</c:v>
                </c:pt>
                <c:pt idx="3">
                  <c:v>12</c:v>
                </c:pt>
                <c:pt idx="4">
                  <c:v>18</c:v>
                </c:pt>
              </c:numCache>
            </c:numRef>
          </c:val>
          <c:smooth val="0"/>
          <c:extLst>
            <c:ext xmlns:c16="http://schemas.microsoft.com/office/drawing/2014/chart" uri="{C3380CC4-5D6E-409C-BE32-E72D297353CC}">
              <c16:uniqueId val="{00000000-4A13-431F-B385-53F044F11C41}"/>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11</c:v>
                </c:pt>
                <c:pt idx="1">
                  <c:v>6</c:v>
                </c:pt>
                <c:pt idx="2">
                  <c:v>4</c:v>
                </c:pt>
                <c:pt idx="3">
                  <c:v>5</c:v>
                </c:pt>
                <c:pt idx="4">
                  <c:v>4</c:v>
                </c:pt>
              </c:numCache>
            </c:numRef>
          </c:val>
          <c:smooth val="0"/>
          <c:extLst>
            <c:ext xmlns:c16="http://schemas.microsoft.com/office/drawing/2014/chart" uri="{C3380CC4-5D6E-409C-BE32-E72D297353CC}">
              <c16:uniqueId val="{00000001-4173-4482-8C9E-288F73961DDD}"/>
            </c:ext>
          </c:extLst>
        </c:ser>
        <c:dLbls>
          <c:showLegendKey val="0"/>
          <c:showVal val="0"/>
          <c:showCatName val="0"/>
          <c:showSerName val="0"/>
          <c:showPercent val="0"/>
          <c:showBubbleSize val="0"/>
        </c:dLbls>
        <c:marker val="1"/>
        <c:smooth val="0"/>
        <c:axId val="501041103"/>
        <c:axId val="501041583"/>
      </c:lineChart>
      <c:catAx>
        <c:axId val="501041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(in Miles)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1583"/>
        <c:crosses val="autoZero"/>
        <c:auto val="1"/>
        <c:lblAlgn val="ctr"/>
        <c:lblOffset val="100"/>
        <c:noMultiLvlLbl val="0"/>
      </c:catAx>
      <c:valAx>
        <c:axId val="50104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Distribution of Bike Purchases Across Age Groups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Table'!$A$37:$A$40</c:f>
              <c:strCache>
                <c:ptCount val="3"/>
                <c:pt idx="0">
                  <c:v>Seniors</c:v>
                </c:pt>
                <c:pt idx="1">
                  <c:v>Middle-Aged</c:v>
                </c:pt>
                <c:pt idx="2">
                  <c:v>Adults</c:v>
                </c:pt>
              </c:strCache>
            </c:strRef>
          </c:cat>
          <c:val>
            <c:numRef>
              <c:f>'Pivot Table'!$B$37:$B$40</c:f>
              <c:numCache>
                <c:formatCode>General</c:formatCode>
                <c:ptCount val="3"/>
                <c:pt idx="0">
                  <c:v>34</c:v>
                </c:pt>
                <c:pt idx="1">
                  <c:v>31</c:v>
                </c:pt>
                <c:pt idx="2">
                  <c:v>3</c:v>
                </c:pt>
              </c:numCache>
            </c:numRef>
          </c:val>
          <c:extLst>
            <c:ext xmlns:c16="http://schemas.microsoft.com/office/drawing/2014/chart" uri="{C3380CC4-5D6E-409C-BE32-E72D297353CC}">
              <c16:uniqueId val="{00000000-4E94-4422-BAEA-CBCD87C876BC}"/>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Table'!$A$37:$A$40</c:f>
              <c:strCache>
                <c:ptCount val="3"/>
                <c:pt idx="0">
                  <c:v>Seniors</c:v>
                </c:pt>
                <c:pt idx="1">
                  <c:v>Middle-Aged</c:v>
                </c:pt>
                <c:pt idx="2">
                  <c:v>Adults</c:v>
                </c:pt>
              </c:strCache>
            </c:strRef>
          </c:cat>
          <c:val>
            <c:numRef>
              <c:f>'Pivot Table'!$C$37:$C$40</c:f>
              <c:numCache>
                <c:formatCode>General</c:formatCode>
                <c:ptCount val="3"/>
                <c:pt idx="0">
                  <c:v>9</c:v>
                </c:pt>
                <c:pt idx="1">
                  <c:v>12</c:v>
                </c:pt>
                <c:pt idx="2">
                  <c:v>9</c:v>
                </c:pt>
              </c:numCache>
            </c:numRef>
          </c:val>
          <c:extLst>
            <c:ext xmlns:c16="http://schemas.microsoft.com/office/drawing/2014/chart" uri="{C3380CC4-5D6E-409C-BE32-E72D297353CC}">
              <c16:uniqueId val="{00000001-D3F4-4E40-9075-BA09BF14179D}"/>
            </c:ext>
          </c:extLst>
        </c:ser>
        <c:dLbls>
          <c:showLegendKey val="0"/>
          <c:showVal val="0"/>
          <c:showCatName val="0"/>
          <c:showSerName val="0"/>
          <c:showPercent val="0"/>
          <c:showBubbleSize val="0"/>
        </c:dLbls>
        <c:gapWidth val="219"/>
        <c:overlap val="-27"/>
        <c:axId val="537203967"/>
        <c:axId val="537205887"/>
      </c:barChart>
      <c:catAx>
        <c:axId val="5372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5887"/>
        <c:crosses val="autoZero"/>
        <c:auto val="1"/>
        <c:lblAlgn val="ctr"/>
        <c:lblOffset val="100"/>
        <c:noMultiLvlLbl val="0"/>
      </c:catAx>
      <c:valAx>
        <c:axId val="53720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No</c:v>
                </c:pt>
              </c:strCache>
            </c:strRef>
          </c:tx>
          <c:spPr>
            <a:solidFill>
              <a:schemeClr val="accent1"/>
            </a:solidFill>
            <a:ln>
              <a:noFill/>
            </a:ln>
            <a:effectLst/>
          </c:spPr>
          <c:invertIfNegative val="0"/>
          <c:cat>
            <c:strRef>
              <c:f>'Pivot Table'!$A$54:$A$57</c:f>
              <c:strCache>
                <c:ptCount val="3"/>
                <c:pt idx="0">
                  <c:v>Europe</c:v>
                </c:pt>
                <c:pt idx="1">
                  <c:v>North America</c:v>
                </c:pt>
                <c:pt idx="2">
                  <c:v>Pacific</c:v>
                </c:pt>
              </c:strCache>
            </c:strRef>
          </c:cat>
          <c:val>
            <c:numRef>
              <c:f>'Pivot Table'!$B$54:$B$57</c:f>
              <c:numCache>
                <c:formatCode>General</c:formatCode>
                <c:ptCount val="3"/>
                <c:pt idx="0">
                  <c:v>152</c:v>
                </c:pt>
                <c:pt idx="1">
                  <c:v>288</c:v>
                </c:pt>
                <c:pt idx="2">
                  <c:v>79</c:v>
                </c:pt>
              </c:numCache>
            </c:numRef>
          </c:val>
          <c:extLst>
            <c:ext xmlns:c16="http://schemas.microsoft.com/office/drawing/2014/chart" uri="{C3380CC4-5D6E-409C-BE32-E72D297353CC}">
              <c16:uniqueId val="{00000000-B192-4D84-83A1-F6E222B7127B}"/>
            </c:ext>
          </c:extLst>
        </c:ser>
        <c:ser>
          <c:idx val="1"/>
          <c:order val="1"/>
          <c:tx>
            <c:strRef>
              <c:f>'Pivot Table'!$C$52:$C$53</c:f>
              <c:strCache>
                <c:ptCount val="1"/>
                <c:pt idx="0">
                  <c:v>Yes</c:v>
                </c:pt>
              </c:strCache>
            </c:strRef>
          </c:tx>
          <c:spPr>
            <a:solidFill>
              <a:schemeClr val="accent2"/>
            </a:solidFill>
            <a:ln>
              <a:noFill/>
            </a:ln>
            <a:effectLst/>
          </c:spPr>
          <c:invertIfNegative val="0"/>
          <c:cat>
            <c:strRef>
              <c:f>'Pivot Table'!$A$54:$A$57</c:f>
              <c:strCache>
                <c:ptCount val="3"/>
                <c:pt idx="0">
                  <c:v>Europe</c:v>
                </c:pt>
                <c:pt idx="1">
                  <c:v>North America</c:v>
                </c:pt>
                <c:pt idx="2">
                  <c:v>Pacific</c:v>
                </c:pt>
              </c:strCache>
            </c:strRef>
          </c:cat>
          <c:val>
            <c:numRef>
              <c:f>'Pivot Table'!$C$54:$C$57</c:f>
              <c:numCache>
                <c:formatCode>General</c:formatCode>
                <c:ptCount val="3"/>
                <c:pt idx="0">
                  <c:v>148</c:v>
                </c:pt>
                <c:pt idx="1">
                  <c:v>220</c:v>
                </c:pt>
                <c:pt idx="2">
                  <c:v>113</c:v>
                </c:pt>
              </c:numCache>
            </c:numRef>
          </c:val>
          <c:extLst>
            <c:ext xmlns:c16="http://schemas.microsoft.com/office/drawing/2014/chart" uri="{C3380CC4-5D6E-409C-BE32-E72D297353CC}">
              <c16:uniqueId val="{00000000-8428-434D-949C-F55C1D305219}"/>
            </c:ext>
          </c:extLst>
        </c:ser>
        <c:dLbls>
          <c:showLegendKey val="0"/>
          <c:showVal val="0"/>
          <c:showCatName val="0"/>
          <c:showSerName val="0"/>
          <c:showPercent val="0"/>
          <c:showBubbleSize val="0"/>
        </c:dLbls>
        <c:gapWidth val="219"/>
        <c:overlap val="-27"/>
        <c:axId val="1273821455"/>
        <c:axId val="1273819055"/>
      </c:barChart>
      <c:catAx>
        <c:axId val="12738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19055"/>
        <c:crosses val="autoZero"/>
        <c:auto val="1"/>
        <c:lblAlgn val="ctr"/>
        <c:lblOffset val="100"/>
        <c:noMultiLvlLbl val="0"/>
      </c:catAx>
      <c:valAx>
        <c:axId val="12738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Bike Purchases by Income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 Table'!$A$71:$A$80</c:f>
              <c:multiLvlStrCache>
                <c:ptCount val="6"/>
                <c:lvl>
                  <c:pt idx="0">
                    <c:v>No</c:v>
                  </c:pt>
                  <c:pt idx="1">
                    <c:v>Yes</c:v>
                  </c:pt>
                  <c:pt idx="2">
                    <c:v>No</c:v>
                  </c:pt>
                  <c:pt idx="3">
                    <c:v>Yes</c:v>
                  </c:pt>
                  <c:pt idx="4">
                    <c:v>No</c:v>
                  </c:pt>
                  <c:pt idx="5">
                    <c:v>Yes</c:v>
                  </c:pt>
                </c:lvl>
                <c:lvl>
                  <c:pt idx="0">
                    <c:v>High Income</c:v>
                  </c:pt>
                  <c:pt idx="2">
                    <c:v>Low Income</c:v>
                  </c:pt>
                  <c:pt idx="4">
                    <c:v>Medium Income</c:v>
                  </c:pt>
                </c:lvl>
              </c:multiLvlStrCache>
            </c:multiLvlStrRef>
          </c:cat>
          <c:val>
            <c:numRef>
              <c:f>'Pivot Table'!$B$71:$B$80</c:f>
              <c:numCache>
                <c:formatCode>General</c:formatCode>
                <c:ptCount val="6"/>
                <c:pt idx="0">
                  <c:v>20</c:v>
                </c:pt>
                <c:pt idx="1">
                  <c:v>22</c:v>
                </c:pt>
                <c:pt idx="2">
                  <c:v>337</c:v>
                </c:pt>
                <c:pt idx="3">
                  <c:v>304</c:v>
                </c:pt>
                <c:pt idx="4">
                  <c:v>162</c:v>
                </c:pt>
                <c:pt idx="5">
                  <c:v>155</c:v>
                </c:pt>
              </c:numCache>
            </c:numRef>
          </c:val>
          <c:extLst>
            <c:ext xmlns:c16="http://schemas.microsoft.com/office/drawing/2014/chart" uri="{C3380CC4-5D6E-409C-BE32-E72D297353CC}">
              <c16:uniqueId val="{00000000-3C90-4D82-8C6C-B8B46A50D6E6}"/>
            </c:ext>
          </c:extLst>
        </c:ser>
        <c:dLbls>
          <c:dLblPos val="outEnd"/>
          <c:showLegendKey val="0"/>
          <c:showVal val="1"/>
          <c:showCatName val="0"/>
          <c:showSerName val="0"/>
          <c:showPercent val="0"/>
          <c:showBubbleSize val="0"/>
        </c:dLbls>
        <c:gapWidth val="100"/>
        <c:overlap val="-24"/>
        <c:axId val="964072912"/>
        <c:axId val="894081504"/>
      </c:barChart>
      <c:catAx>
        <c:axId val="9640729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Income Bracket</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4081504"/>
        <c:crosses val="autoZero"/>
        <c:auto val="1"/>
        <c:lblAlgn val="ctr"/>
        <c:lblOffset val="100"/>
        <c:noMultiLvlLbl val="0"/>
      </c:catAx>
      <c:valAx>
        <c:axId val="8940815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900" b="1" i="0" u="none" strike="noStrike" baseline="0"/>
                  <a:t>Number of Customers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40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Table!PivotTable14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t>Income Effect on Bike Purchases Across Education Levels</a:t>
            </a: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High Income</c:v>
                </c:pt>
              </c:strCache>
            </c:strRef>
          </c:tx>
          <c:spPr>
            <a:solidFill>
              <a:schemeClr val="accent1"/>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Table'!$B$88:$B$93</c:f>
              <c:numCache>
                <c:formatCode>0.00</c:formatCode>
                <c:ptCount val="5"/>
                <c:pt idx="0">
                  <c:v>0.625</c:v>
                </c:pt>
                <c:pt idx="1">
                  <c:v>0.38461538461538464</c:v>
                </c:pt>
                <c:pt idx="2">
                  <c:v>0.375</c:v>
                </c:pt>
                <c:pt idx="3">
                  <c:v>0.69230769230769229</c:v>
                </c:pt>
              </c:numCache>
            </c:numRef>
          </c:val>
          <c:extLst>
            <c:ext xmlns:c16="http://schemas.microsoft.com/office/drawing/2014/chart" uri="{C3380CC4-5D6E-409C-BE32-E72D297353CC}">
              <c16:uniqueId val="{00000000-AA6C-49B8-9700-B1256588ED8B}"/>
            </c:ext>
          </c:extLst>
        </c:ser>
        <c:ser>
          <c:idx val="1"/>
          <c:order val="1"/>
          <c:tx>
            <c:strRef>
              <c:f>'Pivot Table'!$C$86:$C$87</c:f>
              <c:strCache>
                <c:ptCount val="1"/>
                <c:pt idx="0">
                  <c:v>Low Income</c:v>
                </c:pt>
              </c:strCache>
            </c:strRef>
          </c:tx>
          <c:spPr>
            <a:solidFill>
              <a:schemeClr val="accent2"/>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Table'!$C$88:$C$93</c:f>
              <c:numCache>
                <c:formatCode>0.00</c:formatCode>
                <c:ptCount val="5"/>
                <c:pt idx="0">
                  <c:v>0.59171597633136097</c:v>
                </c:pt>
                <c:pt idx="1">
                  <c:v>0.55434782608695654</c:v>
                </c:pt>
                <c:pt idx="2">
                  <c:v>0.40714285714285714</c:v>
                </c:pt>
                <c:pt idx="3">
                  <c:v>0.45</c:v>
                </c:pt>
                <c:pt idx="4">
                  <c:v>0.25</c:v>
                </c:pt>
              </c:numCache>
            </c:numRef>
          </c:val>
          <c:extLst>
            <c:ext xmlns:c16="http://schemas.microsoft.com/office/drawing/2014/chart" uri="{C3380CC4-5D6E-409C-BE32-E72D297353CC}">
              <c16:uniqueId val="{00000001-AA6C-49B8-9700-B1256588ED8B}"/>
            </c:ext>
          </c:extLst>
        </c:ser>
        <c:ser>
          <c:idx val="2"/>
          <c:order val="2"/>
          <c:tx>
            <c:strRef>
              <c:f>'Pivot Table'!$D$86:$D$87</c:f>
              <c:strCache>
                <c:ptCount val="1"/>
                <c:pt idx="0">
                  <c:v>Medium Income</c:v>
                </c:pt>
              </c:strCache>
            </c:strRef>
          </c:tx>
          <c:spPr>
            <a:solidFill>
              <a:schemeClr val="accent3"/>
            </a:solidFill>
            <a:ln>
              <a:noFill/>
            </a:ln>
            <a:effectLst/>
          </c:spPr>
          <c:invertIfNegative val="0"/>
          <c:cat>
            <c:strRef>
              <c:f>'Pivot Table'!$A$88:$A$93</c:f>
              <c:strCache>
                <c:ptCount val="5"/>
                <c:pt idx="0">
                  <c:v>Bachelors</c:v>
                </c:pt>
                <c:pt idx="1">
                  <c:v>Graduate Degree</c:v>
                </c:pt>
                <c:pt idx="2">
                  <c:v>High School</c:v>
                </c:pt>
                <c:pt idx="3">
                  <c:v>Partial College</c:v>
                </c:pt>
                <c:pt idx="4">
                  <c:v>Partial High School</c:v>
                </c:pt>
              </c:strCache>
            </c:strRef>
          </c:cat>
          <c:val>
            <c:numRef>
              <c:f>'Pivot Table'!$D$88:$D$93</c:f>
              <c:numCache>
                <c:formatCode>0.00</c:formatCode>
                <c:ptCount val="5"/>
                <c:pt idx="0">
                  <c:v>0.49612403100775193</c:v>
                </c:pt>
                <c:pt idx="1">
                  <c:v>0.55072463768115942</c:v>
                </c:pt>
                <c:pt idx="2">
                  <c:v>0.61290322580645162</c:v>
                </c:pt>
                <c:pt idx="3">
                  <c:v>0.40277777777777779</c:v>
                </c:pt>
                <c:pt idx="4">
                  <c:v>0.3125</c:v>
                </c:pt>
              </c:numCache>
            </c:numRef>
          </c:val>
          <c:extLst>
            <c:ext xmlns:c16="http://schemas.microsoft.com/office/drawing/2014/chart" uri="{C3380CC4-5D6E-409C-BE32-E72D297353CC}">
              <c16:uniqueId val="{00000002-AA6C-49B8-9700-B1256588ED8B}"/>
            </c:ext>
          </c:extLst>
        </c:ser>
        <c:dLbls>
          <c:showLegendKey val="0"/>
          <c:showVal val="0"/>
          <c:showCatName val="0"/>
          <c:showSerName val="0"/>
          <c:showPercent val="0"/>
          <c:showBubbleSize val="0"/>
        </c:dLbls>
        <c:gapWidth val="219"/>
        <c:overlap val="-27"/>
        <c:axId val="1002954400"/>
        <c:axId val="1002954880"/>
      </c:barChart>
      <c:catAx>
        <c:axId val="100295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54880"/>
        <c:crosses val="autoZero"/>
        <c:auto val="1"/>
        <c:lblAlgn val="ctr"/>
        <c:lblOffset val="100"/>
        <c:noMultiLvlLbl val="0"/>
      </c:catAx>
      <c:valAx>
        <c:axId val="100295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Bike Purchase Conversion Rate (%</a:t>
                </a:r>
                <a:endParaRPr lang="en-US"/>
              </a:p>
            </c:rich>
          </c:tx>
          <c:layout>
            <c:manualLayout>
              <c:xMode val="edge"/>
              <c:yMode val="edge"/>
              <c:x val="2.4477153011475225E-2"/>
              <c:y val="0.24551366255576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a:t>
            </a:r>
            <a:r>
              <a:rPr lang="en-US" b="1" baseline="0"/>
              <a:t> rate across Regions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Table'!$G$109</c:f>
              <c:strCache>
                <c:ptCount val="1"/>
                <c:pt idx="0">
                  <c:v>Total</c:v>
                </c:pt>
              </c:strCache>
            </c:strRef>
          </c:tx>
          <c:spPr>
            <a:solidFill>
              <a:schemeClr val="accent1"/>
            </a:solidFill>
            <a:ln>
              <a:noFill/>
            </a:ln>
            <a:effectLst/>
          </c:spPr>
          <c:invertIfNegative val="0"/>
          <c:cat>
            <c:strRef>
              <c:f>'Pivot Table'!$F$110:$F$113</c:f>
              <c:strCache>
                <c:ptCount val="3"/>
                <c:pt idx="0">
                  <c:v>Europe</c:v>
                </c:pt>
                <c:pt idx="1">
                  <c:v>North America</c:v>
                </c:pt>
                <c:pt idx="2">
                  <c:v>Pacific</c:v>
                </c:pt>
              </c:strCache>
            </c:strRef>
          </c:cat>
          <c:val>
            <c:numRef>
              <c:f>'Pivot Table'!$G$110:$G$113</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0-2F2F-4AA4-9DED-A0DCCF85A028}"/>
            </c:ext>
          </c:extLst>
        </c:ser>
        <c:dLbls>
          <c:showLegendKey val="0"/>
          <c:showVal val="0"/>
          <c:showCatName val="0"/>
          <c:showSerName val="0"/>
          <c:showPercent val="0"/>
          <c:showBubbleSize val="0"/>
        </c:dLbls>
        <c:gapWidth val="182"/>
        <c:axId val="1323870912"/>
        <c:axId val="1323871392"/>
      </c:barChart>
      <c:catAx>
        <c:axId val="132387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71392"/>
        <c:crosses val="autoZero"/>
        <c:auto val="1"/>
        <c:lblAlgn val="ctr"/>
        <c:lblOffset val="100"/>
        <c:noMultiLvlLbl val="0"/>
      </c:catAx>
      <c:valAx>
        <c:axId val="1323871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 Rate (in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87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Excel_Project.xlsx]General Info!PivotTable14</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Gender</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'General Info'!$B$1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'General Info'!$A$2:$A$4</c:f>
              <c:strCache>
                <c:ptCount val="2"/>
                <c:pt idx="0">
                  <c:v>Female</c:v>
                </c:pt>
                <c:pt idx="1">
                  <c:v>Male</c:v>
                </c:pt>
              </c:strCache>
            </c:strRef>
          </c:cat>
          <c:val>
            <c:numRef>
              <c:f>'General Info'!$B$2:$B$4</c:f>
              <c:numCache>
                <c:formatCode>General</c:formatCode>
                <c:ptCount val="2"/>
                <c:pt idx="0">
                  <c:v>489</c:v>
                </c:pt>
                <c:pt idx="1">
                  <c:v>511</c:v>
                </c:pt>
              </c:numCache>
            </c:numRef>
          </c:val>
          <c:extLst>
            <c:ext xmlns:c16="http://schemas.microsoft.com/office/drawing/2014/chart" uri="{C3380CC4-5D6E-409C-BE32-E72D297353CC}">
              <c16:uniqueId val="{00000000-CD03-4059-9A00-18A2AD35A139}"/>
            </c:ext>
          </c:extLst>
        </c:ser>
        <c:dLbls>
          <c:dLblPos val="outEnd"/>
          <c:showLegendKey val="0"/>
          <c:showVal val="1"/>
          <c:showCatName val="0"/>
          <c:showSerName val="0"/>
          <c:showPercent val="0"/>
          <c:showBubbleSize val="0"/>
        </c:dLbls>
        <c:gapWidth val="219"/>
        <c:overlap val="-27"/>
        <c:axId val="1469736527"/>
        <c:axId val="1469735567"/>
      </c:barChart>
      <c:catAx>
        <c:axId val="146973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735567"/>
        <c:crosses val="autoZero"/>
        <c:auto val="1"/>
        <c:lblAlgn val="ctr"/>
        <c:lblOffset val="100"/>
        <c:noMultiLvlLbl val="0"/>
      </c:catAx>
      <c:valAx>
        <c:axId val="146973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7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Excel_Project.xlsx]General Info!PivotTable15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'General Info'!$B$8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1-42C2-93A4-55775B999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1-42C2-93A4-55775B999B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'General Info'!$A$9:$A$11</c:f>
              <c:strCache>
                <c:ptCount val="2"/>
                <c:pt idx="0">
                  <c:v>Married</c:v>
                </c:pt>
                <c:pt idx="1">
                  <c:v>Single</c:v>
                </c:pt>
              </c:strCache>
            </c:strRef>
          </c:cat>
          <c:val>
            <c:numRef>
              <c:f>'General Info'!$B$9:$B$11</c:f>
              <c:numCache>
                <c:formatCode>General</c:formatCode>
                <c:ptCount val="2"/>
                <c:pt idx="0">
                  <c:v>538</c:v>
                </c:pt>
                <c:pt idx="1">
                  <c:v>462</c:v>
                </c:pt>
              </c:numCache>
            </c:numRef>
          </c:val>
          <c:extLst>
            <c:ext xmlns:c16="http://schemas.microsoft.com/office/drawing/2014/chart" uri="{C3380CC4-5D6E-409C-BE32-E72D297353CC}">
              <c16:uniqueId val="{00000000-9088-41F0-9D49-E946FB418C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Excel_Project.xlsx]General Info!PivotTable16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'General Info'!$B$14</c:f>
              <c:strCache>
                <c:ptCount val="1"/>
                <c:pt idx="0">
                  <c:v>Total</c:v>
                </c:pt>
              </c:strCache>
            </c:strRef>
          </c:tx>
          <c:spPr>
            <a:solidFill>
              <a:schemeClr val="accent1"/>
            </a:solidFill>
            <a:ln>
              <a:noFill/>
            </a:ln>
            <a:effectLst/>
          </c:spPr>
          <c:invertIfNegative val="0"/>
          <c:cat>
            <c:multiLvlStrRef>
              <c:f>'General Info'!$A$15:$A$44</c:f>
              <c:multiLvlStrCache>
                <c:ptCount val="24"/>
                <c:lvl>
                  <c:pt idx="0">
                    <c:v>Clerical</c:v>
                  </c:pt>
                  <c:pt idx="1">
                    <c:v>Management</c:v>
                  </c:pt>
                  <c:pt idx="2">
                    <c:v>Manual</c:v>
                  </c:pt>
                  <c:pt idx="3">
                    <c:v>Professional</c:v>
                  </c:pt>
                  <c:pt idx="4">
                    <c:v>Skilled Manual</c:v>
                  </c:pt>
                  <c:pt idx="5">
                    <c:v>Clerical</c:v>
                  </c:pt>
                  <c:pt idx="6">
                    <c:v>Management</c:v>
                  </c:pt>
                  <c:pt idx="7">
                    <c:v>Manual</c:v>
                  </c:pt>
                  <c:pt idx="8">
                    <c:v>Professional</c:v>
                  </c:pt>
                  <c:pt idx="9">
                    <c:v>Skilled Manual</c:v>
                  </c:pt>
                  <c:pt idx="10">
                    <c:v>Clerical</c:v>
                  </c:pt>
                  <c:pt idx="11">
                    <c:v>Management</c:v>
                  </c:pt>
                  <c:pt idx="12">
                    <c:v>Manual</c:v>
                  </c:pt>
                  <c:pt idx="13">
                    <c:v>Professional</c:v>
                  </c:pt>
                  <c:pt idx="14">
                    <c:v>Skilled Manual</c:v>
                  </c:pt>
                  <c:pt idx="15">
                    <c:v>Clerical</c:v>
                  </c:pt>
                  <c:pt idx="16">
                    <c:v>Management</c:v>
                  </c:pt>
                  <c:pt idx="17">
                    <c:v>Manual</c:v>
                  </c:pt>
                  <c:pt idx="18">
                    <c:v>Professional</c:v>
                  </c:pt>
                  <c:pt idx="19">
                    <c:v>Skilled Manual</c:v>
                  </c:pt>
                  <c:pt idx="20">
                    <c:v>Clerical</c:v>
                  </c:pt>
                  <c:pt idx="21">
                    <c:v>Manual</c:v>
                  </c:pt>
                  <c:pt idx="22">
                    <c:v>Professional</c:v>
                  </c:pt>
                  <c:pt idx="23">
                    <c:v>Skilled Manual</c:v>
                  </c:pt>
                </c:lvl>
                <c:lvl>
                  <c:pt idx="0">
                    <c:v>Bachelors</c:v>
                  </c:pt>
                  <c:pt idx="5">
                    <c:v>Graduate Degree</c:v>
                  </c:pt>
                  <c:pt idx="10">
                    <c:v>High School</c:v>
                  </c:pt>
                  <c:pt idx="15">
                    <c:v>Partial College</c:v>
                  </c:pt>
                  <c:pt idx="20">
                    <c:v>Partial High School</c:v>
                  </c:pt>
                </c:lvl>
              </c:multiLvlStrCache>
            </c:multiLvlStrRef>
          </c:cat>
          <c:val>
            <c:numRef>
              <c:f>'General Info'!$B$15:$B$44</c:f>
              <c:numCache>
                <c:formatCode>General</c:formatCode>
                <c:ptCount val="24"/>
                <c:pt idx="0">
                  <c:v>49</c:v>
                </c:pt>
                <c:pt idx="1">
                  <c:v>97</c:v>
                </c:pt>
                <c:pt idx="2">
                  <c:v>2</c:v>
                </c:pt>
                <c:pt idx="3">
                  <c:v>92</c:v>
                </c:pt>
                <c:pt idx="4">
                  <c:v>66</c:v>
                </c:pt>
                <c:pt idx="5">
                  <c:v>24</c:v>
                </c:pt>
                <c:pt idx="6">
                  <c:v>59</c:v>
                </c:pt>
                <c:pt idx="7">
                  <c:v>6</c:v>
                </c:pt>
                <c:pt idx="8">
                  <c:v>45</c:v>
                </c:pt>
                <c:pt idx="9">
                  <c:v>40</c:v>
                </c:pt>
                <c:pt idx="10">
                  <c:v>4</c:v>
                </c:pt>
                <c:pt idx="11">
                  <c:v>12</c:v>
                </c:pt>
                <c:pt idx="12">
                  <c:v>44</c:v>
                </c:pt>
                <c:pt idx="13">
                  <c:v>55</c:v>
                </c:pt>
                <c:pt idx="14">
                  <c:v>64</c:v>
                </c:pt>
                <c:pt idx="15">
                  <c:v>76</c:v>
                </c:pt>
                <c:pt idx="16">
                  <c:v>5</c:v>
                </c:pt>
                <c:pt idx="17">
                  <c:v>36</c:v>
                </c:pt>
                <c:pt idx="18">
                  <c:v>80</c:v>
                </c:pt>
                <c:pt idx="19">
                  <c:v>68</c:v>
                </c:pt>
                <c:pt idx="20">
                  <c:v>24</c:v>
                </c:pt>
                <c:pt idx="21">
                  <c:v>31</c:v>
                </c:pt>
                <c:pt idx="22">
                  <c:v>4</c:v>
                </c:pt>
                <c:pt idx="23">
                  <c:v>17</c:v>
                </c:pt>
              </c:numCache>
            </c:numRef>
          </c:val>
          <c:extLst>
            <c:ext xmlns:c16="http://schemas.microsoft.com/office/drawing/2014/chart" uri="{C3380CC4-5D6E-409C-BE32-E72D297353CC}">
              <c16:uniqueId val="{00000000-A0F0-4096-99B9-DA76BA5B3692}"/>
            </c:ext>
          </c:extLst>
        </c:ser>
        <c:dLbls>
          <c:showLegendKey val="0"/>
          <c:showVal val="0"/>
          <c:showCatName val="0"/>
          <c:showSerName val="0"/>
          <c:showPercent val="0"/>
          <c:showBubbleSize val="0"/>
        </c:dLbls>
        <c:gapWidth val="219"/>
        <c:overlap val="-27"/>
        <c:axId val="1507539967"/>
        <c:axId val="1507540447"/>
      </c:barChart>
      <c:catAx>
        <c:axId val="15075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40447"/>
        <c:crosses val="autoZero"/>
        <c:auto val="1"/>
        <c:lblAlgn val="ctr"/>
        <c:lblOffset val="100"/>
        <c:noMultiLvlLbl val="0"/>
      </c:catAx>
      <c:valAx>
        <c:axId val="150754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3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Excel_Project.xlsx]General Info!PivotTable17</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Region Population Distribution by Count</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'General Info'!$B$48</c:f>
              <c:strCache>
                <c:ptCount val="1"/>
                <c:pt idx="0">
                  <c:v>Total</c:v>
                </c:pt>
              </c:strCache>
            </c:strRef>
          </c:tx>
          <c:spPr>
            <a:solidFill>
              <a:schemeClr val="accent1"/>
            </a:solidFill>
            <a:ln>
              <a:noFill/>
            </a:ln>
            <a:effectLst/>
          </c:spPr>
          <c:invertIfNegative val="0"/>
          <c:cat>
            <c:strRef>
              <c:f>'General Info'!$A$49:$A$52</c:f>
              <c:strCache>
                <c:ptCount val="3"/>
                <c:pt idx="0">
                  <c:v>Europe</c:v>
                </c:pt>
                <c:pt idx="1">
                  <c:v>North America</c:v>
                </c:pt>
                <c:pt idx="2">
                  <c:v>Pacific</c:v>
                </c:pt>
              </c:strCache>
            </c:strRef>
          </c:cat>
          <c:val>
            <c:numRef>
              <c:f>'General Info'!$B$49:$B$52</c:f>
              <c:numCache>
                <c:formatCode>General</c:formatCode>
                <c:ptCount val="3"/>
                <c:pt idx="0">
                  <c:v>300</c:v>
                </c:pt>
                <c:pt idx="1">
                  <c:v>508</c:v>
                </c:pt>
                <c:pt idx="2">
                  <c:v>192</c:v>
                </c:pt>
              </c:numCache>
            </c:numRef>
          </c:val>
          <c:extLst>
            <c:ext xmlns:c16="http://schemas.microsoft.com/office/drawing/2014/chart" uri="{C3380CC4-5D6E-409C-BE32-E72D297353CC}">
              <c16:uniqueId val="{00000000-3FF8-49B4-8DFE-D89D2AA854E9}"/>
            </c:ext>
          </c:extLst>
        </c:ser>
        <c:dLbls>
          <c:showLegendKey val="0"/>
          <c:showVal val="0"/>
          <c:showCatName val="0"/>
          <c:showSerName val="0"/>
          <c:showPercent val="0"/>
          <c:showBubbleSize val="0"/>
        </c:dLbls>
        <c:gapWidth val="182"/>
        <c:axId val="1603322191"/>
        <c:axId val="1603329391"/>
      </c:barChart>
      <c:catAx>
        <c:axId val="160332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29391"/>
        <c:crosses val="autoZero"/>
        <c:auto val="1"/>
        <c:lblAlgn val="ctr"/>
        <c:lblOffset val="100"/>
        <c:noMultiLvlLbl val="0"/>
      </c:catAx>
      <c:valAx>
        <c:axId val="160332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2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Excel_Project.xlsx]General Info!PivotTable18</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Children Distribution by Count</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'General Info'!$B$55</c:f>
              <c:strCache>
                <c:ptCount val="1"/>
                <c:pt idx="0">
                  <c:v>Total</c:v>
                </c:pt>
              </c:strCache>
            </c:strRef>
          </c:tx>
          <c:spPr>
            <a:solidFill>
              <a:schemeClr val="accent1"/>
            </a:solidFill>
            <a:ln>
              <a:noFill/>
            </a:ln>
            <a:effectLst/>
          </c:spPr>
          <c:invertIfNegative val="0"/>
          <c:cat>
            <c:strRef>
              <c:f>'General Info'!$A$56:$A$62</c:f>
              <c:strCache>
                <c:ptCount val="6"/>
                <c:pt idx="0">
                  <c:v>0</c:v>
                </c:pt>
                <c:pt idx="1">
                  <c:v>1</c:v>
                </c:pt>
                <c:pt idx="2">
                  <c:v>2</c:v>
                </c:pt>
                <c:pt idx="3">
                  <c:v>3</c:v>
                </c:pt>
                <c:pt idx="4">
                  <c:v>4</c:v>
                </c:pt>
                <c:pt idx="5">
                  <c:v>5</c:v>
                </c:pt>
              </c:strCache>
            </c:strRef>
          </c:cat>
          <c:val>
            <c:numRef>
              <c:f>'General Info'!$B$56:$B$62</c:f>
              <c:numCache>
                <c:formatCode>General</c:formatCode>
                <c:ptCount val="6"/>
                <c:pt idx="0">
                  <c:v>281</c:v>
                </c:pt>
                <c:pt idx="1">
                  <c:v>169</c:v>
                </c:pt>
                <c:pt idx="2">
                  <c:v>209</c:v>
                </c:pt>
                <c:pt idx="3">
                  <c:v>134</c:v>
                </c:pt>
                <c:pt idx="4">
                  <c:v>126</c:v>
                </c:pt>
                <c:pt idx="5">
                  <c:v>81</c:v>
                </c:pt>
              </c:numCache>
            </c:numRef>
          </c:val>
          <c:extLst>
            <c:ext xmlns:c16="http://schemas.microsoft.com/office/drawing/2014/chart" uri="{C3380CC4-5D6E-409C-BE32-E72D297353CC}">
              <c16:uniqueId val="{00000000-B43E-4AE3-B06D-3DB4B07800F2}"/>
            </c:ext>
          </c:extLst>
        </c:ser>
        <c:dLbls>
          <c:showLegendKey val="0"/>
          <c:showVal val="0"/>
          <c:showCatName val="0"/>
          <c:showSerName val="0"/>
          <c:showPercent val="0"/>
          <c:showBubbleSize val="0"/>
        </c:dLbls>
        <c:gapWidth val="219"/>
        <c:overlap val="-27"/>
        <c:axId val="1506690511"/>
        <c:axId val="1506691951"/>
      </c:barChart>
      <c:catAx>
        <c:axId val="150669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91951"/>
        <c:crosses val="autoZero"/>
        <c:auto val="1"/>
        <c:lblAlgn val="ctr"/>
        <c:lblOffset val="100"/>
        <c:noMultiLvlLbl val="0"/>
      </c:catAx>
      <c:valAx>
        <c:axId val="150669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9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82400</c:v>
                </c:pt>
                <c:pt idx="1">
                  <c:v>82325.58139534884</c:v>
                </c:pt>
              </c:numCache>
            </c:numRef>
          </c:val>
          <c:extLst>
            <c:ext xmlns:c16="http://schemas.microsoft.com/office/drawing/2014/chart" uri="{C3380CC4-5D6E-409C-BE32-E72D297353CC}">
              <c16:uniqueId val="{00000000-A2EC-4C2E-B181-D1122537FED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92500</c:v>
                </c:pt>
                <c:pt idx="1">
                  <c:v>90714.28571428571</c:v>
                </c:pt>
              </c:numCache>
            </c:numRef>
          </c:val>
          <c:extLst>
            <c:ext xmlns:c16="http://schemas.microsoft.com/office/drawing/2014/chart" uri="{C3380CC4-5D6E-409C-BE32-E72D297353CC}">
              <c16:uniqueId val="{00000002-93CE-4EFA-B775-7902267C73AA}"/>
            </c:ext>
          </c:extLst>
        </c:ser>
        <c:dLbls>
          <c:showLegendKey val="0"/>
          <c:showVal val="0"/>
          <c:showCatName val="0"/>
          <c:showSerName val="0"/>
          <c:showPercent val="0"/>
          <c:showBubbleSize val="0"/>
        </c:dLbls>
        <c:gapWidth val="219"/>
        <c:overlap val="-27"/>
        <c:axId val="375706495"/>
        <c:axId val="375700735"/>
      </c:barChart>
      <c:catAx>
        <c:axId val="375706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0735"/>
        <c:crosses val="autoZero"/>
        <c:auto val="1"/>
        <c:lblAlgn val="ctr"/>
        <c:lblOffset val="100"/>
        <c:noMultiLvlLbl val="0"/>
      </c:catAx>
      <c:valAx>
        <c:axId val="37570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06495"/>
        <c:crosses val="autoZero"/>
        <c:crossBetween val="between"/>
      </c:valAx>
      <c:spPr>
        <a:noFill/>
        <a:ln>
          <a:noFill/>
        </a:ln>
        <a:effectLst/>
      </c:spPr>
    </c:plotArea>
    <c:legend>
      <c:legendPos val="r"/>
      <c:layout>
        <c:manualLayout>
          <c:xMode val="edge"/>
          <c:yMode val="edge"/>
          <c:x val="0.7614942528735632"/>
          <c:y val="0.39568707366863692"/>
          <c:w val="0.21335351405317277"/>
          <c:h val="0.222771523605890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14</c:v>
                </c:pt>
                <c:pt idx="1">
                  <c:v>13</c:v>
                </c:pt>
                <c:pt idx="2">
                  <c:v>11</c:v>
                </c:pt>
                <c:pt idx="3">
                  <c:v>12</c:v>
                </c:pt>
                <c:pt idx="4">
                  <c:v>18</c:v>
                </c:pt>
              </c:numCache>
            </c:numRef>
          </c:val>
          <c:smooth val="0"/>
          <c:extLst>
            <c:ext xmlns:c16="http://schemas.microsoft.com/office/drawing/2014/chart" uri="{C3380CC4-5D6E-409C-BE32-E72D297353CC}">
              <c16:uniqueId val="{00000000-8E01-43F0-A7E1-D22D261509C5}"/>
            </c:ext>
          </c:extLst>
        </c:ser>
        <c:ser>
          <c:idx val="1"/>
          <c:order val="1"/>
          <c:tx>
            <c:strRef>
              <c:f>'Pivot Table'!$C$18:$C$19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11</c:v>
                </c:pt>
                <c:pt idx="1">
                  <c:v>6</c:v>
                </c:pt>
                <c:pt idx="2">
                  <c:v>4</c:v>
                </c:pt>
                <c:pt idx="3">
                  <c:v>5</c:v>
                </c:pt>
                <c:pt idx="4">
                  <c:v>4</c:v>
                </c:pt>
              </c:numCache>
            </c:numRef>
          </c:val>
          <c:smooth val="0"/>
          <c:extLst>
            <c:ext xmlns:c16="http://schemas.microsoft.com/office/drawing/2014/chart" uri="{C3380CC4-5D6E-409C-BE32-E72D297353CC}">
              <c16:uniqueId val="{00000002-E78C-443B-989F-C2BD4E9D3A66}"/>
            </c:ext>
          </c:extLst>
        </c:ser>
        <c:dLbls>
          <c:showLegendKey val="0"/>
          <c:showVal val="0"/>
          <c:showCatName val="0"/>
          <c:showSerName val="0"/>
          <c:showPercent val="0"/>
          <c:showBubbleSize val="0"/>
        </c:dLbls>
        <c:marker val="1"/>
        <c:smooth val="0"/>
        <c:axId val="501041103"/>
        <c:axId val="501041583"/>
      </c:lineChart>
      <c:catAx>
        <c:axId val="501041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Commute Distance (in Miles)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1041583"/>
        <c:crosses val="autoZero"/>
        <c:auto val="1"/>
        <c:lblAlgn val="ctr"/>
        <c:lblOffset val="100"/>
        <c:noMultiLvlLbl val="0"/>
      </c:catAx>
      <c:valAx>
        <c:axId val="501041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10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Distribution of Bike Purchases Across Age Groups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No</c:v>
                </c:pt>
              </c:strCache>
            </c:strRef>
          </c:tx>
          <c:spPr>
            <a:solidFill>
              <a:schemeClr val="accent1"/>
            </a:solidFill>
            <a:ln>
              <a:noFill/>
            </a:ln>
            <a:effectLst/>
          </c:spPr>
          <c:invertIfNegative val="0"/>
          <c:cat>
            <c:strRef>
              <c:f>'Pivot Table'!$A$37:$A$40</c:f>
              <c:strCache>
                <c:ptCount val="3"/>
                <c:pt idx="0">
                  <c:v>Seniors</c:v>
                </c:pt>
                <c:pt idx="1">
                  <c:v>Middle-Aged</c:v>
                </c:pt>
                <c:pt idx="2">
                  <c:v>Adults</c:v>
                </c:pt>
              </c:strCache>
            </c:strRef>
          </c:cat>
          <c:val>
            <c:numRef>
              <c:f>'Pivot Table'!$B$37:$B$40</c:f>
              <c:numCache>
                <c:formatCode>General</c:formatCode>
                <c:ptCount val="3"/>
                <c:pt idx="0">
                  <c:v>34</c:v>
                </c:pt>
                <c:pt idx="1">
                  <c:v>31</c:v>
                </c:pt>
                <c:pt idx="2">
                  <c:v>3</c:v>
                </c:pt>
              </c:numCache>
            </c:numRef>
          </c:val>
          <c:extLst>
            <c:ext xmlns:c16="http://schemas.microsoft.com/office/drawing/2014/chart" uri="{C3380CC4-5D6E-409C-BE32-E72D297353CC}">
              <c16:uniqueId val="{00000000-4C7C-4B95-BA88-5A45FAECCC80}"/>
            </c:ext>
          </c:extLst>
        </c:ser>
        <c:ser>
          <c:idx val="1"/>
          <c:order val="1"/>
          <c:tx>
            <c:strRef>
              <c:f>'Pivot Table'!$C$35:$C$36</c:f>
              <c:strCache>
                <c:ptCount val="1"/>
                <c:pt idx="0">
                  <c:v>Yes</c:v>
                </c:pt>
              </c:strCache>
            </c:strRef>
          </c:tx>
          <c:spPr>
            <a:solidFill>
              <a:schemeClr val="accent2"/>
            </a:solidFill>
            <a:ln>
              <a:noFill/>
            </a:ln>
            <a:effectLst/>
          </c:spPr>
          <c:invertIfNegative val="0"/>
          <c:cat>
            <c:strRef>
              <c:f>'Pivot Table'!$A$37:$A$40</c:f>
              <c:strCache>
                <c:ptCount val="3"/>
                <c:pt idx="0">
                  <c:v>Seniors</c:v>
                </c:pt>
                <c:pt idx="1">
                  <c:v>Middle-Aged</c:v>
                </c:pt>
                <c:pt idx="2">
                  <c:v>Adults</c:v>
                </c:pt>
              </c:strCache>
            </c:strRef>
          </c:cat>
          <c:val>
            <c:numRef>
              <c:f>'Pivot Table'!$C$37:$C$40</c:f>
              <c:numCache>
                <c:formatCode>General</c:formatCode>
                <c:ptCount val="3"/>
                <c:pt idx="0">
                  <c:v>9</c:v>
                </c:pt>
                <c:pt idx="1">
                  <c:v>12</c:v>
                </c:pt>
                <c:pt idx="2">
                  <c:v>9</c:v>
                </c:pt>
              </c:numCache>
            </c:numRef>
          </c:val>
          <c:extLst>
            <c:ext xmlns:c16="http://schemas.microsoft.com/office/drawing/2014/chart" uri="{C3380CC4-5D6E-409C-BE32-E72D297353CC}">
              <c16:uniqueId val="{00000002-87D7-4C49-9404-B3ECB27CCCBD}"/>
            </c:ext>
          </c:extLst>
        </c:ser>
        <c:dLbls>
          <c:showLegendKey val="0"/>
          <c:showVal val="0"/>
          <c:showCatName val="0"/>
          <c:showSerName val="0"/>
          <c:showPercent val="0"/>
          <c:showBubbleSize val="0"/>
        </c:dLbls>
        <c:gapWidth val="219"/>
        <c:overlap val="-27"/>
        <c:axId val="537203967"/>
        <c:axId val="537205887"/>
      </c:barChart>
      <c:catAx>
        <c:axId val="5372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5887"/>
        <c:crosses val="autoZero"/>
        <c:auto val="1"/>
        <c:lblAlgn val="ctr"/>
        <c:lblOffset val="100"/>
        <c:noMultiLvlLbl val="0"/>
      </c:catAx>
      <c:valAx>
        <c:axId val="53720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2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[Apoorva Excel_Project.xlsx]Pivot Table!PivotTable4</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of Bike Purchases Across Region</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No</c:v>
                </c:pt>
              </c:strCache>
            </c:strRef>
          </c:tx>
          <c:spPr>
            <a:solidFill>
              <a:schemeClr val="accent1"/>
            </a:solidFill>
            <a:ln>
              <a:noFill/>
            </a:ln>
            <a:effectLst/>
          </c:spPr>
          <c:invertIfNegative val="0"/>
          <c:cat>
            <c:strRef>
              <c:f>'Pivot Table'!$A$54:$A$57</c:f>
              <c:strCache>
                <c:ptCount val="3"/>
                <c:pt idx="0">
                  <c:v>Europe</c:v>
                </c:pt>
                <c:pt idx="1">
                  <c:v>North America</c:v>
                </c:pt>
                <c:pt idx="2">
                  <c:v>Pacific</c:v>
                </c:pt>
              </c:strCache>
            </c:strRef>
          </c:cat>
          <c:val>
            <c:numRef>
              <c:f>'Pivot Table'!$B$54:$B$57</c:f>
              <c:numCache>
                <c:formatCode>General</c:formatCode>
                <c:ptCount val="3"/>
                <c:pt idx="0">
                  <c:v>152</c:v>
                </c:pt>
                <c:pt idx="1">
                  <c:v>288</c:v>
                </c:pt>
                <c:pt idx="2">
                  <c:v>79</c:v>
                </c:pt>
              </c:numCache>
            </c:numRef>
          </c:val>
          <c:extLst>
            <c:ext xmlns:c16="http://schemas.microsoft.com/office/drawing/2014/chart" uri="{C3380CC4-5D6E-409C-BE32-E72D297353CC}">
              <c16:uniqueId val="{00000000-278A-41C9-8B56-DE4671E0B62A}"/>
            </c:ext>
          </c:extLst>
        </c:ser>
        <c:ser>
          <c:idx val="1"/>
          <c:order val="1"/>
          <c:tx>
            <c:strRef>
              <c:f>'Pivot Table'!$C$52:$C$53</c:f>
              <c:strCache>
                <c:ptCount val="1"/>
                <c:pt idx="0">
                  <c:v>Yes</c:v>
                </c:pt>
              </c:strCache>
            </c:strRef>
          </c:tx>
          <c:spPr>
            <a:solidFill>
              <a:schemeClr val="accent2"/>
            </a:solidFill>
            <a:ln>
              <a:noFill/>
            </a:ln>
            <a:effectLst/>
          </c:spPr>
          <c:invertIfNegative val="0"/>
          <c:cat>
            <c:strRef>
              <c:f>'Pivot Table'!$A$54:$A$57</c:f>
              <c:strCache>
                <c:ptCount val="3"/>
                <c:pt idx="0">
                  <c:v>Europe</c:v>
                </c:pt>
                <c:pt idx="1">
                  <c:v>North America</c:v>
                </c:pt>
                <c:pt idx="2">
                  <c:v>Pacific</c:v>
                </c:pt>
              </c:strCache>
            </c:strRef>
          </c:cat>
          <c:val>
            <c:numRef>
              <c:f>'Pivot Table'!$C$54:$C$57</c:f>
              <c:numCache>
                <c:formatCode>General</c:formatCode>
                <c:ptCount val="3"/>
                <c:pt idx="0">
                  <c:v>148</c:v>
                </c:pt>
                <c:pt idx="1">
                  <c:v>220</c:v>
                </c:pt>
                <c:pt idx="2">
                  <c:v>113</c:v>
                </c:pt>
              </c:numCache>
            </c:numRef>
          </c:val>
          <c:extLst>
            <c:ext xmlns:c16="http://schemas.microsoft.com/office/drawing/2014/chart" uri="{C3380CC4-5D6E-409C-BE32-E72D297353CC}">
              <c16:uniqueId val="{00000001-278A-41C9-8B56-DE4671E0B62A}"/>
            </c:ext>
          </c:extLst>
        </c:ser>
        <c:dLbls>
          <c:showLegendKey val="0"/>
          <c:showVal val="0"/>
          <c:showCatName val="0"/>
          <c:showSerName val="0"/>
          <c:showPercent val="0"/>
          <c:showBubbleSize val="0"/>
        </c:dLbls>
        <c:gapWidth val="219"/>
        <c:overlap val="-27"/>
        <c:axId val="1273821455"/>
        <c:axId val="1273819055"/>
      </c:barChart>
      <c:catAx>
        <c:axId val="12738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19055"/>
        <c:crosses val="autoZero"/>
        <c:auto val="1"/>
        <c:lblAlgn val="ctr"/>
        <c:lblOffset val="100"/>
        <c:noMultiLvlLbl val="0"/>
      </c:catAx>
      <c:valAx>
        <c:axId val="127381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Income Outlier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Outlier</a:t>
          </a:r>
        </a:p>
      </cx:txPr>
    </cx:title>
    <cx:plotArea>
      <cx:plotAreaRegion>
        <cx:series layoutId="boxWhisker" uniqueId="{F576FB3D-054C-44AC-B084-DE5B28D5E134}">
          <cx:tx>
            <cx:txData>
              <cx:f>_xlchart.v1.0</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Income Outlier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Outlier</a:t>
          </a:r>
        </a:p>
      </cx:txPr>
    </cx:title>
    <cx:plotArea>
      <cx:plotAreaRegion>
        <cx:series layoutId="boxWhisker" uniqueId="{F576FB3D-054C-44AC-B084-DE5B28D5E134}">
          <cx:tx>
            <cx:txData>
              <cx:f>_xlchart.v1.2</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Income Outlier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Outlier</a:t>
          </a:r>
        </a:p>
      </cx:txPr>
    </cx:title>
    <cx:plotArea>
      <cx:plotAreaRegion>
        <cx:series layoutId="boxWhisker" uniqueId="{F576FB3D-054C-44AC-B084-DE5B28D5E134}">
          <cx:tx>
            <cx:txData>
              <cx:f>_xlchart.v1.4</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microsoft.com/office/2014/relationships/chartEx" Target="../charts/chartEx3.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3</xdr:col>
      <xdr:colOff>129540</xdr:colOff>
      <xdr:row>1</xdr:row>
      <xdr:rowOff>0</xdr:rowOff>
    </xdr:from>
    <xdr:to>
      <xdr:col>13</xdr:col>
      <xdr:colOff>327660</xdr:colOff>
      <xdr:row>20</xdr:row>
      <xdr:rowOff>15240</xdr:rowOff>
    </xdr:to>
    <xdr:graphicFrame macro="">
      <xdr:nvGraphicFramePr>
        <xdr:cNvPr id="3" name="Chart 2">
          <a:extLst>
            <a:ext uri="{FF2B5EF4-FFF2-40B4-BE49-F238E27FC236}">
              <a16:creationId xmlns:a16="http://schemas.microsoft.com/office/drawing/2014/main" id="{E856A2D3-1B0F-F814-3F25-DE40BC0D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106680</xdr:colOff>
      <xdr:row>0</xdr:row>
      <xdr:rowOff>171450</xdr:rowOff>
    </xdr:from>
    <xdr:to>
      <xdr:col>22</xdr:col>
      <xdr:colOff>411480</xdr:colOff>
      <xdr:row>15</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39161B8-7AA7-F002-3933-CE9C4B7327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50680" y="171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220980</xdr:colOff>
      <xdr:row>16</xdr:row>
      <xdr:rowOff>64770</xdr:rowOff>
    </xdr:from>
    <xdr:to>
      <xdr:col>22</xdr:col>
      <xdr:colOff>525780</xdr:colOff>
      <xdr:row>31</xdr:row>
      <xdr:rowOff>64770</xdr:rowOff>
    </xdr:to>
    <xdr:graphicFrame macro="">
      <xdr:nvGraphicFramePr>
        <xdr:cNvPr id="4" name="Chart 2">
          <a:extLst>
            <a:ext uri="{FF2B5EF4-FFF2-40B4-BE49-F238E27FC236}">
              <a16:creationId xmlns:a16="http://schemas.microsoft.com/office/drawing/2014/main" id="{E3D861EA-3BB9-DE05-64A6-1CB17A7AF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19</xdr:row>
      <xdr:rowOff>76200</xdr:rowOff>
    </xdr:from>
    <xdr:to>
      <xdr:col>0</xdr:col>
      <xdr:colOff>3627120</xdr:colOff>
      <xdr:row>31</xdr:row>
      <xdr:rowOff>144780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D09EFAF-E7F5-4D2B-B140-D3A58A642C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200" y="3550920"/>
              <a:ext cx="3550920" cy="22631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3749040</xdr:colOff>
      <xdr:row>19</xdr:row>
      <xdr:rowOff>76200</xdr:rowOff>
    </xdr:from>
    <xdr:to>
      <xdr:col>4</xdr:col>
      <xdr:colOff>99060</xdr:colOff>
      <xdr:row>32</xdr:row>
      <xdr:rowOff>76200</xdr:rowOff>
    </xdr:to>
    <xdr:graphicFrame macro="">
      <xdr:nvGraphicFramePr>
        <xdr:cNvPr id="3" name="Chart 2">
          <a:extLst>
            <a:ext uri="{FF2B5EF4-FFF2-40B4-BE49-F238E27FC236}">
              <a16:creationId xmlns:a16="http://schemas.microsoft.com/office/drawing/2014/main" id="{CE2F2649-56A6-4323-A59A-9CC7AFD05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4411980</xdr:colOff>
      <xdr:row>36</xdr:row>
      <xdr:rowOff>30480</xdr:rowOff>
    </xdr:from>
    <xdr:to>
      <xdr:col>1</xdr:col>
      <xdr:colOff>2438400</xdr:colOff>
      <xdr:row>46</xdr:row>
      <xdr:rowOff>114300</xdr:rowOff>
    </xdr:to>
    <xdr:graphicFrame macro="">
      <xdr:nvGraphicFramePr>
        <xdr:cNvPr id="4" name="Chart 3">
          <a:extLst>
            <a:ext uri="{FF2B5EF4-FFF2-40B4-BE49-F238E27FC236}">
              <a16:creationId xmlns:a16="http://schemas.microsoft.com/office/drawing/2014/main" id="{71F94007-3922-450F-B78D-20D0DD93E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274320</xdr:colOff>
      <xdr:row>59</xdr:row>
      <xdr:rowOff>175260</xdr:rowOff>
    </xdr:from>
    <xdr:to>
      <xdr:col>1</xdr:col>
      <xdr:colOff>7620</xdr:colOff>
      <xdr:row>76</xdr:row>
      <xdr:rowOff>160020</xdr:rowOff>
    </xdr:to>
    <xdr:graphicFrame macro="">
      <xdr:nvGraphicFramePr>
        <xdr:cNvPr id="5" name="Chart 4">
          <a:extLst>
            <a:ext uri="{FF2B5EF4-FFF2-40B4-BE49-F238E27FC236}">
              <a16:creationId xmlns:a16="http://schemas.microsoft.com/office/drawing/2014/main" id="{6A10981D-61E9-4D6E-AB60-A7AAA5274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91440</xdr:colOff>
      <xdr:row>59</xdr:row>
      <xdr:rowOff>83820</xdr:rowOff>
    </xdr:from>
    <xdr:to>
      <xdr:col>4</xdr:col>
      <xdr:colOff>45720</xdr:colOff>
      <xdr:row>81</xdr:row>
      <xdr:rowOff>57150</xdr:rowOff>
    </xdr:to>
    <xdr:graphicFrame macro="">
      <xdr:nvGraphicFramePr>
        <xdr:cNvPr id="6" name="Chart 5">
          <a:extLst>
            <a:ext uri="{FF2B5EF4-FFF2-40B4-BE49-F238E27FC236}">
              <a16:creationId xmlns:a16="http://schemas.microsoft.com/office/drawing/2014/main" id="{E1D1A39E-2CA3-4D4B-83DE-012F48D70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472440</xdr:colOff>
      <xdr:row>85</xdr:row>
      <xdr:rowOff>22860</xdr:rowOff>
    </xdr:from>
    <xdr:to>
      <xdr:col>0</xdr:col>
      <xdr:colOff>3848100</xdr:colOff>
      <xdr:row>98</xdr:row>
      <xdr:rowOff>99060</xdr:rowOff>
    </xdr:to>
    <xdr:graphicFrame macro="">
      <xdr:nvGraphicFramePr>
        <xdr:cNvPr id="7" name="Chart 6">
          <a:extLst>
            <a:ext uri="{FF2B5EF4-FFF2-40B4-BE49-F238E27FC236}">
              <a16:creationId xmlns:a16="http://schemas.microsoft.com/office/drawing/2014/main" id="{BB66AE02-9555-4459-A942-40B7817F8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83820</xdr:colOff>
      <xdr:row>14</xdr:row>
      <xdr:rowOff>45720</xdr:rowOff>
    </xdr:from>
    <xdr:to>
      <xdr:col>5</xdr:col>
      <xdr:colOff>99060</xdr:colOff>
      <xdr:row>18</xdr:row>
      <xdr:rowOff>800100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ECC4F03-F404-4B95-A49F-8DB2AD4D1B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233660" y="5166360"/>
              <a:ext cx="2545080" cy="1851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129540</xdr:colOff>
      <xdr:row>14</xdr:row>
      <xdr:rowOff>91440</xdr:rowOff>
    </xdr:from>
    <xdr:to>
      <xdr:col>10</xdr:col>
      <xdr:colOff>533400</xdr:colOff>
      <xdr:row>18</xdr:row>
      <xdr:rowOff>762000</xdr:rowOff>
    </xdr:to>
    <xdr:graphicFrame macro="">
      <xdr:nvGraphicFramePr>
        <xdr:cNvPr id="3" name="Chart 2">
          <a:extLst>
            <a:ext uri="{FF2B5EF4-FFF2-40B4-BE49-F238E27FC236}">
              <a16:creationId xmlns:a16="http://schemas.microsoft.com/office/drawing/2014/main" id="{BDF08B59-9FC9-4E38-AEA7-A42363198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xdr:colOff>
      <xdr:row>25</xdr:row>
      <xdr:rowOff>60960</xdr:rowOff>
    </xdr:from>
    <xdr:to>
      <xdr:col>3</xdr:col>
      <xdr:colOff>1844040</xdr:colOff>
      <xdr:row>36</xdr:row>
      <xdr:rowOff>0</xdr:rowOff>
    </xdr:to>
    <xdr:graphicFrame macro="">
      <xdr:nvGraphicFramePr>
        <xdr:cNvPr id="4" name="Chart 3">
          <a:extLst>
            <a:ext uri="{FF2B5EF4-FFF2-40B4-BE49-F238E27FC236}">
              <a16:creationId xmlns:a16="http://schemas.microsoft.com/office/drawing/2014/main" id="{E6487F29-02FE-4F26-8DA7-716A6BD0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37</xdr:row>
      <xdr:rowOff>1196340</xdr:rowOff>
    </xdr:from>
    <xdr:to>
      <xdr:col>7</xdr:col>
      <xdr:colOff>586740</xdr:colOff>
      <xdr:row>54</xdr:row>
      <xdr:rowOff>121920</xdr:rowOff>
    </xdr:to>
    <xdr:graphicFrame macro="">
      <xdr:nvGraphicFramePr>
        <xdr:cNvPr id="5" name="Chart 4">
          <a:extLst>
            <a:ext uri="{FF2B5EF4-FFF2-40B4-BE49-F238E27FC236}">
              <a16:creationId xmlns:a16="http://schemas.microsoft.com/office/drawing/2014/main" id="{48156E72-E4CD-48F0-B5D1-3DEFF5A5C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60960</xdr:colOff>
      <xdr:row>55</xdr:row>
      <xdr:rowOff>53340</xdr:rowOff>
    </xdr:from>
    <xdr:to>
      <xdr:col>6</xdr:col>
      <xdr:colOff>1013460</xdr:colOff>
      <xdr:row>71</xdr:row>
      <xdr:rowOff>53340</xdr:rowOff>
    </xdr:to>
    <xdr:graphicFrame macro="">
      <xdr:nvGraphicFramePr>
        <xdr:cNvPr id="6" name="Chart 5">
          <a:extLst>
            <a:ext uri="{FF2B5EF4-FFF2-40B4-BE49-F238E27FC236}">
              <a16:creationId xmlns:a16="http://schemas.microsoft.com/office/drawing/2014/main" id="{7BFC73F1-EFCD-400A-878B-C882F3435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7620</xdr:colOff>
      <xdr:row>87</xdr:row>
      <xdr:rowOff>194310</xdr:rowOff>
    </xdr:from>
    <xdr:to>
      <xdr:col>6</xdr:col>
      <xdr:colOff>1310640</xdr:colOff>
      <xdr:row>108</xdr:row>
      <xdr:rowOff>53340</xdr:rowOff>
    </xdr:to>
    <xdr:graphicFrame macro="">
      <xdr:nvGraphicFramePr>
        <xdr:cNvPr id="8" name="Chart 7">
          <a:extLst>
            <a:ext uri="{FF2B5EF4-FFF2-40B4-BE49-F238E27FC236}">
              <a16:creationId xmlns:a16="http://schemas.microsoft.com/office/drawing/2014/main" id="{0509DB84-66E8-7DC5-56A9-F01FDD975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3169920</xdr:colOff>
      <xdr:row>116</xdr:row>
      <xdr:rowOff>68580</xdr:rowOff>
    </xdr:from>
    <xdr:to>
      <xdr:col>1</xdr:col>
      <xdr:colOff>1143000</xdr:colOff>
      <xdr:row>121</xdr:row>
      <xdr:rowOff>53339</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7C49236C-EDAE-4D07-863E-D02529BDDDA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169920" y="31523940"/>
              <a:ext cx="123444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116</xdr:row>
      <xdr:rowOff>45720</xdr:rowOff>
    </xdr:from>
    <xdr:to>
      <xdr:col>2</xdr:col>
      <xdr:colOff>1706880</xdr:colOff>
      <xdr:row>121</xdr:row>
      <xdr:rowOff>15239</xdr:rowOff>
    </xdr:to>
    <mc:AlternateContent xmlns:mc="http://schemas.openxmlformats.org/markup-compatibility/2006" xmlns:a14="http://schemas.microsoft.com/office/drawing/2010/main">
      <mc:Choice Requires="a14">
        <xdr:graphicFrame macro="">
          <xdr:nvGraphicFramePr>
            <xdr:cNvPr id="10" name="Marital Status 2">
              <a:extLst>
                <a:ext uri="{FF2B5EF4-FFF2-40B4-BE49-F238E27FC236}">
                  <a16:creationId xmlns:a16="http://schemas.microsoft.com/office/drawing/2014/main" id="{E8654B38-BD48-4FEE-9A30-033AC4C016B1}"/>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mlns="">
        <xdr:sp macro="" textlink="">
          <xdr:nvSpPr>
            <xdr:cNvPr id="0" name=""/>
            <xdr:cNvSpPr>
              <a:spLocks noTextEdit="1"/>
            </xdr:cNvSpPr>
          </xdr:nvSpPr>
          <xdr:spPr>
            <a:xfrm>
              <a:off x="6438900" y="31501080"/>
              <a:ext cx="153924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116</xdr:row>
      <xdr:rowOff>60960</xdr:rowOff>
    </xdr:from>
    <xdr:to>
      <xdr:col>5</xdr:col>
      <xdr:colOff>632460</xdr:colOff>
      <xdr:row>124</xdr:row>
      <xdr:rowOff>30479</xdr:rowOff>
    </xdr:to>
    <mc:AlternateContent xmlns:mc="http://schemas.openxmlformats.org/markup-compatibility/2006" xmlns:a14="http://schemas.microsoft.com/office/drawing/2010/main">
      <mc:Choice Requires="a14">
        <xdr:graphicFrame macro="">
          <xdr:nvGraphicFramePr>
            <xdr:cNvPr id="11" name="Age Groups 1">
              <a:extLst>
                <a:ext uri="{FF2B5EF4-FFF2-40B4-BE49-F238E27FC236}">
                  <a16:creationId xmlns:a16="http://schemas.microsoft.com/office/drawing/2014/main" id="{29AC8777-F934-4CB5-ACD9-D8CAEF44B6CF}"/>
                </a:ext>
              </a:extLst>
            </xdr:cNvPr>
            <xdr:cNvGraphicFramePr/>
          </xdr:nvGraphicFramePr>
          <xdr:xfrm>
            <a:off x="0" y="0"/>
            <a:ext cx="0" cy="0"/>
          </xdr:xfrm>
          <a:graphic>
            <a:graphicData uri="http://schemas.microsoft.com/office/drawing/2010/slicer">
              <sle:slicer xmlns:sle="http://schemas.microsoft.com/office/drawing/2010/slicer" name="Age Groups 1"/>
            </a:graphicData>
          </a:graphic>
        </xdr:graphicFrame>
      </mc:Choice>
      <mc:Fallback xmlns="">
        <xdr:sp macro="" textlink="">
          <xdr:nvSpPr>
            <xdr:cNvPr id="0" name=""/>
            <xdr:cNvSpPr>
              <a:spLocks noTextEdit="1"/>
            </xdr:cNvSpPr>
          </xdr:nvSpPr>
          <xdr:spPr>
            <a:xfrm>
              <a:off x="11932920" y="31516320"/>
              <a:ext cx="137922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685800</xdr:colOff>
      <xdr:row>116</xdr:row>
      <xdr:rowOff>45720</xdr:rowOff>
    </xdr:from>
    <xdr:to>
      <xdr:col>7</xdr:col>
      <xdr:colOff>152400</xdr:colOff>
      <xdr:row>125</xdr:row>
      <xdr:rowOff>144779</xdr:rowOff>
    </xdr:to>
    <mc:AlternateContent xmlns:mc="http://schemas.openxmlformats.org/markup-compatibility/2006" xmlns:a14="http://schemas.microsoft.com/office/drawing/2010/main">
      <mc:Choice Requires="a14">
        <xdr:graphicFrame macro="">
          <xdr:nvGraphicFramePr>
            <xdr:cNvPr id="12" name="Commute Distance 1">
              <a:extLst>
                <a:ext uri="{FF2B5EF4-FFF2-40B4-BE49-F238E27FC236}">
                  <a16:creationId xmlns:a16="http://schemas.microsoft.com/office/drawing/2014/main" id="{04DDB442-70AD-4D31-9680-FE8542EA1524}"/>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mlns="">
        <xdr:sp macro="" textlink="">
          <xdr:nvSpPr>
            <xdr:cNvPr id="0" name=""/>
            <xdr:cNvSpPr>
              <a:spLocks noTextEdit="1"/>
            </xdr:cNvSpPr>
          </xdr:nvSpPr>
          <xdr:spPr>
            <a:xfrm>
              <a:off x="13365480" y="31501080"/>
              <a:ext cx="1851660" cy="1744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198120</xdr:colOff>
      <xdr:row>119</xdr:row>
      <xdr:rowOff>22860</xdr:rowOff>
    </xdr:from>
    <xdr:to>
      <xdr:col>7</xdr:col>
      <xdr:colOff>1546860</xdr:colOff>
      <xdr:row>128</xdr:row>
      <xdr:rowOff>99060</xdr:rowOff>
    </xdr:to>
    <mc:AlternateContent xmlns:mc="http://schemas.openxmlformats.org/markup-compatibility/2006" xmlns:a14="http://schemas.microsoft.com/office/drawing/2010/main">
      <mc:Choice Requires="a14">
        <xdr:graphicFrame macro="">
          <xdr:nvGraphicFramePr>
            <xdr:cNvPr id="13" name="Occupation 2">
              <a:extLst>
                <a:ext uri="{FF2B5EF4-FFF2-40B4-BE49-F238E27FC236}">
                  <a16:creationId xmlns:a16="http://schemas.microsoft.com/office/drawing/2014/main" id="{28A573FC-F954-44DE-9315-600A31984222}"/>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15262860" y="32026860"/>
              <a:ext cx="134874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129540</xdr:colOff>
      <xdr:row>110</xdr:row>
      <xdr:rowOff>106680</xdr:rowOff>
    </xdr:from>
    <xdr:to>
      <xdr:col>7</xdr:col>
      <xdr:colOff>1577340</xdr:colOff>
      <xdr:row>118</xdr:row>
      <xdr:rowOff>152399</xdr:rowOff>
    </xdr:to>
    <mc:AlternateContent xmlns:mc="http://schemas.openxmlformats.org/markup-compatibility/2006" xmlns:a14="http://schemas.microsoft.com/office/drawing/2010/main">
      <mc:Choice Requires="a14">
        <xdr:graphicFrame macro="">
          <xdr:nvGraphicFramePr>
            <xdr:cNvPr id="14" name="Education 2">
              <a:extLst>
                <a:ext uri="{FF2B5EF4-FFF2-40B4-BE49-F238E27FC236}">
                  <a16:creationId xmlns:a16="http://schemas.microsoft.com/office/drawing/2014/main" id="{B59DF6DD-65F4-4DBA-B429-AEC1EDAECA40}"/>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15194280" y="30281880"/>
              <a:ext cx="144780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80010</xdr:colOff>
      <xdr:row>0</xdr:row>
      <xdr:rowOff>26670</xdr:rowOff>
    </xdr:from>
    <xdr:to>
      <xdr:col>11</xdr:col>
      <xdr:colOff>457200</xdr:colOff>
      <xdr:row>14</xdr:row>
      <xdr:rowOff>129540</xdr:rowOff>
    </xdr:to>
    <xdr:graphicFrame macro="">
      <xdr:nvGraphicFramePr>
        <xdr:cNvPr id="2" name="Chart 1">
          <a:extLst>
            <a:ext uri="{FF2B5EF4-FFF2-40B4-BE49-F238E27FC236}">
              <a16:creationId xmlns:a16="http://schemas.microsoft.com/office/drawing/2014/main" id="{BC8A10AC-ECF4-4CBE-364D-CE94C6A78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16</xdr:row>
      <xdr:rowOff>53340</xdr:rowOff>
    </xdr:from>
    <xdr:to>
      <xdr:col>11</xdr:col>
      <xdr:colOff>411480</xdr:colOff>
      <xdr:row>31</xdr:row>
      <xdr:rowOff>60960</xdr:rowOff>
    </xdr:to>
    <xdr:graphicFrame macro="">
      <xdr:nvGraphicFramePr>
        <xdr:cNvPr id="3" name="Chart 2">
          <a:extLst>
            <a:ext uri="{FF2B5EF4-FFF2-40B4-BE49-F238E27FC236}">
              <a16:creationId xmlns:a16="http://schemas.microsoft.com/office/drawing/2014/main" id="{2DBD2949-FC99-F70D-91A6-7C2AE21C1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xdr:colOff>
      <xdr:row>33</xdr:row>
      <xdr:rowOff>57150</xdr:rowOff>
    </xdr:from>
    <xdr:to>
      <xdr:col>11</xdr:col>
      <xdr:colOff>495300</xdr:colOff>
      <xdr:row>49</xdr:row>
      <xdr:rowOff>53340</xdr:rowOff>
    </xdr:to>
    <xdr:graphicFrame macro="">
      <xdr:nvGraphicFramePr>
        <xdr:cNvPr id="4" name="Chart 3">
          <a:extLst>
            <a:ext uri="{FF2B5EF4-FFF2-40B4-BE49-F238E27FC236}">
              <a16:creationId xmlns:a16="http://schemas.microsoft.com/office/drawing/2014/main" id="{64D4AF69-8175-E6DF-409A-4BE56A277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50</xdr:row>
      <xdr:rowOff>171450</xdr:rowOff>
    </xdr:from>
    <xdr:to>
      <xdr:col>10</xdr:col>
      <xdr:colOff>358140</xdr:colOff>
      <xdr:row>65</xdr:row>
      <xdr:rowOff>171450</xdr:rowOff>
    </xdr:to>
    <xdr:graphicFrame macro="">
      <xdr:nvGraphicFramePr>
        <xdr:cNvPr id="5" name="Chart 4">
          <a:extLst>
            <a:ext uri="{FF2B5EF4-FFF2-40B4-BE49-F238E27FC236}">
              <a16:creationId xmlns:a16="http://schemas.microsoft.com/office/drawing/2014/main" id="{B62F27DA-FB4F-E34A-0304-7521DB3C9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480060</xdr:colOff>
      <xdr:row>67</xdr:row>
      <xdr:rowOff>3810</xdr:rowOff>
    </xdr:from>
    <xdr:to>
      <xdr:col>11</xdr:col>
      <xdr:colOff>53340</xdr:colOff>
      <xdr:row>82</xdr:row>
      <xdr:rowOff>3810</xdr:rowOff>
    </xdr:to>
    <xdr:graphicFrame macro="">
      <xdr:nvGraphicFramePr>
        <xdr:cNvPr id="6" name="Chart 5">
          <a:extLst>
            <a:ext uri="{FF2B5EF4-FFF2-40B4-BE49-F238E27FC236}">
              <a16:creationId xmlns:a16="http://schemas.microsoft.com/office/drawing/2014/main" id="{7D534309-6435-B53F-4A3C-27CED0687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160020</xdr:colOff>
      <xdr:row>82</xdr:row>
      <xdr:rowOff>133350</xdr:rowOff>
    </xdr:from>
    <xdr:to>
      <xdr:col>14</xdr:col>
      <xdr:colOff>182880</xdr:colOff>
      <xdr:row>104</xdr:row>
      <xdr:rowOff>106680</xdr:rowOff>
    </xdr:to>
    <xdr:graphicFrame macro="">
      <xdr:nvGraphicFramePr>
        <xdr:cNvPr id="7" name="Chart 6">
          <a:extLst>
            <a:ext uri="{FF2B5EF4-FFF2-40B4-BE49-F238E27FC236}">
              <a16:creationId xmlns:a16="http://schemas.microsoft.com/office/drawing/2014/main" id="{1188000B-12D5-347B-82C7-D74400EA8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60960</xdr:colOff>
      <xdr:row>133</xdr:row>
      <xdr:rowOff>38101</xdr:rowOff>
    </xdr:from>
    <xdr:to>
      <xdr:col>1</xdr:col>
      <xdr:colOff>99060</xdr:colOff>
      <xdr:row>138</xdr:row>
      <xdr:rowOff>7620</xdr:rowOff>
    </xdr:to>
    <mc:AlternateContent xmlns:mc="http://schemas.openxmlformats.org/markup-compatibility/2006" xmlns:a14="http://schemas.microsoft.com/office/drawing/2010/main">
      <mc:Choice Requires="a14">
        <xdr:graphicFrame macro="">
          <xdr:nvGraphicFramePr>
            <xdr:cNvPr id="8" name="Marital Status 1">
              <a:extLst>
                <a:ext uri="{FF2B5EF4-FFF2-40B4-BE49-F238E27FC236}">
                  <a16:creationId xmlns:a16="http://schemas.microsoft.com/office/drawing/2014/main" id="{D88261C6-E870-CBBE-21AE-8E5D3FA41C4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60960" y="24361141"/>
              <a:ext cx="153924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127</xdr:row>
      <xdr:rowOff>144780</xdr:rowOff>
    </xdr:from>
    <xdr:to>
      <xdr:col>0</xdr:col>
      <xdr:colOff>1295400</xdr:colOff>
      <xdr:row>132</xdr:row>
      <xdr:rowOff>129539</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74483982-1FB9-ED9B-5E4C-16E7AF13EA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0" y="23370540"/>
              <a:ext cx="123444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259080</xdr:colOff>
      <xdr:row>127</xdr:row>
      <xdr:rowOff>53341</xdr:rowOff>
    </xdr:from>
    <xdr:to>
      <xdr:col>7</xdr:col>
      <xdr:colOff>289560</xdr:colOff>
      <xdr:row>136</xdr:row>
      <xdr:rowOff>99060</xdr:rowOff>
    </xdr:to>
    <mc:AlternateContent xmlns:mc="http://schemas.openxmlformats.org/markup-compatibility/2006" xmlns:a14="http://schemas.microsoft.com/office/drawing/2010/main">
      <mc:Choice Requires="a14">
        <xdr:graphicFrame macro="">
          <xdr:nvGraphicFramePr>
            <xdr:cNvPr id="10" name="Education 1">
              <a:extLst>
                <a:ext uri="{FF2B5EF4-FFF2-40B4-BE49-F238E27FC236}">
                  <a16:creationId xmlns:a16="http://schemas.microsoft.com/office/drawing/2014/main" id="{2BC85FB6-9F8D-1078-0CF0-083A11200E01}"/>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6156960" y="23279101"/>
              <a:ext cx="144780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236220</xdr:colOff>
      <xdr:row>127</xdr:row>
      <xdr:rowOff>53341</xdr:rowOff>
    </xdr:from>
    <xdr:to>
      <xdr:col>6</xdr:col>
      <xdr:colOff>251460</xdr:colOff>
      <xdr:row>136</xdr:row>
      <xdr:rowOff>129541</xdr:rowOff>
    </xdr:to>
    <mc:AlternateContent xmlns:mc="http://schemas.openxmlformats.org/markup-compatibility/2006" xmlns:a14="http://schemas.microsoft.com/office/drawing/2010/main">
      <mc:Choice Requires="a14">
        <xdr:graphicFrame macro="">
          <xdr:nvGraphicFramePr>
            <xdr:cNvPr id="11" name="Occupation 1">
              <a:extLst>
                <a:ext uri="{FF2B5EF4-FFF2-40B4-BE49-F238E27FC236}">
                  <a16:creationId xmlns:a16="http://schemas.microsoft.com/office/drawing/2014/main" id="{CA1272C0-F7F0-9919-0421-E03A90E7F5B9}"/>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4800600" y="23279101"/>
              <a:ext cx="134874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127</xdr:row>
      <xdr:rowOff>83820</xdr:rowOff>
    </xdr:from>
    <xdr:to>
      <xdr:col>5</xdr:col>
      <xdr:colOff>236220</xdr:colOff>
      <xdr:row>136</xdr:row>
      <xdr:rowOff>182879</xdr:rowOff>
    </xdr:to>
    <mc:AlternateContent xmlns:mc="http://schemas.openxmlformats.org/markup-compatibility/2006" xmlns:a14="http://schemas.microsoft.com/office/drawing/2010/main">
      <mc:Choice Requires="a14">
        <xdr:graphicFrame macro="">
          <xdr:nvGraphicFramePr>
            <xdr:cNvPr id="12" name="Commute Distance">
              <a:extLst>
                <a:ext uri="{FF2B5EF4-FFF2-40B4-BE49-F238E27FC236}">
                  <a16:creationId xmlns:a16="http://schemas.microsoft.com/office/drawing/2014/main" id="{1CC6E704-C22E-1AC3-183E-D57031A32CCD}"/>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2910840" y="23309580"/>
              <a:ext cx="1851660" cy="1744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594360</xdr:colOff>
      <xdr:row>127</xdr:row>
      <xdr:rowOff>144781</xdr:rowOff>
    </xdr:from>
    <xdr:to>
      <xdr:col>2</xdr:col>
      <xdr:colOff>754380</xdr:colOff>
      <xdr:row>135</xdr:row>
      <xdr:rowOff>114300</xdr:rowOff>
    </xdr:to>
    <mc:AlternateContent xmlns:mc="http://schemas.openxmlformats.org/markup-compatibility/2006" xmlns:a14="http://schemas.microsoft.com/office/drawing/2010/main">
      <mc:Choice Requires="a14">
        <xdr:graphicFrame macro="">
          <xdr:nvGraphicFramePr>
            <xdr:cNvPr id="13" name="Age Groups">
              <a:extLst>
                <a:ext uri="{FF2B5EF4-FFF2-40B4-BE49-F238E27FC236}">
                  <a16:creationId xmlns:a16="http://schemas.microsoft.com/office/drawing/2014/main" id="{73EFD5FB-3430-7FE4-E81A-B6ED5DD6B4C9}"/>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607820" y="23370541"/>
              <a:ext cx="137922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xdr:colOff>
      <xdr:row>107</xdr:row>
      <xdr:rowOff>171450</xdr:rowOff>
    </xdr:from>
    <xdr:to>
      <xdr:col>13</xdr:col>
      <xdr:colOff>350520</xdr:colOff>
      <xdr:row>120</xdr:row>
      <xdr:rowOff>30480</xdr:rowOff>
    </xdr:to>
    <xdr:graphicFrame macro="">
      <xdr:nvGraphicFramePr>
        <xdr:cNvPr id="14" name="Chart 13">
          <a:extLst>
            <a:ext uri="{FF2B5EF4-FFF2-40B4-BE49-F238E27FC236}">
              <a16:creationId xmlns:a16="http://schemas.microsoft.com/office/drawing/2014/main" id="{DEA38095-2CCF-04DA-E901-10E449390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502920</xdr:colOff>
      <xdr:row>0</xdr:row>
      <xdr:rowOff>80010</xdr:rowOff>
    </xdr:from>
    <xdr:to>
      <xdr:col>11</xdr:col>
      <xdr:colOff>205740</xdr:colOff>
      <xdr:row>13</xdr:row>
      <xdr:rowOff>45720</xdr:rowOff>
    </xdr:to>
    <xdr:graphicFrame macro="">
      <xdr:nvGraphicFramePr>
        <xdr:cNvPr id="2" name="Chart 1">
          <a:extLst>
            <a:ext uri="{FF2B5EF4-FFF2-40B4-BE49-F238E27FC236}">
              <a16:creationId xmlns:a16="http://schemas.microsoft.com/office/drawing/2014/main" id="{65EB981D-7542-E932-5EEF-FEB605EDA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13</xdr:row>
      <xdr:rowOff>125730</xdr:rowOff>
    </xdr:from>
    <xdr:to>
      <xdr:col>11</xdr:col>
      <xdr:colOff>205740</xdr:colOff>
      <xdr:row>25</xdr:row>
      <xdr:rowOff>7620</xdr:rowOff>
    </xdr:to>
    <xdr:graphicFrame macro="">
      <xdr:nvGraphicFramePr>
        <xdr:cNvPr id="3" name="Chart 2">
          <a:extLst>
            <a:ext uri="{FF2B5EF4-FFF2-40B4-BE49-F238E27FC236}">
              <a16:creationId xmlns:a16="http://schemas.microsoft.com/office/drawing/2014/main" id="{C6C484A9-35CB-0BEA-1E0A-2771AF27E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24</xdr:row>
      <xdr:rowOff>163830</xdr:rowOff>
    </xdr:from>
    <xdr:to>
      <xdr:col>13</xdr:col>
      <xdr:colOff>342900</xdr:colOff>
      <xdr:row>43</xdr:row>
      <xdr:rowOff>121920</xdr:rowOff>
    </xdr:to>
    <xdr:graphicFrame macro="">
      <xdr:nvGraphicFramePr>
        <xdr:cNvPr id="4" name="Chart 3">
          <a:extLst>
            <a:ext uri="{FF2B5EF4-FFF2-40B4-BE49-F238E27FC236}">
              <a16:creationId xmlns:a16="http://schemas.microsoft.com/office/drawing/2014/main" id="{AB947834-607B-46F1-18A4-B6C177C6C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236220</xdr:colOff>
      <xdr:row>44</xdr:row>
      <xdr:rowOff>99060</xdr:rowOff>
    </xdr:from>
    <xdr:to>
      <xdr:col>8</xdr:col>
      <xdr:colOff>0</xdr:colOff>
      <xdr:row>56</xdr:row>
      <xdr:rowOff>171450</xdr:rowOff>
    </xdr:to>
    <xdr:graphicFrame macro="">
      <xdr:nvGraphicFramePr>
        <xdr:cNvPr id="5" name="Chart 4">
          <a:extLst>
            <a:ext uri="{FF2B5EF4-FFF2-40B4-BE49-F238E27FC236}">
              <a16:creationId xmlns:a16="http://schemas.microsoft.com/office/drawing/2014/main" id="{DE9ABE04-AFCE-1076-08D8-E69482966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76200</xdr:colOff>
      <xdr:row>43</xdr:row>
      <xdr:rowOff>179070</xdr:rowOff>
    </xdr:from>
    <xdr:to>
      <xdr:col>14</xdr:col>
      <xdr:colOff>22860</xdr:colOff>
      <xdr:row>58</xdr:row>
      <xdr:rowOff>38100</xdr:rowOff>
    </xdr:to>
    <xdr:graphicFrame macro="">
      <xdr:nvGraphicFramePr>
        <xdr:cNvPr id="6" name="Chart 5">
          <a:extLst>
            <a:ext uri="{FF2B5EF4-FFF2-40B4-BE49-F238E27FC236}">
              <a16:creationId xmlns:a16="http://schemas.microsoft.com/office/drawing/2014/main" id="{40D3A75D-B800-58BF-10A9-87C798CB7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375781</xdr:colOff>
      <xdr:row>13</xdr:row>
      <xdr:rowOff>168997</xdr:rowOff>
    </xdr:from>
    <xdr:to>
      <xdr:col>21</xdr:col>
      <xdr:colOff>512941</xdr:colOff>
      <xdr:row>28</xdr:row>
      <xdr:rowOff>103025</xdr:rowOff>
    </xdr:to>
    <xdr:graphicFrame macro="">
      <xdr:nvGraphicFramePr>
        <xdr:cNvPr id="2" name="Chart 1">
          <a:extLst>
            <a:ext uri="{FF2B5EF4-FFF2-40B4-BE49-F238E27FC236}">
              <a16:creationId xmlns:a16="http://schemas.microsoft.com/office/drawing/2014/main" id="{E3BFF52C-6599-478F-B965-884405944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462212</xdr:colOff>
      <xdr:row>13</xdr:row>
      <xdr:rowOff>168997</xdr:rowOff>
    </xdr:from>
    <xdr:to>
      <xdr:col>14</xdr:col>
      <xdr:colOff>236429</xdr:colOff>
      <xdr:row>28</xdr:row>
      <xdr:rowOff>125885</xdr:rowOff>
    </xdr:to>
    <xdr:graphicFrame macro="">
      <xdr:nvGraphicFramePr>
        <xdr:cNvPr id="3" name="Chart 2">
          <a:extLst>
            <a:ext uri="{FF2B5EF4-FFF2-40B4-BE49-F238E27FC236}">
              <a16:creationId xmlns:a16="http://schemas.microsoft.com/office/drawing/2014/main" id="{81F86EAB-D70F-472E-A63D-A1F63DB3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408244</xdr:colOff>
      <xdr:row>29</xdr:row>
      <xdr:rowOff>14404</xdr:rowOff>
    </xdr:from>
    <xdr:to>
      <xdr:col>10</xdr:col>
      <xdr:colOff>553024</xdr:colOff>
      <xdr:row>45</xdr:row>
      <xdr:rowOff>10594</xdr:rowOff>
    </xdr:to>
    <xdr:graphicFrame macro="">
      <xdr:nvGraphicFramePr>
        <xdr:cNvPr id="4" name="Chart 3">
          <a:extLst>
            <a:ext uri="{FF2B5EF4-FFF2-40B4-BE49-F238E27FC236}">
              <a16:creationId xmlns:a16="http://schemas.microsoft.com/office/drawing/2014/main" id="{245D1EDF-E44F-4014-891B-C37C3290F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423069</xdr:colOff>
      <xdr:row>21</xdr:row>
      <xdr:rowOff>28498</xdr:rowOff>
    </xdr:from>
    <xdr:to>
      <xdr:col>3</xdr:col>
      <xdr:colOff>279124</xdr:colOff>
      <xdr:row>27</xdr:row>
      <xdr:rowOff>81838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752A15A-E4FB-0792-D4D4-95FDAEAB130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23069" y="3974197"/>
              <a:ext cx="1641014" cy="1180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417534</xdr:colOff>
      <xdr:row>37</xdr:row>
      <xdr:rowOff>156054</xdr:rowOff>
    </xdr:from>
    <xdr:to>
      <xdr:col>3</xdr:col>
      <xdr:colOff>271397</xdr:colOff>
      <xdr:row>47</xdr:row>
      <xdr:rowOff>29123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050CA63-9677-B6E4-9C32-3EFFBC8BD6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17534" y="7107999"/>
              <a:ext cx="1638822" cy="1751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448118</xdr:colOff>
      <xdr:row>27</xdr:row>
      <xdr:rowOff>135175</xdr:rowOff>
    </xdr:from>
    <xdr:to>
      <xdr:col>3</xdr:col>
      <xdr:colOff>271397</xdr:colOff>
      <xdr:row>37</xdr:row>
      <xdr:rowOff>58976</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0140B6F5-86E7-158D-B3FB-614BFAA2D67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448118" y="5208216"/>
              <a:ext cx="1608238" cy="1802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427973</xdr:colOff>
      <xdr:row>14</xdr:row>
      <xdr:rowOff>31315</xdr:rowOff>
    </xdr:from>
    <xdr:to>
      <xdr:col>3</xdr:col>
      <xdr:colOff>313151</xdr:colOff>
      <xdr:row>20</xdr:row>
      <xdr:rowOff>93946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5BE3B46-3603-9140-8F89-7D8C3F21A7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7973" y="2661781"/>
              <a:ext cx="1670137" cy="118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56264</xdr:colOff>
      <xdr:row>29</xdr:row>
      <xdr:rowOff>28496</xdr:rowOff>
    </xdr:from>
    <xdr:to>
      <xdr:col>16</xdr:col>
      <xdr:colOff>372128</xdr:colOff>
      <xdr:row>45</xdr:row>
      <xdr:rowOff>20876</xdr:rowOff>
    </xdr:to>
    <xdr:graphicFrame macro="">
      <xdr:nvGraphicFramePr>
        <xdr:cNvPr id="10" name="Chart 9">
          <a:extLst>
            <a:ext uri="{FF2B5EF4-FFF2-40B4-BE49-F238E27FC236}">
              <a16:creationId xmlns:a16="http://schemas.microsoft.com/office/drawing/2014/main" id="{0244B47F-AA8A-4913-AEEC-CB28FE732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177452</xdr:colOff>
      <xdr:row>4</xdr:row>
      <xdr:rowOff>172232</xdr:rowOff>
    </xdr:from>
    <xdr:to>
      <xdr:col>4</xdr:col>
      <xdr:colOff>584548</xdr:colOff>
      <xdr:row>7</xdr:row>
      <xdr:rowOff>57411</xdr:rowOff>
    </xdr:to>
    <xdr:sp macro="" textlink="">
      <xdr:nvSpPr>
        <xdr:cNvPr id="9" name="TextBox 8">
          <a:extLst>
            <a:ext uri="{FF2B5EF4-FFF2-40B4-BE49-F238E27FC236}">
              <a16:creationId xmlns:a16="http://schemas.microsoft.com/office/drawing/2014/main" id="{6E38C6DA-29B8-2CF8-B9A0-531DCDD24AAB}"/>
            </a:ext>
          </a:extLst>
        </xdr:cNvPr>
        <xdr:cNvSpPr txBox="1"/>
      </xdr:nvSpPr>
      <xdr:spPr>
        <a:xfrm>
          <a:off x="177452" y="923794"/>
          <a:ext cx="2797480" cy="448850"/>
        </a:xfrm>
        <a:prstGeom prst="rect">
          <a:avLst/>
        </a:prstGeom>
        <a:solidFill>
          <a:schemeClr val="lt1"/>
        </a:solidFill>
        <a:ln w="9525" cmpd="sng">
          <a:solidFill>
            <a:schemeClr val="lt1">
              <a:shade val="50000"/>
            </a:schemeClr>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a:solidFill>
                <a:schemeClr val="dk1"/>
              </a:solidFill>
              <a:latin typeface="+mn-lt"/>
              <a:ea typeface="+mn-ea"/>
              <a:cs typeface="+mn-cs"/>
            </a:rPr>
            <a:t>Total Customers</a:t>
          </a:r>
        </a:p>
      </xdr:txBody>
    </xdr:sp>
    <xdr:clientData/>
  </xdr:twoCellAnchor>
  <xdr:twoCellAnchor>
    <xdr:from>
      <xdr:col>5</xdr:col>
      <xdr:colOff>194850</xdr:colOff>
      <xdr:row>4</xdr:row>
      <xdr:rowOff>172232</xdr:rowOff>
    </xdr:from>
    <xdr:to>
      <xdr:col>9</xdr:col>
      <xdr:colOff>288794</xdr:colOff>
      <xdr:row>7</xdr:row>
      <xdr:rowOff>57410</xdr:rowOff>
    </xdr:to>
    <xdr:sp macro="" textlink="">
      <xdr:nvSpPr>
        <xdr:cNvPr id="13" name="TextBox 12">
          <a:extLst>
            <a:ext uri="{FF2B5EF4-FFF2-40B4-BE49-F238E27FC236}">
              <a16:creationId xmlns:a16="http://schemas.microsoft.com/office/drawing/2014/main" id="{E2E31667-44FD-4590-B886-B46A25A1081A}"/>
            </a:ext>
          </a:extLst>
        </xdr:cNvPr>
        <xdr:cNvSpPr txBox="1"/>
      </xdr:nvSpPr>
      <xdr:spPr>
        <a:xfrm>
          <a:off x="3190658" y="923794"/>
          <a:ext cx="2515643" cy="448849"/>
        </a:xfrm>
        <a:prstGeom prst="rect">
          <a:avLst/>
        </a:prstGeom>
        <a:solidFill>
          <a:schemeClr val="lt1"/>
        </a:solidFill>
        <a:ln w="9525" cmpd="sng">
          <a:solidFill>
            <a:schemeClr val="lt1">
              <a:shade val="50000"/>
            </a:schemeClr>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Total</a:t>
          </a:r>
          <a:r>
            <a:rPr lang="en-US" sz="2800" baseline="0"/>
            <a:t> Buyers </a:t>
          </a:r>
          <a:endParaRPr lang="en-US" sz="2800"/>
        </a:p>
      </xdr:txBody>
    </xdr:sp>
    <xdr:clientData/>
  </xdr:twoCellAnchor>
  <xdr:twoCellAnchor>
    <xdr:from>
      <xdr:col>9</xdr:col>
      <xdr:colOff>504520</xdr:colOff>
      <xdr:row>4</xdr:row>
      <xdr:rowOff>172232</xdr:rowOff>
    </xdr:from>
    <xdr:to>
      <xdr:col>16</xdr:col>
      <xdr:colOff>337507</xdr:colOff>
      <xdr:row>7</xdr:row>
      <xdr:rowOff>67849</xdr:rowOff>
    </xdr:to>
    <xdr:sp macro="" textlink="">
      <xdr:nvSpPr>
        <xdr:cNvPr id="15" name="TextBox 14">
          <a:extLst>
            <a:ext uri="{FF2B5EF4-FFF2-40B4-BE49-F238E27FC236}">
              <a16:creationId xmlns:a16="http://schemas.microsoft.com/office/drawing/2014/main" id="{0F890F9A-D4AC-4273-98C3-55D6AA92ABC4}"/>
            </a:ext>
          </a:extLst>
        </xdr:cNvPr>
        <xdr:cNvSpPr txBox="1"/>
      </xdr:nvSpPr>
      <xdr:spPr>
        <a:xfrm>
          <a:off x="5922027" y="923794"/>
          <a:ext cx="4070959" cy="459288"/>
        </a:xfrm>
        <a:prstGeom prst="rect">
          <a:avLst/>
        </a:prstGeom>
        <a:solidFill>
          <a:schemeClr val="lt1"/>
        </a:solidFill>
        <a:ln w="9525" cmpd="sng">
          <a:solidFill>
            <a:schemeClr val="lt1">
              <a:shade val="50000"/>
            </a:schemeClr>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a:solidFill>
                <a:schemeClr val="dk1"/>
              </a:solidFill>
              <a:latin typeface="+mn-lt"/>
              <a:ea typeface="+mn-ea"/>
              <a:cs typeface="+mn-cs"/>
            </a:rPr>
            <a:t>Average Income of Buyers</a:t>
          </a:r>
        </a:p>
      </xdr:txBody>
    </xdr:sp>
    <xdr:clientData/>
  </xdr:twoCellAnchor>
  <xdr:twoCellAnchor>
    <xdr:from>
      <xdr:col>16</xdr:col>
      <xdr:colOff>553234</xdr:colOff>
      <xdr:row>4</xdr:row>
      <xdr:rowOff>172232</xdr:rowOff>
    </xdr:from>
    <xdr:to>
      <xdr:col>22</xdr:col>
      <xdr:colOff>521918</xdr:colOff>
      <xdr:row>7</xdr:row>
      <xdr:rowOff>78287</xdr:rowOff>
    </xdr:to>
    <xdr:sp macro="" textlink="">
      <xdr:nvSpPr>
        <xdr:cNvPr id="16" name="TextBox 15">
          <a:extLst>
            <a:ext uri="{FF2B5EF4-FFF2-40B4-BE49-F238E27FC236}">
              <a16:creationId xmlns:a16="http://schemas.microsoft.com/office/drawing/2014/main" id="{28746C5C-BA01-C4C5-0549-FFE535331973}"/>
            </a:ext>
          </a:extLst>
        </xdr:cNvPr>
        <xdr:cNvSpPr txBox="1"/>
      </xdr:nvSpPr>
      <xdr:spPr>
        <a:xfrm>
          <a:off x="10208713" y="923794"/>
          <a:ext cx="3601232" cy="469726"/>
        </a:xfrm>
        <a:prstGeom prst="rect">
          <a:avLst/>
        </a:prstGeom>
        <a:solidFill>
          <a:schemeClr val="lt1"/>
        </a:solidFill>
        <a:ln w="9525" cmpd="sng">
          <a:solidFill>
            <a:schemeClr val="lt1">
              <a:shade val="50000"/>
            </a:schemeClr>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800">
              <a:solidFill>
                <a:schemeClr val="dk1"/>
              </a:solidFill>
              <a:latin typeface="+mn-lt"/>
              <a:ea typeface="+mn-ea"/>
              <a:cs typeface="+mn-cs"/>
            </a:rPr>
            <a:t>Purchase Rate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Thirukazhukundram Shakila Raja" refreshedDate="46026.843413657407" createdVersion="8" refreshedVersion="8" minRefreshableVersion="3" recordCount="1000" xr:uid="{72C0DB70-0DE0-4A2A-9D28-08007BFA6417}">
  <cacheSource type="worksheet">
    <worksheetSource ref="A1:P1001" sheet="Working Sheet"/>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Income Bracket" numFmtId="0">
      <sharedItems count="3">
        <s v="Low Income"/>
        <s v="Medium Income"/>
        <s v="High Income"/>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s" numFmtId="0">
      <sharedItems count="4">
        <s v="Middle-Aged"/>
        <s v="Seniors"/>
        <s v="Adults"/>
        <s v="Young Adults"/>
      </sharedItems>
    </cacheField>
    <cacheField name="Purchased Bike" numFmtId="0">
      <sharedItems/>
    </cacheField>
    <cacheField name="Buyer or no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Thirukazhukundram Shakila Raja" refreshedDate="46026.843415509262" createdVersion="8" refreshedVersion="8" minRefreshableVersion="3" recordCount="1000" xr:uid="{626F8B05-A627-4B5E-8D69-7877F9039035}">
  <cacheSource type="worksheet">
    <worksheetSource ref="A1:P1001" sheet="Working Sheet"/>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Income Bracket" numFmtId="0">
      <sharedItems count="3">
        <s v="Low Income"/>
        <s v="Medium Income"/>
        <s v="High Income"/>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Groups" numFmtId="0">
      <sharedItems/>
    </cacheField>
    <cacheField name="Purchased Bike" numFmtId="0">
      <sharedItems count="2">
        <s v="No"/>
        <s v="Yes"/>
      </sharedItems>
    </cacheField>
    <cacheField name="Buyer or no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Thirukazhukundram Shakila Raja" refreshedDate="46026.84341666667" createdVersion="8" refreshedVersion="8" minRefreshableVersion="3" recordCount="1000" xr:uid="{0E750B36-74F9-430F-B2AF-B80D09635B4E}">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Bracket" numFmtId="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s" numFmtId="0">
      <sharedItems count="4">
        <s v="Middle-Aged"/>
        <s v="Seniors"/>
        <s v="Adults"/>
        <s v="Young 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27245839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Thirukazhukundram Shakila Raja" refreshedDate="46026.843921527776" createdVersion="8" refreshedVersion="8" minRefreshableVersion="3" recordCount="1000" xr:uid="{9616EAA8-FECD-4478-A194-906CF93F646D}">
  <cacheSource type="worksheet">
    <worksheetSource ref="A1:Q1001" sheet="Working Sheet"/>
  </cacheSource>
  <cacheFields count="18">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Income Bracket" numFmtId="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s" numFmtId="0">
      <sharedItems/>
    </cacheField>
    <cacheField name="Purchased Bike" numFmtId="0">
      <sharedItems/>
    </cacheField>
    <cacheField name="Buyer or not" numFmtId="0">
      <sharedItems containsSemiMixedTypes="0" containsString="0" containsNumber="1" containsInteger="1" minValue="0" maxValue="1"/>
    </cacheField>
    <cacheField name="Customer Count" numFmtId="0">
      <sharedItems containsSemiMixedTypes="0" containsString="0" containsNumber="1" containsInteger="1" minValue="1" maxValue="1"/>
    </cacheField>
    <cacheField name="Purchase Rate" numFmtId="0" formula="'Buyer or not'/'Customer Count'"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Thirukazhukundram Shakila Raja" refreshedDate="46026.855542476849" createdVersion="8" refreshedVersion="8" minRefreshableVersion="3" recordCount="1000" xr:uid="{3427FBB7-EB42-456C-A935-387BB9DB341F}">
  <cacheSource type="worksheet">
    <worksheetSource ref="A1:R1001" sheet="Working Sheet"/>
  </cacheSource>
  <cacheFields count="19">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Bracket" numFmtId="0">
      <sharedItems count="3">
        <s v="Low Income"/>
        <s v="Medium Income"/>
        <s v="High Income"/>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s" numFmtId="0">
      <sharedItems count="4">
        <s v="Middle-Aged"/>
        <s v="Seniors"/>
        <s v="Adults"/>
        <s v="Young Adults"/>
      </sharedItems>
    </cacheField>
    <cacheField name="Purchased Bike" numFmtId="0">
      <sharedItems count="2">
        <s v="No"/>
        <s v="Yes"/>
      </sharedItems>
    </cacheField>
    <cacheField name="Buyer or not" numFmtId="0">
      <sharedItems containsSemiMixedTypes="0" containsString="0" containsNumber="1" containsInteger="1" minValue="0" maxValue="1" count="2">
        <n v="0"/>
        <n v="1"/>
      </sharedItems>
    </cacheField>
    <cacheField name="Customer Count" numFmtId="0">
      <sharedItems containsSemiMixedTypes="0" containsString="0" containsNumber="1" containsInteger="1" minValue="1" maxValue="1"/>
    </cacheField>
    <cacheField name="Sales " numFmtId="165">
      <sharedItems containsSemiMixedTypes="0" containsString="0" containsNumber="1" containsInteger="1" minValue="0" maxValue="170000"/>
    </cacheField>
    <cacheField name="Purchased Rate" numFmtId="0" formula="'Buyer or not'/'Customer Count'" databaseField="0"/>
  </cacheFields>
  <extLst>
    <ext xmlns:x14="http://schemas.microsoft.com/office/spreadsheetml/2009/9/main" uri="{725AE2AE-9491-48be-B2B4-4EB974FC3084}">
      <x14:pivotCacheDefinition pivotCacheId="197376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x v="0"/>
    <n v="1"/>
    <x v="0"/>
    <s v="Skilled Manual"/>
    <s v="Yes"/>
    <n v="0"/>
    <s v="0-1 Miles"/>
    <x v="0"/>
    <n v="42"/>
    <x v="0"/>
    <s v="No"/>
    <n v="0"/>
  </r>
  <r>
    <n v="24107"/>
    <s v="Married"/>
    <s v="Male"/>
    <n v="30000"/>
    <x v="0"/>
    <n v="3"/>
    <x v="1"/>
    <s v="Clerical"/>
    <s v="Yes"/>
    <n v="1"/>
    <s v="0-1 Miles"/>
    <x v="0"/>
    <n v="43"/>
    <x v="0"/>
    <s v="No"/>
    <n v="0"/>
  </r>
  <r>
    <n v="14177"/>
    <s v="Married"/>
    <s v="Male"/>
    <n v="80000"/>
    <x v="1"/>
    <n v="5"/>
    <x v="1"/>
    <s v="Professional"/>
    <s v="No"/>
    <n v="2"/>
    <s v="2-5 Miles"/>
    <x v="0"/>
    <n v="60"/>
    <x v="1"/>
    <s v="No"/>
    <n v="0"/>
  </r>
  <r>
    <n v="24381"/>
    <s v="Single"/>
    <s v="Male"/>
    <n v="70000"/>
    <x v="1"/>
    <n v="0"/>
    <x v="0"/>
    <s v="Professional"/>
    <s v="Yes"/>
    <n v="1"/>
    <s v="5-10 Miles"/>
    <x v="1"/>
    <n v="41"/>
    <x v="0"/>
    <s v="Yes"/>
    <n v="1"/>
  </r>
  <r>
    <n v="25597"/>
    <s v="Single"/>
    <s v="Male"/>
    <n v="30000"/>
    <x v="0"/>
    <n v="0"/>
    <x v="0"/>
    <s v="Clerical"/>
    <s v="No"/>
    <n v="0"/>
    <s v="0-1 Miles"/>
    <x v="0"/>
    <n v="36"/>
    <x v="2"/>
    <s v="Yes"/>
    <n v="1"/>
  </r>
  <r>
    <n v="13507"/>
    <s v="Married"/>
    <s v="Female"/>
    <n v="10000"/>
    <x v="0"/>
    <n v="2"/>
    <x v="1"/>
    <s v="Manual"/>
    <s v="Yes"/>
    <n v="0"/>
    <s v="1-2 Miles"/>
    <x v="0"/>
    <n v="50"/>
    <x v="0"/>
    <s v="No"/>
    <n v="0"/>
  </r>
  <r>
    <n v="27974"/>
    <s v="Single"/>
    <s v="Male"/>
    <n v="160000"/>
    <x v="2"/>
    <n v="2"/>
    <x v="2"/>
    <s v="Management"/>
    <s v="Yes"/>
    <n v="4"/>
    <s v="0-1 Miles"/>
    <x v="1"/>
    <n v="33"/>
    <x v="2"/>
    <s v="Yes"/>
    <n v="1"/>
  </r>
  <r>
    <n v="19364"/>
    <s v="Married"/>
    <s v="Male"/>
    <n v="40000"/>
    <x v="0"/>
    <n v="1"/>
    <x v="0"/>
    <s v="Skilled Manual"/>
    <s v="Yes"/>
    <n v="0"/>
    <s v="0-1 Miles"/>
    <x v="0"/>
    <n v="43"/>
    <x v="0"/>
    <s v="Yes"/>
    <n v="1"/>
  </r>
  <r>
    <n v="22155"/>
    <s v="Married"/>
    <s v="Male"/>
    <n v="20000"/>
    <x v="0"/>
    <n v="2"/>
    <x v="3"/>
    <s v="Clerical"/>
    <s v="Yes"/>
    <n v="2"/>
    <s v="5-10 Miles"/>
    <x v="1"/>
    <n v="58"/>
    <x v="0"/>
    <s v="No"/>
    <n v="0"/>
  </r>
  <r>
    <n v="19280"/>
    <s v="Married"/>
    <s v="Male"/>
    <n v="120000"/>
    <x v="1"/>
    <n v="2"/>
    <x v="1"/>
    <s v="Manual"/>
    <s v="Yes"/>
    <n v="1"/>
    <s v="0-1 Miles"/>
    <x v="0"/>
    <n v="40"/>
    <x v="0"/>
    <s v="Yes"/>
    <n v="1"/>
  </r>
  <r>
    <n v="22173"/>
    <s v="Married"/>
    <s v="Female"/>
    <n v="30000"/>
    <x v="0"/>
    <n v="3"/>
    <x v="2"/>
    <s v="Skilled Manual"/>
    <s v="No"/>
    <n v="2"/>
    <s v="1-2 Miles"/>
    <x v="1"/>
    <n v="54"/>
    <x v="0"/>
    <s v="Yes"/>
    <n v="1"/>
  </r>
  <r>
    <n v="12697"/>
    <s v="Single"/>
    <s v="Female"/>
    <n v="90000"/>
    <x v="1"/>
    <n v="0"/>
    <x v="0"/>
    <s v="Professional"/>
    <s v="No"/>
    <n v="4"/>
    <s v="More than 10 Miles"/>
    <x v="1"/>
    <n v="36"/>
    <x v="2"/>
    <s v="No"/>
    <n v="0"/>
  </r>
  <r>
    <n v="11434"/>
    <s v="Married"/>
    <s v="Male"/>
    <n v="170000"/>
    <x v="2"/>
    <n v="5"/>
    <x v="1"/>
    <s v="Professional"/>
    <s v="Yes"/>
    <n v="0"/>
    <s v="0-1 Miles"/>
    <x v="0"/>
    <n v="55"/>
    <x v="0"/>
    <s v="No"/>
    <n v="0"/>
  </r>
  <r>
    <n v="25323"/>
    <s v="Married"/>
    <s v="Male"/>
    <n v="40000"/>
    <x v="0"/>
    <n v="2"/>
    <x v="1"/>
    <s v="Clerical"/>
    <s v="Yes"/>
    <n v="1"/>
    <s v="1-2 Miles"/>
    <x v="0"/>
    <n v="35"/>
    <x v="2"/>
    <s v="Yes"/>
    <n v="1"/>
  </r>
  <r>
    <n v="23542"/>
    <s v="Single"/>
    <s v="Male"/>
    <n v="60000"/>
    <x v="0"/>
    <n v="1"/>
    <x v="1"/>
    <s v="Skilled Manual"/>
    <s v="No"/>
    <n v="1"/>
    <s v="0-1 Miles"/>
    <x v="1"/>
    <n v="45"/>
    <x v="0"/>
    <s v="Yes"/>
    <n v="1"/>
  </r>
  <r>
    <n v="20870"/>
    <s v="Single"/>
    <s v="Female"/>
    <n v="10000"/>
    <x v="0"/>
    <n v="2"/>
    <x v="2"/>
    <s v="Manual"/>
    <s v="Yes"/>
    <n v="1"/>
    <s v="0-1 Miles"/>
    <x v="0"/>
    <n v="38"/>
    <x v="2"/>
    <s v="Yes"/>
    <n v="1"/>
  </r>
  <r>
    <n v="23316"/>
    <s v="Single"/>
    <s v="Male"/>
    <n v="30000"/>
    <x v="0"/>
    <n v="3"/>
    <x v="1"/>
    <s v="Clerical"/>
    <s v="No"/>
    <n v="2"/>
    <s v="1-2 Miles"/>
    <x v="1"/>
    <n v="59"/>
    <x v="0"/>
    <s v="Yes"/>
    <n v="1"/>
  </r>
  <r>
    <n v="12610"/>
    <s v="Married"/>
    <s v="Female"/>
    <n v="30000"/>
    <x v="0"/>
    <n v="1"/>
    <x v="0"/>
    <s v="Clerical"/>
    <s v="Yes"/>
    <n v="0"/>
    <s v="0-1 Miles"/>
    <x v="0"/>
    <n v="47"/>
    <x v="0"/>
    <s v="No"/>
    <n v="0"/>
  </r>
  <r>
    <n v="27183"/>
    <s v="Single"/>
    <s v="Male"/>
    <n v="40000"/>
    <x v="0"/>
    <n v="2"/>
    <x v="1"/>
    <s v="Clerical"/>
    <s v="Yes"/>
    <n v="1"/>
    <s v="1-2 Miles"/>
    <x v="0"/>
    <n v="35"/>
    <x v="2"/>
    <s v="Yes"/>
    <n v="1"/>
  </r>
  <r>
    <n v="25940"/>
    <s v="Single"/>
    <s v="Male"/>
    <n v="20000"/>
    <x v="0"/>
    <n v="2"/>
    <x v="3"/>
    <s v="Clerical"/>
    <s v="Yes"/>
    <n v="2"/>
    <s v="5-10 Miles"/>
    <x v="1"/>
    <n v="55"/>
    <x v="0"/>
    <s v="Yes"/>
    <n v="1"/>
  </r>
  <r>
    <n v="25598"/>
    <s v="Married"/>
    <s v="Female"/>
    <n v="40000"/>
    <x v="0"/>
    <n v="0"/>
    <x v="4"/>
    <s v="Clerical"/>
    <s v="Yes"/>
    <n v="0"/>
    <s v="0-1 Miles"/>
    <x v="0"/>
    <n v="36"/>
    <x v="2"/>
    <s v="Yes"/>
    <n v="1"/>
  </r>
  <r>
    <n v="21564"/>
    <s v="Single"/>
    <s v="Female"/>
    <n v="80000"/>
    <x v="1"/>
    <n v="0"/>
    <x v="0"/>
    <s v="Professional"/>
    <s v="Yes"/>
    <n v="4"/>
    <s v="More than 10 Miles"/>
    <x v="1"/>
    <n v="35"/>
    <x v="2"/>
    <s v="No"/>
    <n v="0"/>
  </r>
  <r>
    <n v="19193"/>
    <s v="Single"/>
    <s v="Male"/>
    <n v="40000"/>
    <x v="0"/>
    <n v="2"/>
    <x v="1"/>
    <s v="Clerical"/>
    <s v="Yes"/>
    <n v="0"/>
    <s v="1-2 Miles"/>
    <x v="0"/>
    <n v="35"/>
    <x v="2"/>
    <s v="Yes"/>
    <n v="1"/>
  </r>
  <r>
    <n v="26412"/>
    <s v="Married"/>
    <s v="Female"/>
    <n v="80000"/>
    <x v="1"/>
    <n v="5"/>
    <x v="2"/>
    <s v="Management"/>
    <s v="No"/>
    <n v="3"/>
    <s v="5-10 Miles"/>
    <x v="0"/>
    <n v="56"/>
    <x v="0"/>
    <s v="No"/>
    <n v="0"/>
  </r>
  <r>
    <n v="27184"/>
    <s v="Single"/>
    <s v="Male"/>
    <n v="40000"/>
    <x v="0"/>
    <n v="2"/>
    <x v="1"/>
    <s v="Clerical"/>
    <s v="No"/>
    <n v="1"/>
    <s v="0-1 Miles"/>
    <x v="0"/>
    <n v="34"/>
    <x v="2"/>
    <s v="No"/>
    <n v="0"/>
  </r>
  <r>
    <n v="12590"/>
    <s v="Single"/>
    <s v="Male"/>
    <n v="30000"/>
    <x v="0"/>
    <n v="1"/>
    <x v="0"/>
    <s v="Clerical"/>
    <s v="Yes"/>
    <n v="0"/>
    <s v="0-1 Miles"/>
    <x v="0"/>
    <n v="63"/>
    <x v="1"/>
    <s v="No"/>
    <n v="0"/>
  </r>
  <r>
    <n v="17841"/>
    <s v="Single"/>
    <s v="Male"/>
    <n v="30000"/>
    <x v="0"/>
    <n v="0"/>
    <x v="1"/>
    <s v="Clerical"/>
    <s v="No"/>
    <n v="1"/>
    <s v="0-1 Miles"/>
    <x v="0"/>
    <n v="29"/>
    <x v="3"/>
    <s v="Yes"/>
    <n v="1"/>
  </r>
  <r>
    <n v="18283"/>
    <s v="Single"/>
    <s v="Female"/>
    <n v="100000"/>
    <x v="1"/>
    <n v="0"/>
    <x v="0"/>
    <s v="Professional"/>
    <s v="No"/>
    <n v="1"/>
    <s v="5-10 Miles"/>
    <x v="1"/>
    <n v="40"/>
    <x v="0"/>
    <s v="No"/>
    <n v="0"/>
  </r>
  <r>
    <n v="18299"/>
    <s v="Married"/>
    <s v="Male"/>
    <n v="70000"/>
    <x v="1"/>
    <n v="5"/>
    <x v="1"/>
    <s v="Skilled Manual"/>
    <s v="Yes"/>
    <n v="2"/>
    <s v="5-10 Miles"/>
    <x v="1"/>
    <n v="44"/>
    <x v="0"/>
    <s v="No"/>
    <n v="0"/>
  </r>
  <r>
    <n v="16466"/>
    <s v="Single"/>
    <s v="Female"/>
    <n v="20000"/>
    <x v="0"/>
    <n v="0"/>
    <x v="3"/>
    <s v="Manual"/>
    <s v="No"/>
    <n v="2"/>
    <s v="0-1 Miles"/>
    <x v="0"/>
    <n v="32"/>
    <x v="2"/>
    <s v="Yes"/>
    <n v="1"/>
  </r>
  <r>
    <n v="19273"/>
    <s v="Married"/>
    <s v="Female"/>
    <n v="20000"/>
    <x v="0"/>
    <n v="2"/>
    <x v="1"/>
    <s v="Manual"/>
    <s v="Yes"/>
    <n v="0"/>
    <s v="0-1 Miles"/>
    <x v="0"/>
    <n v="63"/>
    <x v="1"/>
    <s v="No"/>
    <n v="0"/>
  </r>
  <r>
    <n v="22400"/>
    <s v="Married"/>
    <s v="Male"/>
    <n v="10000"/>
    <x v="0"/>
    <n v="0"/>
    <x v="1"/>
    <s v="Manual"/>
    <s v="No"/>
    <n v="1"/>
    <s v="0-1 Miles"/>
    <x v="1"/>
    <n v="26"/>
    <x v="3"/>
    <s v="Yes"/>
    <n v="1"/>
  </r>
  <r>
    <n v="20942"/>
    <s v="Single"/>
    <s v="Female"/>
    <n v="20000"/>
    <x v="0"/>
    <n v="0"/>
    <x v="2"/>
    <s v="Manual"/>
    <s v="No"/>
    <n v="1"/>
    <s v="5-10 Miles"/>
    <x v="0"/>
    <n v="31"/>
    <x v="2"/>
    <s v="No"/>
    <n v="0"/>
  </r>
  <r>
    <n v="18484"/>
    <s v="Single"/>
    <s v="Male"/>
    <n v="80000"/>
    <x v="1"/>
    <n v="2"/>
    <x v="2"/>
    <s v="Skilled Manual"/>
    <s v="No"/>
    <n v="2"/>
    <s v="1-2 Miles"/>
    <x v="1"/>
    <n v="50"/>
    <x v="0"/>
    <s v="Yes"/>
    <n v="1"/>
  </r>
  <r>
    <n v="12291"/>
    <s v="Single"/>
    <s v="Male"/>
    <n v="90000"/>
    <x v="1"/>
    <n v="5"/>
    <x v="1"/>
    <s v="Professional"/>
    <s v="No"/>
    <n v="2"/>
    <s v="2-5 Miles"/>
    <x v="0"/>
    <n v="62"/>
    <x v="1"/>
    <s v="Yes"/>
    <n v="1"/>
  </r>
  <r>
    <n v="28380"/>
    <s v="Single"/>
    <s v="Female"/>
    <n v="10000"/>
    <x v="0"/>
    <n v="5"/>
    <x v="3"/>
    <s v="Manual"/>
    <s v="No"/>
    <n v="2"/>
    <s v="0-1 Miles"/>
    <x v="0"/>
    <n v="41"/>
    <x v="0"/>
    <s v="No"/>
    <n v="0"/>
  </r>
  <r>
    <n v="17891"/>
    <s v="Married"/>
    <s v="Female"/>
    <n v="10000"/>
    <x v="0"/>
    <n v="2"/>
    <x v="1"/>
    <s v="Manual"/>
    <s v="Yes"/>
    <n v="1"/>
    <s v="0-1 Miles"/>
    <x v="0"/>
    <n v="50"/>
    <x v="0"/>
    <s v="Yes"/>
    <n v="1"/>
  </r>
  <r>
    <n v="27832"/>
    <s v="Single"/>
    <s v="Female"/>
    <n v="30000"/>
    <x v="0"/>
    <n v="0"/>
    <x v="1"/>
    <s v="Clerical"/>
    <s v="No"/>
    <n v="1"/>
    <s v="2-5 Miles"/>
    <x v="0"/>
    <n v="30"/>
    <x v="2"/>
    <s v="No"/>
    <n v="0"/>
  </r>
  <r>
    <n v="26863"/>
    <s v="Single"/>
    <s v="Male"/>
    <n v="20000"/>
    <x v="0"/>
    <n v="0"/>
    <x v="2"/>
    <s v="Manual"/>
    <s v="No"/>
    <n v="1"/>
    <s v="2-5 Miles"/>
    <x v="0"/>
    <n v="28"/>
    <x v="3"/>
    <s v="No"/>
    <n v="0"/>
  </r>
  <r>
    <n v="16259"/>
    <s v="Single"/>
    <s v="Female"/>
    <n v="10000"/>
    <x v="0"/>
    <n v="4"/>
    <x v="3"/>
    <s v="Manual"/>
    <s v="Yes"/>
    <n v="2"/>
    <s v="0-1 Miles"/>
    <x v="0"/>
    <n v="40"/>
    <x v="0"/>
    <s v="Yes"/>
    <n v="1"/>
  </r>
  <r>
    <n v="27803"/>
    <s v="Single"/>
    <s v="Female"/>
    <n v="30000"/>
    <x v="0"/>
    <n v="2"/>
    <x v="1"/>
    <s v="Clerical"/>
    <s v="No"/>
    <n v="0"/>
    <s v="0-1 Miles"/>
    <x v="0"/>
    <n v="43"/>
    <x v="0"/>
    <s v="No"/>
    <n v="0"/>
  </r>
  <r>
    <n v="14347"/>
    <s v="Single"/>
    <s v="Female"/>
    <n v="40000"/>
    <x v="0"/>
    <n v="2"/>
    <x v="0"/>
    <s v="Management"/>
    <s v="Yes"/>
    <n v="2"/>
    <s v="5-10 Miles"/>
    <x v="1"/>
    <n v="65"/>
    <x v="1"/>
    <s v="Yes"/>
    <n v="1"/>
  </r>
  <r>
    <n v="17703"/>
    <s v="Married"/>
    <s v="Female"/>
    <n v="10000"/>
    <x v="0"/>
    <n v="1"/>
    <x v="4"/>
    <s v="Manual"/>
    <s v="Yes"/>
    <n v="0"/>
    <s v="0-1 Miles"/>
    <x v="0"/>
    <n v="40"/>
    <x v="0"/>
    <s v="No"/>
    <n v="0"/>
  </r>
  <r>
    <n v="17185"/>
    <s v="Married"/>
    <s v="Female"/>
    <n v="170000"/>
    <x v="2"/>
    <n v="4"/>
    <x v="1"/>
    <s v="Professional"/>
    <s v="No"/>
    <n v="3"/>
    <s v="5-10 Miles"/>
    <x v="0"/>
    <n v="48"/>
    <x v="0"/>
    <s v="Yes"/>
    <n v="1"/>
  </r>
  <r>
    <n v="29380"/>
    <s v="Married"/>
    <s v="Female"/>
    <n v="20000"/>
    <x v="0"/>
    <n v="3"/>
    <x v="2"/>
    <s v="Manual"/>
    <s v="Yes"/>
    <n v="0"/>
    <s v="0-1 Miles"/>
    <x v="0"/>
    <n v="41"/>
    <x v="0"/>
    <s v="Yes"/>
    <n v="1"/>
  </r>
  <r>
    <n v="23986"/>
    <s v="Married"/>
    <s v="Female"/>
    <n v="20000"/>
    <x v="0"/>
    <n v="1"/>
    <x v="0"/>
    <s v="Clerical"/>
    <s v="Yes"/>
    <n v="0"/>
    <s v="0-1 Miles"/>
    <x v="0"/>
    <n v="66"/>
    <x v="1"/>
    <s v="Yes"/>
    <n v="1"/>
  </r>
  <r>
    <n v="24466"/>
    <s v="Married"/>
    <s v="Female"/>
    <n v="60000"/>
    <x v="0"/>
    <n v="1"/>
    <x v="1"/>
    <s v="Skilled Manual"/>
    <s v="Yes"/>
    <n v="1"/>
    <s v="5-10 Miles"/>
    <x v="1"/>
    <n v="46"/>
    <x v="0"/>
    <s v="Yes"/>
    <n v="1"/>
  </r>
  <r>
    <n v="29097"/>
    <s v="Single"/>
    <s v="Female"/>
    <n v="40000"/>
    <x v="0"/>
    <n v="2"/>
    <x v="1"/>
    <s v="Skilled Manual"/>
    <s v="Yes"/>
    <n v="2"/>
    <s v="5-10 Miles"/>
    <x v="1"/>
    <n v="52"/>
    <x v="0"/>
    <s v="Yes"/>
    <n v="1"/>
  </r>
  <r>
    <n v="19487"/>
    <s v="Married"/>
    <s v="Male"/>
    <n v="30000"/>
    <x v="0"/>
    <n v="2"/>
    <x v="1"/>
    <s v="Clerical"/>
    <s v="No"/>
    <n v="2"/>
    <s v="0-1 Miles"/>
    <x v="0"/>
    <n v="42"/>
    <x v="0"/>
    <s v="No"/>
    <n v="0"/>
  </r>
  <r>
    <n v="14939"/>
    <s v="Single"/>
    <s v="Male"/>
    <n v="40000"/>
    <x v="0"/>
    <n v="0"/>
    <x v="0"/>
    <s v="Clerical"/>
    <s v="Yes"/>
    <n v="0"/>
    <s v="0-1 Miles"/>
    <x v="0"/>
    <n v="39"/>
    <x v="2"/>
    <s v="Yes"/>
    <n v="1"/>
  </r>
  <r>
    <n v="13826"/>
    <s v="Single"/>
    <s v="Female"/>
    <n v="30000"/>
    <x v="0"/>
    <n v="0"/>
    <x v="1"/>
    <s v="Clerical"/>
    <s v="No"/>
    <n v="1"/>
    <s v="0-1 Miles"/>
    <x v="0"/>
    <n v="28"/>
    <x v="3"/>
    <s v="No"/>
    <n v="0"/>
  </r>
  <r>
    <n v="20619"/>
    <s v="Single"/>
    <s v="Male"/>
    <n v="80000"/>
    <x v="1"/>
    <n v="0"/>
    <x v="0"/>
    <s v="Professional"/>
    <s v="No"/>
    <n v="4"/>
    <s v="More than 10 Miles"/>
    <x v="1"/>
    <n v="35"/>
    <x v="2"/>
    <s v="No"/>
    <n v="0"/>
  </r>
  <r>
    <n v="12558"/>
    <s v="Married"/>
    <s v="Female"/>
    <n v="20000"/>
    <x v="0"/>
    <n v="1"/>
    <x v="0"/>
    <s v="Clerical"/>
    <s v="Yes"/>
    <n v="0"/>
    <s v="0-1 Miles"/>
    <x v="0"/>
    <n v="65"/>
    <x v="1"/>
    <s v="No"/>
    <n v="0"/>
  </r>
  <r>
    <n v="24871"/>
    <s v="Single"/>
    <s v="Female"/>
    <n v="90000"/>
    <x v="1"/>
    <n v="4"/>
    <x v="2"/>
    <s v="Management"/>
    <s v="No"/>
    <n v="3"/>
    <s v="5-10 Miles"/>
    <x v="0"/>
    <n v="56"/>
    <x v="0"/>
    <s v="No"/>
    <n v="0"/>
  </r>
  <r>
    <n v="17319"/>
    <s v="Single"/>
    <s v="Female"/>
    <n v="70000"/>
    <x v="1"/>
    <n v="0"/>
    <x v="0"/>
    <s v="Professional"/>
    <s v="No"/>
    <n v="1"/>
    <s v="5-10 Miles"/>
    <x v="1"/>
    <n v="42"/>
    <x v="0"/>
    <s v="No"/>
    <n v="0"/>
  </r>
  <r>
    <n v="28906"/>
    <s v="Married"/>
    <s v="Male"/>
    <n v="80000"/>
    <x v="1"/>
    <n v="4"/>
    <x v="2"/>
    <s v="Professional"/>
    <s v="Yes"/>
    <n v="2"/>
    <s v="More than 10 Miles"/>
    <x v="0"/>
    <n v="54"/>
    <x v="0"/>
    <s v="No"/>
    <n v="0"/>
  </r>
  <r>
    <n v="12808"/>
    <s v="Married"/>
    <s v="Male"/>
    <n v="40000"/>
    <x v="0"/>
    <n v="0"/>
    <x v="0"/>
    <s v="Clerical"/>
    <s v="Yes"/>
    <n v="0"/>
    <s v="0-1 Miles"/>
    <x v="0"/>
    <n v="38"/>
    <x v="2"/>
    <s v="Yes"/>
    <n v="1"/>
  </r>
  <r>
    <n v="20567"/>
    <s v="Married"/>
    <s v="Male"/>
    <n v="130000"/>
    <x v="2"/>
    <n v="4"/>
    <x v="1"/>
    <s v="Professional"/>
    <s v="No"/>
    <n v="4"/>
    <s v="5-10 Miles"/>
    <x v="0"/>
    <n v="61"/>
    <x v="1"/>
    <s v="Yes"/>
    <n v="1"/>
  </r>
  <r>
    <n v="25502"/>
    <s v="Married"/>
    <s v="Female"/>
    <n v="40000"/>
    <x v="0"/>
    <n v="1"/>
    <x v="0"/>
    <s v="Skilled Manual"/>
    <s v="Yes"/>
    <n v="0"/>
    <s v="0-1 Miles"/>
    <x v="0"/>
    <n v="43"/>
    <x v="0"/>
    <s v="Yes"/>
    <n v="1"/>
  </r>
  <r>
    <n v="15580"/>
    <s v="Married"/>
    <s v="Male"/>
    <n v="60000"/>
    <x v="0"/>
    <n v="2"/>
    <x v="0"/>
    <s v="Professional"/>
    <s v="Yes"/>
    <n v="1"/>
    <s v="2-5 Miles"/>
    <x v="1"/>
    <n v="38"/>
    <x v="2"/>
    <s v="Yes"/>
    <n v="1"/>
  </r>
  <r>
    <n v="24185"/>
    <s v="Single"/>
    <s v="Female"/>
    <n v="10000"/>
    <x v="0"/>
    <n v="1"/>
    <x v="2"/>
    <s v="Manual"/>
    <s v="No"/>
    <n v="1"/>
    <s v="1-2 Miles"/>
    <x v="0"/>
    <n v="45"/>
    <x v="0"/>
    <s v="No"/>
    <n v="0"/>
  </r>
  <r>
    <n v="19291"/>
    <s v="Single"/>
    <s v="Female"/>
    <n v="10000"/>
    <x v="0"/>
    <n v="2"/>
    <x v="2"/>
    <s v="Manual"/>
    <s v="Yes"/>
    <n v="0"/>
    <s v="0-1 Miles"/>
    <x v="0"/>
    <n v="35"/>
    <x v="2"/>
    <s v="No"/>
    <n v="0"/>
  </r>
  <r>
    <n v="16713"/>
    <s v="Married"/>
    <s v="Male"/>
    <n v="40000"/>
    <x v="0"/>
    <n v="2"/>
    <x v="0"/>
    <s v="Management"/>
    <s v="Yes"/>
    <n v="1"/>
    <s v="0-1 Miles"/>
    <x v="1"/>
    <n v="52"/>
    <x v="0"/>
    <s v="Yes"/>
    <n v="1"/>
  </r>
  <r>
    <n v="16185"/>
    <s v="Single"/>
    <s v="Male"/>
    <n v="60000"/>
    <x v="0"/>
    <n v="4"/>
    <x v="0"/>
    <s v="Professional"/>
    <s v="Yes"/>
    <n v="3"/>
    <s v="More than 10 Miles"/>
    <x v="1"/>
    <n v="41"/>
    <x v="0"/>
    <s v="No"/>
    <n v="0"/>
  </r>
  <r>
    <n v="14927"/>
    <s v="Married"/>
    <s v="Female"/>
    <n v="30000"/>
    <x v="0"/>
    <n v="1"/>
    <x v="0"/>
    <s v="Clerical"/>
    <s v="Yes"/>
    <n v="0"/>
    <s v="0-1 Miles"/>
    <x v="0"/>
    <n v="37"/>
    <x v="2"/>
    <s v="Yes"/>
    <n v="1"/>
  </r>
  <r>
    <n v="29337"/>
    <s v="Single"/>
    <s v="Male"/>
    <n v="30000"/>
    <x v="0"/>
    <n v="2"/>
    <x v="1"/>
    <s v="Clerical"/>
    <s v="Yes"/>
    <n v="2"/>
    <s v="5-10 Miles"/>
    <x v="1"/>
    <n v="68"/>
    <x v="1"/>
    <s v="No"/>
    <n v="0"/>
  </r>
  <r>
    <n v="29355"/>
    <s v="Married"/>
    <s v="Female"/>
    <n v="40000"/>
    <x v="0"/>
    <n v="0"/>
    <x v="4"/>
    <s v="Clerical"/>
    <s v="Yes"/>
    <n v="0"/>
    <s v="0-1 Miles"/>
    <x v="0"/>
    <n v="37"/>
    <x v="2"/>
    <s v="Yes"/>
    <n v="1"/>
  </r>
  <r>
    <n v="25303"/>
    <s v="Single"/>
    <s v="Male"/>
    <n v="30000"/>
    <x v="0"/>
    <n v="0"/>
    <x v="2"/>
    <s v="Manual"/>
    <s v="Yes"/>
    <n v="1"/>
    <s v="2-5 Miles"/>
    <x v="0"/>
    <n v="33"/>
    <x v="2"/>
    <s v="Yes"/>
    <n v="1"/>
  </r>
  <r>
    <n v="14813"/>
    <s v="Single"/>
    <s v="Female"/>
    <n v="20000"/>
    <x v="0"/>
    <n v="4"/>
    <x v="2"/>
    <s v="Manual"/>
    <s v="Yes"/>
    <n v="1"/>
    <s v="0-1 Miles"/>
    <x v="0"/>
    <n v="43"/>
    <x v="0"/>
    <s v="Yes"/>
    <n v="1"/>
  </r>
  <r>
    <n v="16438"/>
    <s v="Married"/>
    <s v="Female"/>
    <n v="10000"/>
    <x v="0"/>
    <n v="0"/>
    <x v="3"/>
    <s v="Manual"/>
    <s v="No"/>
    <n v="2"/>
    <s v="0-1 Miles"/>
    <x v="0"/>
    <n v="30"/>
    <x v="2"/>
    <s v="No"/>
    <n v="0"/>
  </r>
  <r>
    <n v="14238"/>
    <s v="Married"/>
    <s v="Male"/>
    <n v="120000"/>
    <x v="1"/>
    <n v="0"/>
    <x v="3"/>
    <s v="Professional"/>
    <s v="Yes"/>
    <n v="4"/>
    <s v="More than 10 Miles"/>
    <x v="1"/>
    <n v="36"/>
    <x v="2"/>
    <s v="Yes"/>
    <n v="1"/>
  </r>
  <r>
    <n v="16200"/>
    <s v="Single"/>
    <s v="Female"/>
    <n v="10000"/>
    <x v="0"/>
    <n v="0"/>
    <x v="3"/>
    <s v="Manual"/>
    <s v="No"/>
    <n v="2"/>
    <s v="0-1 Miles"/>
    <x v="0"/>
    <n v="35"/>
    <x v="2"/>
    <s v="No"/>
    <n v="0"/>
  </r>
  <r>
    <n v="24857"/>
    <s v="Married"/>
    <s v="Female"/>
    <n v="130000"/>
    <x v="2"/>
    <n v="3"/>
    <x v="2"/>
    <s v="Professional"/>
    <s v="Yes"/>
    <n v="4"/>
    <s v="0-1 Miles"/>
    <x v="0"/>
    <n v="52"/>
    <x v="0"/>
    <s v="No"/>
    <n v="0"/>
  </r>
  <r>
    <n v="26956"/>
    <s v="Single"/>
    <s v="Female"/>
    <n v="20000"/>
    <x v="0"/>
    <n v="0"/>
    <x v="1"/>
    <s v="Manual"/>
    <s v="No"/>
    <n v="1"/>
    <s v="2-5 Miles"/>
    <x v="0"/>
    <n v="36"/>
    <x v="2"/>
    <s v="Yes"/>
    <n v="1"/>
  </r>
  <r>
    <n v="14517"/>
    <s v="Married"/>
    <s v="Female"/>
    <n v="20000"/>
    <x v="0"/>
    <n v="3"/>
    <x v="2"/>
    <s v="Skilled Manual"/>
    <s v="No"/>
    <n v="2"/>
    <s v="1-2 Miles"/>
    <x v="1"/>
    <n v="62"/>
    <x v="1"/>
    <s v="No"/>
    <n v="0"/>
  </r>
  <r>
    <n v="12678"/>
    <s v="Single"/>
    <s v="Female"/>
    <n v="130000"/>
    <x v="2"/>
    <n v="4"/>
    <x v="2"/>
    <s v="Management"/>
    <s v="Yes"/>
    <n v="4"/>
    <s v="0-1 Miles"/>
    <x v="1"/>
    <n v="31"/>
    <x v="2"/>
    <s v="No"/>
    <n v="0"/>
  </r>
  <r>
    <n v="16188"/>
    <s v="Single"/>
    <s v="Female"/>
    <n v="20000"/>
    <x v="0"/>
    <n v="0"/>
    <x v="3"/>
    <s v="Manual"/>
    <s v="No"/>
    <n v="2"/>
    <s v="1-2 Miles"/>
    <x v="0"/>
    <n v="26"/>
    <x v="3"/>
    <s v="No"/>
    <n v="0"/>
  </r>
  <r>
    <n v="27969"/>
    <s v="Married"/>
    <s v="Male"/>
    <n v="80000"/>
    <x v="1"/>
    <n v="0"/>
    <x v="0"/>
    <s v="Professional"/>
    <s v="Yes"/>
    <n v="2"/>
    <s v="More than 10 Miles"/>
    <x v="1"/>
    <n v="29"/>
    <x v="3"/>
    <s v="Yes"/>
    <n v="1"/>
  </r>
  <r>
    <n v="15752"/>
    <s v="Married"/>
    <s v="Male"/>
    <n v="80000"/>
    <x v="1"/>
    <n v="2"/>
    <x v="2"/>
    <s v="Skilled Manual"/>
    <s v="No"/>
    <n v="2"/>
    <s v="1-2 Miles"/>
    <x v="1"/>
    <n v="50"/>
    <x v="0"/>
    <s v="Yes"/>
    <n v="1"/>
  </r>
  <r>
    <n v="27745"/>
    <s v="Single"/>
    <s v="Male"/>
    <n v="40000"/>
    <x v="0"/>
    <n v="2"/>
    <x v="0"/>
    <s v="Management"/>
    <s v="Yes"/>
    <n v="2"/>
    <s v="5-10 Miles"/>
    <x v="1"/>
    <n v="63"/>
    <x v="1"/>
    <s v="Yes"/>
    <n v="1"/>
  </r>
  <r>
    <n v="20828"/>
    <s v="Married"/>
    <s v="Female"/>
    <n v="30000"/>
    <x v="0"/>
    <n v="4"/>
    <x v="4"/>
    <s v="Clerical"/>
    <s v="Yes"/>
    <n v="0"/>
    <s v="0-1 Miles"/>
    <x v="0"/>
    <n v="45"/>
    <x v="0"/>
    <s v="Yes"/>
    <n v="1"/>
  </r>
  <r>
    <n v="19461"/>
    <s v="Single"/>
    <s v="Female"/>
    <n v="10000"/>
    <x v="0"/>
    <n v="4"/>
    <x v="3"/>
    <s v="Manual"/>
    <s v="Yes"/>
    <n v="2"/>
    <s v="0-1 Miles"/>
    <x v="0"/>
    <n v="40"/>
    <x v="0"/>
    <s v="No"/>
    <n v="0"/>
  </r>
  <r>
    <n v="26941"/>
    <s v="Married"/>
    <s v="Male"/>
    <n v="30000"/>
    <x v="0"/>
    <n v="0"/>
    <x v="0"/>
    <s v="Clerical"/>
    <s v="Yes"/>
    <n v="0"/>
    <s v="0-1 Miles"/>
    <x v="0"/>
    <n v="47"/>
    <x v="0"/>
    <s v="Yes"/>
    <n v="1"/>
  </r>
  <r>
    <n v="28412"/>
    <s v="Single"/>
    <s v="Male"/>
    <n v="20000"/>
    <x v="0"/>
    <n v="0"/>
    <x v="2"/>
    <s v="Manual"/>
    <s v="No"/>
    <n v="1"/>
    <s v="2-5 Miles"/>
    <x v="0"/>
    <n v="29"/>
    <x v="3"/>
    <s v="No"/>
    <n v="0"/>
  </r>
  <r>
    <n v="24485"/>
    <s v="Single"/>
    <s v="Male"/>
    <n v="40000"/>
    <x v="0"/>
    <n v="2"/>
    <x v="0"/>
    <s v="Management"/>
    <s v="No"/>
    <n v="1"/>
    <s v="5-10 Miles"/>
    <x v="1"/>
    <n v="52"/>
    <x v="0"/>
    <s v="Yes"/>
    <n v="1"/>
  </r>
  <r>
    <n v="16514"/>
    <s v="Single"/>
    <s v="Male"/>
    <n v="10000"/>
    <x v="0"/>
    <n v="0"/>
    <x v="1"/>
    <s v="Manual"/>
    <s v="Yes"/>
    <n v="1"/>
    <s v="1-2 Miles"/>
    <x v="1"/>
    <n v="26"/>
    <x v="3"/>
    <s v="Yes"/>
    <n v="1"/>
  </r>
  <r>
    <n v="17191"/>
    <s v="Single"/>
    <s v="Male"/>
    <n v="130000"/>
    <x v="2"/>
    <n v="3"/>
    <x v="1"/>
    <s v="Professional"/>
    <s v="No"/>
    <n v="3"/>
    <s v="0-1 Miles"/>
    <x v="0"/>
    <n v="51"/>
    <x v="0"/>
    <s v="Yes"/>
    <n v="1"/>
  </r>
  <r>
    <n v="19608"/>
    <s v="Married"/>
    <s v="Male"/>
    <n v="80000"/>
    <x v="1"/>
    <n v="5"/>
    <x v="0"/>
    <s v="Professional"/>
    <s v="Yes"/>
    <n v="4"/>
    <s v="1-2 Miles"/>
    <x v="1"/>
    <n v="40"/>
    <x v="0"/>
    <s v="No"/>
    <n v="0"/>
  </r>
  <r>
    <n v="24119"/>
    <s v="Single"/>
    <s v="Male"/>
    <n v="30000"/>
    <x v="0"/>
    <n v="0"/>
    <x v="1"/>
    <s v="Clerical"/>
    <s v="No"/>
    <n v="1"/>
    <s v="2-5 Miles"/>
    <x v="0"/>
    <n v="29"/>
    <x v="3"/>
    <s v="No"/>
    <n v="0"/>
  </r>
  <r>
    <n v="25458"/>
    <s v="Married"/>
    <s v="Male"/>
    <n v="20000"/>
    <x v="0"/>
    <n v="1"/>
    <x v="2"/>
    <s v="Manual"/>
    <s v="No"/>
    <n v="1"/>
    <s v="1-2 Miles"/>
    <x v="0"/>
    <n v="40"/>
    <x v="0"/>
    <s v="Yes"/>
    <n v="1"/>
  </r>
  <r>
    <n v="26886"/>
    <s v="Single"/>
    <s v="Female"/>
    <n v="30000"/>
    <x v="0"/>
    <n v="0"/>
    <x v="1"/>
    <s v="Clerical"/>
    <s v="No"/>
    <n v="1"/>
    <s v="0-1 Miles"/>
    <x v="0"/>
    <n v="29"/>
    <x v="3"/>
    <s v="Yes"/>
    <n v="1"/>
  </r>
  <r>
    <n v="28436"/>
    <s v="Single"/>
    <s v="Male"/>
    <n v="30000"/>
    <x v="0"/>
    <n v="0"/>
    <x v="1"/>
    <s v="Clerical"/>
    <s v="No"/>
    <n v="1"/>
    <s v="0-1 Miles"/>
    <x v="0"/>
    <n v="30"/>
    <x v="2"/>
    <s v="Yes"/>
    <n v="1"/>
  </r>
  <r>
    <n v="19562"/>
    <s v="Single"/>
    <s v="Female"/>
    <n v="60000"/>
    <x v="0"/>
    <n v="2"/>
    <x v="0"/>
    <s v="Professional"/>
    <s v="Yes"/>
    <n v="1"/>
    <s v="2-5 Miles"/>
    <x v="1"/>
    <n v="37"/>
    <x v="2"/>
    <s v="Yes"/>
    <n v="1"/>
  </r>
  <r>
    <n v="15608"/>
    <s v="Single"/>
    <s v="Female"/>
    <n v="30000"/>
    <x v="0"/>
    <n v="0"/>
    <x v="1"/>
    <s v="Clerical"/>
    <s v="No"/>
    <n v="1"/>
    <s v="2-5 Miles"/>
    <x v="0"/>
    <n v="33"/>
    <x v="2"/>
    <s v="No"/>
    <n v="0"/>
  </r>
  <r>
    <n v="16487"/>
    <s v="Single"/>
    <s v="Female"/>
    <n v="30000"/>
    <x v="0"/>
    <n v="3"/>
    <x v="2"/>
    <s v="Skilled Manual"/>
    <s v="Yes"/>
    <n v="2"/>
    <s v="5-10 Miles"/>
    <x v="1"/>
    <n v="55"/>
    <x v="0"/>
    <s v="No"/>
    <n v="0"/>
  </r>
  <r>
    <n v="17197"/>
    <s v="Single"/>
    <s v="Female"/>
    <n v="90000"/>
    <x v="1"/>
    <n v="5"/>
    <x v="1"/>
    <s v="Professional"/>
    <s v="Yes"/>
    <n v="2"/>
    <s v="More than 10 Miles"/>
    <x v="0"/>
    <n v="62"/>
    <x v="1"/>
    <s v="No"/>
    <n v="0"/>
  </r>
  <r>
    <n v="12507"/>
    <s v="Married"/>
    <s v="Male"/>
    <n v="30000"/>
    <x v="0"/>
    <n v="1"/>
    <x v="1"/>
    <s v="Clerical"/>
    <s v="Yes"/>
    <n v="1"/>
    <s v="0-1 Miles"/>
    <x v="0"/>
    <n v="43"/>
    <x v="0"/>
    <s v="No"/>
    <n v="0"/>
  </r>
  <r>
    <n v="23940"/>
    <s v="Married"/>
    <s v="Male"/>
    <n v="40000"/>
    <x v="0"/>
    <n v="1"/>
    <x v="0"/>
    <s v="Skilled Manual"/>
    <s v="Yes"/>
    <n v="1"/>
    <s v="0-1 Miles"/>
    <x v="0"/>
    <n v="44"/>
    <x v="0"/>
    <s v="Yes"/>
    <n v="1"/>
  </r>
  <r>
    <n v="19441"/>
    <s v="Married"/>
    <s v="Male"/>
    <n v="40000"/>
    <x v="0"/>
    <n v="0"/>
    <x v="4"/>
    <s v="Clerical"/>
    <s v="Yes"/>
    <n v="0"/>
    <s v="0-1 Miles"/>
    <x v="0"/>
    <n v="25"/>
    <x v="3"/>
    <s v="Yes"/>
    <n v="1"/>
  </r>
  <r>
    <n v="26852"/>
    <s v="Married"/>
    <s v="Female"/>
    <n v="20000"/>
    <x v="0"/>
    <n v="3"/>
    <x v="2"/>
    <s v="Manual"/>
    <s v="Yes"/>
    <n v="2"/>
    <s v="0-1 Miles"/>
    <x v="0"/>
    <n v="43"/>
    <x v="0"/>
    <s v="No"/>
    <n v="0"/>
  </r>
  <r>
    <n v="12274"/>
    <s v="Single"/>
    <s v="Male"/>
    <n v="10000"/>
    <x v="0"/>
    <n v="2"/>
    <x v="2"/>
    <s v="Manual"/>
    <s v="Yes"/>
    <n v="0"/>
    <s v="0-1 Miles"/>
    <x v="0"/>
    <n v="35"/>
    <x v="2"/>
    <s v="No"/>
    <n v="0"/>
  </r>
  <r>
    <n v="20236"/>
    <s v="Single"/>
    <s v="Male"/>
    <n v="60000"/>
    <x v="0"/>
    <n v="3"/>
    <x v="0"/>
    <s v="Professional"/>
    <s v="No"/>
    <n v="2"/>
    <s v="0-1 Miles"/>
    <x v="1"/>
    <n v="43"/>
    <x v="0"/>
    <s v="Yes"/>
    <n v="1"/>
  </r>
  <r>
    <n v="24149"/>
    <s v="Married"/>
    <s v="Male"/>
    <n v="10000"/>
    <x v="0"/>
    <n v="2"/>
    <x v="1"/>
    <s v="Manual"/>
    <s v="Yes"/>
    <n v="0"/>
    <s v="1-2 Miles"/>
    <x v="0"/>
    <n v="49"/>
    <x v="0"/>
    <s v="No"/>
    <n v="0"/>
  </r>
  <r>
    <n v="26139"/>
    <s v="Single"/>
    <s v="Male"/>
    <n v="60000"/>
    <x v="0"/>
    <n v="1"/>
    <x v="1"/>
    <s v="Skilled Manual"/>
    <s v="Yes"/>
    <n v="1"/>
    <s v="5-10 Miles"/>
    <x v="1"/>
    <n v="45"/>
    <x v="0"/>
    <s v="No"/>
    <n v="0"/>
  </r>
  <r>
    <n v="18491"/>
    <s v="Single"/>
    <s v="Female"/>
    <n v="70000"/>
    <x v="1"/>
    <n v="2"/>
    <x v="2"/>
    <s v="Professional"/>
    <s v="Yes"/>
    <n v="2"/>
    <s v="5-10 Miles"/>
    <x v="1"/>
    <n v="49"/>
    <x v="0"/>
    <s v="Yes"/>
    <n v="1"/>
  </r>
  <r>
    <n v="22707"/>
    <s v="Single"/>
    <s v="Female"/>
    <n v="30000"/>
    <x v="0"/>
    <n v="0"/>
    <x v="1"/>
    <s v="Clerical"/>
    <s v="No"/>
    <n v="1"/>
    <s v="2-5 Miles"/>
    <x v="0"/>
    <n v="30"/>
    <x v="2"/>
    <s v="No"/>
    <n v="0"/>
  </r>
  <r>
    <n v="20430"/>
    <s v="Married"/>
    <s v="Male"/>
    <n v="70000"/>
    <x v="1"/>
    <n v="2"/>
    <x v="1"/>
    <s v="Skilled Manual"/>
    <s v="Yes"/>
    <n v="2"/>
    <s v="5-10 Miles"/>
    <x v="1"/>
    <n v="52"/>
    <x v="0"/>
    <s v="Yes"/>
    <n v="1"/>
  </r>
  <r>
    <n v="27494"/>
    <s v="Single"/>
    <s v="Female"/>
    <n v="40000"/>
    <x v="0"/>
    <n v="2"/>
    <x v="1"/>
    <s v="Skilled Manual"/>
    <s v="No"/>
    <n v="2"/>
    <s v="1-2 Miles"/>
    <x v="1"/>
    <n v="53"/>
    <x v="0"/>
    <s v="Yes"/>
    <n v="1"/>
  </r>
  <r>
    <n v="26829"/>
    <s v="Married"/>
    <s v="Female"/>
    <n v="40000"/>
    <x v="0"/>
    <n v="0"/>
    <x v="0"/>
    <s v="Clerical"/>
    <s v="Yes"/>
    <n v="0"/>
    <s v="0-1 Miles"/>
    <x v="0"/>
    <n v="38"/>
    <x v="2"/>
    <s v="Yes"/>
    <n v="1"/>
  </r>
  <r>
    <n v="28395"/>
    <s v="Single"/>
    <s v="Male"/>
    <n v="40000"/>
    <x v="0"/>
    <n v="0"/>
    <x v="0"/>
    <s v="Professional"/>
    <s v="No"/>
    <n v="0"/>
    <s v="0-1 Miles"/>
    <x v="0"/>
    <n v="39"/>
    <x v="2"/>
    <s v="Yes"/>
    <n v="1"/>
  </r>
  <r>
    <n v="21006"/>
    <s v="Single"/>
    <s v="Female"/>
    <n v="30000"/>
    <x v="0"/>
    <n v="1"/>
    <x v="1"/>
    <s v="Manual"/>
    <s v="No"/>
    <n v="0"/>
    <s v="0-1 Miles"/>
    <x v="0"/>
    <n v="46"/>
    <x v="0"/>
    <s v="Yes"/>
    <n v="1"/>
  </r>
  <r>
    <n v="14682"/>
    <s v="Single"/>
    <s v="Female"/>
    <n v="70000"/>
    <x v="1"/>
    <n v="0"/>
    <x v="0"/>
    <s v="Professional"/>
    <s v="No"/>
    <n v="1"/>
    <s v="5-10 Miles"/>
    <x v="1"/>
    <n v="38"/>
    <x v="2"/>
    <s v="No"/>
    <n v="0"/>
  </r>
  <r>
    <n v="17650"/>
    <s v="Single"/>
    <s v="Female"/>
    <n v="40000"/>
    <x v="0"/>
    <n v="2"/>
    <x v="1"/>
    <s v="Clerical"/>
    <s v="Yes"/>
    <n v="2"/>
    <s v="1-2 Miles"/>
    <x v="0"/>
    <n v="35"/>
    <x v="2"/>
    <s v="No"/>
    <n v="0"/>
  </r>
  <r>
    <n v="29191"/>
    <s v="Single"/>
    <s v="Female"/>
    <n v="130000"/>
    <x v="2"/>
    <n v="1"/>
    <x v="4"/>
    <s v="Management"/>
    <s v="No"/>
    <n v="1"/>
    <s v="0-1 Miles"/>
    <x v="1"/>
    <n v="36"/>
    <x v="2"/>
    <s v="Yes"/>
    <n v="1"/>
  </r>
  <r>
    <n v="15030"/>
    <s v="Married"/>
    <s v="Male"/>
    <n v="20000"/>
    <x v="0"/>
    <n v="0"/>
    <x v="0"/>
    <s v="Clerical"/>
    <s v="Yes"/>
    <n v="0"/>
    <s v="0-1 Miles"/>
    <x v="1"/>
    <n v="26"/>
    <x v="3"/>
    <s v="Yes"/>
    <n v="1"/>
  </r>
  <r>
    <n v="24140"/>
    <s v="Single"/>
    <s v="Male"/>
    <n v="10000"/>
    <x v="0"/>
    <n v="0"/>
    <x v="4"/>
    <s v="Manual"/>
    <s v="No"/>
    <n v="0"/>
    <s v="0-1 Miles"/>
    <x v="0"/>
    <n v="30"/>
    <x v="2"/>
    <s v="Yes"/>
    <n v="1"/>
  </r>
  <r>
    <n v="22496"/>
    <s v="Married"/>
    <s v="Female"/>
    <n v="30000"/>
    <x v="0"/>
    <n v="1"/>
    <x v="0"/>
    <s v="Skilled Manual"/>
    <s v="Yes"/>
    <n v="2"/>
    <s v="0-1 Miles"/>
    <x v="0"/>
    <n v="42"/>
    <x v="0"/>
    <s v="No"/>
    <n v="0"/>
  </r>
  <r>
    <n v="24065"/>
    <s v="Single"/>
    <s v="Female"/>
    <n v="20000"/>
    <x v="0"/>
    <n v="0"/>
    <x v="2"/>
    <s v="Manual"/>
    <s v="Yes"/>
    <n v="0"/>
    <s v="0-1 Miles"/>
    <x v="0"/>
    <n v="40"/>
    <x v="0"/>
    <s v="Yes"/>
    <n v="1"/>
  </r>
  <r>
    <n v="19914"/>
    <s v="Married"/>
    <s v="Male"/>
    <n v="80000"/>
    <x v="1"/>
    <n v="5"/>
    <x v="0"/>
    <s v="Management"/>
    <s v="Yes"/>
    <n v="2"/>
    <s v="2-5 Miles"/>
    <x v="0"/>
    <n v="62"/>
    <x v="1"/>
    <s v="No"/>
    <n v="0"/>
  </r>
  <r>
    <n v="12871"/>
    <s v="Single"/>
    <s v="Female"/>
    <n v="30000"/>
    <x v="0"/>
    <n v="0"/>
    <x v="1"/>
    <s v="Clerical"/>
    <s v="No"/>
    <n v="1"/>
    <s v="2-5 Miles"/>
    <x v="0"/>
    <n v="29"/>
    <x v="3"/>
    <s v="No"/>
    <n v="0"/>
  </r>
  <r>
    <n v="22988"/>
    <s v="Married"/>
    <s v="Female"/>
    <n v="40000"/>
    <x v="0"/>
    <n v="2"/>
    <x v="0"/>
    <s v="Management"/>
    <s v="Yes"/>
    <n v="2"/>
    <s v="5-10 Miles"/>
    <x v="1"/>
    <n v="66"/>
    <x v="1"/>
    <s v="Yes"/>
    <n v="1"/>
  </r>
  <r>
    <n v="15922"/>
    <s v="Married"/>
    <s v="Male"/>
    <n v="150000"/>
    <x v="2"/>
    <n v="2"/>
    <x v="2"/>
    <s v="Professional"/>
    <s v="Yes"/>
    <n v="4"/>
    <s v="0-1 Miles"/>
    <x v="0"/>
    <n v="48"/>
    <x v="0"/>
    <s v="No"/>
    <n v="0"/>
  </r>
  <r>
    <n v="12344"/>
    <s v="Single"/>
    <s v="Female"/>
    <n v="80000"/>
    <x v="1"/>
    <n v="0"/>
    <x v="0"/>
    <s v="Professional"/>
    <s v="No"/>
    <n v="3"/>
    <s v="More than 10 Miles"/>
    <x v="1"/>
    <n v="31"/>
    <x v="2"/>
    <s v="No"/>
    <n v="0"/>
  </r>
  <r>
    <n v="23627"/>
    <s v="Single"/>
    <s v="Female"/>
    <n v="100000"/>
    <x v="1"/>
    <n v="3"/>
    <x v="1"/>
    <s v="Management"/>
    <s v="No"/>
    <n v="4"/>
    <s v="5-10 Miles"/>
    <x v="0"/>
    <n v="56"/>
    <x v="0"/>
    <s v="No"/>
    <n v="0"/>
  </r>
  <r>
    <n v="27775"/>
    <s v="Single"/>
    <s v="Female"/>
    <n v="40000"/>
    <x v="0"/>
    <n v="0"/>
    <x v="0"/>
    <s v="Clerical"/>
    <s v="No"/>
    <n v="0"/>
    <s v="0-1 Miles"/>
    <x v="0"/>
    <n v="38"/>
    <x v="2"/>
    <s v="Yes"/>
    <n v="1"/>
  </r>
  <r>
    <n v="29301"/>
    <s v="Married"/>
    <s v="Male"/>
    <n v="80000"/>
    <x v="1"/>
    <n v="5"/>
    <x v="0"/>
    <s v="Professional"/>
    <s v="Yes"/>
    <n v="4"/>
    <s v="1-2 Miles"/>
    <x v="1"/>
    <n v="40"/>
    <x v="0"/>
    <s v="No"/>
    <n v="0"/>
  </r>
  <r>
    <n v="12716"/>
    <s v="Single"/>
    <s v="Male"/>
    <n v="30000"/>
    <x v="0"/>
    <n v="0"/>
    <x v="1"/>
    <s v="Clerical"/>
    <s v="Yes"/>
    <n v="1"/>
    <s v="2-5 Miles"/>
    <x v="0"/>
    <n v="32"/>
    <x v="2"/>
    <s v="No"/>
    <n v="0"/>
  </r>
  <r>
    <n v="12472"/>
    <s v="Married"/>
    <s v="Male"/>
    <n v="30000"/>
    <x v="0"/>
    <n v="1"/>
    <x v="0"/>
    <s v="Clerical"/>
    <s v="Yes"/>
    <n v="1"/>
    <s v="2-5 Miles"/>
    <x v="0"/>
    <n v="39"/>
    <x v="2"/>
    <s v="No"/>
    <n v="0"/>
  </r>
  <r>
    <n v="20970"/>
    <s v="Single"/>
    <s v="Male"/>
    <n v="10000"/>
    <x v="0"/>
    <n v="2"/>
    <x v="1"/>
    <s v="Manual"/>
    <s v="Yes"/>
    <n v="1"/>
    <s v="0-1 Miles"/>
    <x v="0"/>
    <n v="52"/>
    <x v="0"/>
    <s v="Yes"/>
    <n v="1"/>
  </r>
  <r>
    <n v="26818"/>
    <s v="Single"/>
    <s v="Male"/>
    <n v="10000"/>
    <x v="0"/>
    <n v="3"/>
    <x v="2"/>
    <s v="Manual"/>
    <s v="Yes"/>
    <n v="1"/>
    <s v="0-1 Miles"/>
    <x v="0"/>
    <n v="39"/>
    <x v="2"/>
    <s v="Yes"/>
    <n v="1"/>
  </r>
  <r>
    <n v="12993"/>
    <s v="Married"/>
    <s v="Male"/>
    <n v="60000"/>
    <x v="0"/>
    <n v="2"/>
    <x v="0"/>
    <s v="Professional"/>
    <s v="Yes"/>
    <n v="1"/>
    <s v="2-5 Miles"/>
    <x v="1"/>
    <n v="37"/>
    <x v="2"/>
    <s v="No"/>
    <n v="0"/>
  </r>
  <r>
    <n v="14192"/>
    <s v="Married"/>
    <s v="Male"/>
    <n v="90000"/>
    <x v="1"/>
    <n v="4"/>
    <x v="2"/>
    <s v="Management"/>
    <s v="Yes"/>
    <n v="3"/>
    <s v="5-10 Miles"/>
    <x v="0"/>
    <n v="56"/>
    <x v="0"/>
    <s v="Yes"/>
    <n v="1"/>
  </r>
  <r>
    <n v="19477"/>
    <s v="Married"/>
    <s v="Male"/>
    <n v="40000"/>
    <x v="0"/>
    <n v="0"/>
    <x v="0"/>
    <s v="Professional"/>
    <s v="Yes"/>
    <n v="0"/>
    <s v="0-1 Miles"/>
    <x v="0"/>
    <n v="40"/>
    <x v="0"/>
    <s v="Yes"/>
    <n v="1"/>
  </r>
  <r>
    <n v="26796"/>
    <s v="Single"/>
    <s v="Male"/>
    <n v="40000"/>
    <x v="0"/>
    <n v="2"/>
    <x v="0"/>
    <s v="Management"/>
    <s v="Yes"/>
    <n v="2"/>
    <s v="5-10 Miles"/>
    <x v="1"/>
    <n v="65"/>
    <x v="1"/>
    <s v="Yes"/>
    <n v="1"/>
  </r>
  <r>
    <n v="21094"/>
    <s v="Single"/>
    <s v="Female"/>
    <n v="30000"/>
    <x v="0"/>
    <n v="2"/>
    <x v="1"/>
    <s v="Clerical"/>
    <s v="Yes"/>
    <n v="2"/>
    <s v="0-1 Miles"/>
    <x v="0"/>
    <n v="42"/>
    <x v="0"/>
    <s v="No"/>
    <n v="0"/>
  </r>
  <r>
    <n v="12234"/>
    <s v="Married"/>
    <s v="Male"/>
    <n v="10000"/>
    <x v="0"/>
    <n v="2"/>
    <x v="1"/>
    <s v="Manual"/>
    <s v="Yes"/>
    <n v="1"/>
    <s v="2-5 Miles"/>
    <x v="0"/>
    <n v="52"/>
    <x v="0"/>
    <s v="No"/>
    <n v="0"/>
  </r>
  <r>
    <n v="28683"/>
    <s v="Single"/>
    <s v="Female"/>
    <n v="10000"/>
    <x v="0"/>
    <n v="1"/>
    <x v="2"/>
    <s v="Manual"/>
    <s v="No"/>
    <n v="1"/>
    <s v="5-10 Miles"/>
    <x v="0"/>
    <n v="35"/>
    <x v="2"/>
    <s v="Yes"/>
    <n v="1"/>
  </r>
  <r>
    <n v="17994"/>
    <s v="Single"/>
    <s v="Male"/>
    <n v="20000"/>
    <x v="0"/>
    <n v="2"/>
    <x v="2"/>
    <s v="Manual"/>
    <s v="Yes"/>
    <n v="2"/>
    <s v="0-1 Miles"/>
    <x v="0"/>
    <n v="42"/>
    <x v="0"/>
    <s v="No"/>
    <n v="0"/>
  </r>
  <r>
    <n v="24273"/>
    <s v="Married"/>
    <s v="Female"/>
    <n v="20000"/>
    <x v="0"/>
    <n v="2"/>
    <x v="3"/>
    <s v="Clerical"/>
    <s v="Yes"/>
    <n v="2"/>
    <s v="5-10 Miles"/>
    <x v="1"/>
    <n v="55"/>
    <x v="0"/>
    <s v="Yes"/>
    <n v="1"/>
  </r>
  <r>
    <n v="26547"/>
    <s v="Single"/>
    <s v="Female"/>
    <n v="30000"/>
    <x v="0"/>
    <n v="2"/>
    <x v="1"/>
    <s v="Clerical"/>
    <s v="No"/>
    <n v="2"/>
    <s v="5-10 Miles"/>
    <x v="1"/>
    <n v="60"/>
    <x v="1"/>
    <s v="Yes"/>
    <n v="1"/>
  </r>
  <r>
    <n v="22500"/>
    <s v="Single"/>
    <s v="Male"/>
    <n v="40000"/>
    <x v="0"/>
    <n v="0"/>
    <x v="0"/>
    <s v="Professional"/>
    <s v="No"/>
    <n v="0"/>
    <s v="0-1 Miles"/>
    <x v="0"/>
    <n v="40"/>
    <x v="0"/>
    <s v="Yes"/>
    <n v="1"/>
  </r>
  <r>
    <n v="23993"/>
    <s v="Single"/>
    <s v="Female"/>
    <n v="10000"/>
    <x v="0"/>
    <n v="0"/>
    <x v="1"/>
    <s v="Manual"/>
    <s v="No"/>
    <n v="1"/>
    <s v="0-1 Miles"/>
    <x v="1"/>
    <n v="26"/>
    <x v="3"/>
    <s v="Yes"/>
    <n v="1"/>
  </r>
  <r>
    <n v="14832"/>
    <s v="Married"/>
    <s v="Male"/>
    <n v="40000"/>
    <x v="0"/>
    <n v="1"/>
    <x v="0"/>
    <s v="Skilled Manual"/>
    <s v="Yes"/>
    <n v="0"/>
    <s v="0-1 Miles"/>
    <x v="0"/>
    <n v="42"/>
    <x v="0"/>
    <s v="Yes"/>
    <n v="1"/>
  </r>
  <r>
    <n v="16614"/>
    <s v="Married"/>
    <s v="Female"/>
    <n v="80000"/>
    <x v="1"/>
    <n v="0"/>
    <x v="0"/>
    <s v="Professional"/>
    <s v="Yes"/>
    <n v="3"/>
    <s v="More than 10 Miles"/>
    <x v="1"/>
    <n v="32"/>
    <x v="2"/>
    <s v="No"/>
    <n v="0"/>
  </r>
  <r>
    <n v="20877"/>
    <s v="Single"/>
    <s v="Male"/>
    <n v="30000"/>
    <x v="0"/>
    <n v="1"/>
    <x v="0"/>
    <s v="Clerical"/>
    <s v="Yes"/>
    <n v="0"/>
    <s v="1-2 Miles"/>
    <x v="0"/>
    <n v="37"/>
    <x v="2"/>
    <s v="Yes"/>
    <n v="1"/>
  </r>
  <r>
    <n v="20729"/>
    <s v="Married"/>
    <s v="Female"/>
    <n v="40000"/>
    <x v="0"/>
    <n v="2"/>
    <x v="1"/>
    <s v="Clerical"/>
    <s v="No"/>
    <n v="1"/>
    <s v="0-1 Miles"/>
    <x v="0"/>
    <n v="34"/>
    <x v="2"/>
    <s v="No"/>
    <n v="0"/>
  </r>
  <r>
    <n v="22464"/>
    <s v="Married"/>
    <s v="Male"/>
    <n v="40000"/>
    <x v="0"/>
    <n v="0"/>
    <x v="4"/>
    <s v="Clerical"/>
    <s v="Yes"/>
    <n v="0"/>
    <s v="0-1 Miles"/>
    <x v="0"/>
    <n v="37"/>
    <x v="2"/>
    <s v="Yes"/>
    <n v="1"/>
  </r>
  <r>
    <n v="19475"/>
    <s v="Married"/>
    <s v="Female"/>
    <n v="40000"/>
    <x v="0"/>
    <n v="0"/>
    <x v="0"/>
    <s v="Professional"/>
    <s v="No"/>
    <n v="0"/>
    <s v="0-1 Miles"/>
    <x v="0"/>
    <n v="40"/>
    <x v="0"/>
    <s v="Yes"/>
    <n v="1"/>
  </r>
  <r>
    <n v="19675"/>
    <s v="Married"/>
    <s v="Male"/>
    <n v="20000"/>
    <x v="0"/>
    <n v="4"/>
    <x v="2"/>
    <s v="Skilled Manual"/>
    <s v="Yes"/>
    <n v="2"/>
    <s v="5-10 Miles"/>
    <x v="1"/>
    <n v="60"/>
    <x v="1"/>
    <s v="No"/>
    <n v="0"/>
  </r>
  <r>
    <n v="12728"/>
    <s v="Single"/>
    <s v="Male"/>
    <n v="30000"/>
    <x v="0"/>
    <n v="0"/>
    <x v="1"/>
    <s v="Clerical"/>
    <s v="No"/>
    <n v="1"/>
    <s v="1-2 Miles"/>
    <x v="0"/>
    <n v="27"/>
    <x v="3"/>
    <s v="No"/>
    <n v="0"/>
  </r>
  <r>
    <n v="26154"/>
    <s v="Married"/>
    <s v="Male"/>
    <n v="60000"/>
    <x v="0"/>
    <n v="1"/>
    <x v="1"/>
    <s v="Skilled Manual"/>
    <s v="Yes"/>
    <n v="1"/>
    <s v="5-10 Miles"/>
    <x v="1"/>
    <n v="43"/>
    <x v="0"/>
    <s v="Yes"/>
    <n v="1"/>
  </r>
  <r>
    <n v="29117"/>
    <s v="Single"/>
    <s v="Male"/>
    <n v="100000"/>
    <x v="1"/>
    <n v="1"/>
    <x v="0"/>
    <s v="Management"/>
    <s v="No"/>
    <n v="3"/>
    <s v="0-1 Miles"/>
    <x v="1"/>
    <n v="48"/>
    <x v="0"/>
    <s v="No"/>
    <n v="0"/>
  </r>
  <r>
    <n v="17845"/>
    <s v="Single"/>
    <s v="Female"/>
    <n v="20000"/>
    <x v="0"/>
    <n v="0"/>
    <x v="3"/>
    <s v="Manual"/>
    <s v="No"/>
    <n v="2"/>
    <s v="1-2 Miles"/>
    <x v="0"/>
    <n v="32"/>
    <x v="2"/>
    <s v="No"/>
    <n v="0"/>
  </r>
  <r>
    <n v="25058"/>
    <s v="Married"/>
    <s v="Male"/>
    <n v="100000"/>
    <x v="1"/>
    <n v="1"/>
    <x v="0"/>
    <s v="Management"/>
    <s v="Yes"/>
    <n v="3"/>
    <s v="2-5 Miles"/>
    <x v="1"/>
    <n v="47"/>
    <x v="0"/>
    <s v="No"/>
    <n v="0"/>
  </r>
  <r>
    <n v="23426"/>
    <s v="Single"/>
    <s v="Male"/>
    <n v="80000"/>
    <x v="1"/>
    <n v="5"/>
    <x v="4"/>
    <s v="Management"/>
    <s v="Yes"/>
    <n v="3"/>
    <s v="0-1 Miles"/>
    <x v="1"/>
    <n v="40"/>
    <x v="0"/>
    <s v="No"/>
    <n v="0"/>
  </r>
  <r>
    <n v="14798"/>
    <s v="Single"/>
    <s v="Female"/>
    <n v="10000"/>
    <x v="0"/>
    <n v="4"/>
    <x v="3"/>
    <s v="Manual"/>
    <s v="Yes"/>
    <n v="2"/>
    <s v="0-1 Miles"/>
    <x v="0"/>
    <n v="41"/>
    <x v="0"/>
    <s v="Yes"/>
    <n v="1"/>
  </r>
  <r>
    <n v="12664"/>
    <s v="Married"/>
    <s v="Female"/>
    <n v="130000"/>
    <x v="2"/>
    <n v="5"/>
    <x v="1"/>
    <s v="Professional"/>
    <s v="Yes"/>
    <n v="4"/>
    <s v="0-1 Miles"/>
    <x v="0"/>
    <n v="59"/>
    <x v="0"/>
    <s v="No"/>
    <n v="0"/>
  </r>
  <r>
    <n v="23979"/>
    <s v="Single"/>
    <s v="Male"/>
    <n v="10000"/>
    <x v="0"/>
    <n v="2"/>
    <x v="1"/>
    <s v="Manual"/>
    <s v="No"/>
    <n v="0"/>
    <s v="0-1 Miles"/>
    <x v="0"/>
    <n v="50"/>
    <x v="0"/>
    <s v="No"/>
    <n v="0"/>
  </r>
  <r>
    <n v="25605"/>
    <s v="Single"/>
    <s v="Female"/>
    <n v="20000"/>
    <x v="0"/>
    <n v="2"/>
    <x v="1"/>
    <s v="Manual"/>
    <s v="No"/>
    <n v="1"/>
    <s v="0-1 Miles"/>
    <x v="0"/>
    <n v="54"/>
    <x v="0"/>
    <s v="Yes"/>
    <n v="1"/>
  </r>
  <r>
    <n v="20797"/>
    <s v="Married"/>
    <s v="Female"/>
    <n v="10000"/>
    <x v="0"/>
    <n v="1"/>
    <x v="0"/>
    <s v="Manual"/>
    <s v="Yes"/>
    <n v="0"/>
    <s v="0-1 Miles"/>
    <x v="0"/>
    <n v="48"/>
    <x v="0"/>
    <s v="No"/>
    <n v="0"/>
  </r>
  <r>
    <n v="21980"/>
    <s v="Single"/>
    <s v="Female"/>
    <n v="60000"/>
    <x v="0"/>
    <n v="1"/>
    <x v="0"/>
    <s v="Professional"/>
    <s v="Yes"/>
    <n v="1"/>
    <s v="5-10 Miles"/>
    <x v="1"/>
    <n v="44"/>
    <x v="0"/>
    <s v="Yes"/>
    <n v="1"/>
  </r>
  <r>
    <n v="25460"/>
    <s v="Married"/>
    <s v="Female"/>
    <n v="20000"/>
    <x v="0"/>
    <n v="2"/>
    <x v="2"/>
    <s v="Manual"/>
    <s v="Yes"/>
    <n v="0"/>
    <s v="0-1 Miles"/>
    <x v="0"/>
    <n v="40"/>
    <x v="0"/>
    <s v="Yes"/>
    <n v="1"/>
  </r>
  <r>
    <n v="29181"/>
    <s v="Single"/>
    <s v="Female"/>
    <n v="60000"/>
    <x v="0"/>
    <n v="2"/>
    <x v="0"/>
    <s v="Professional"/>
    <s v="No"/>
    <n v="1"/>
    <s v="0-1 Miles"/>
    <x v="1"/>
    <n v="38"/>
    <x v="2"/>
    <s v="Yes"/>
    <n v="1"/>
  </r>
  <r>
    <n v="24279"/>
    <s v="Single"/>
    <s v="Male"/>
    <n v="40000"/>
    <x v="0"/>
    <n v="2"/>
    <x v="1"/>
    <s v="Skilled Manual"/>
    <s v="No"/>
    <n v="2"/>
    <s v="1-2 Miles"/>
    <x v="1"/>
    <n v="52"/>
    <x v="0"/>
    <s v="No"/>
    <n v="0"/>
  </r>
  <r>
    <n v="22402"/>
    <s v="Married"/>
    <s v="Male"/>
    <n v="10000"/>
    <x v="0"/>
    <n v="0"/>
    <x v="1"/>
    <s v="Manual"/>
    <s v="Yes"/>
    <n v="1"/>
    <s v="2-5 Miles"/>
    <x v="1"/>
    <n v="25"/>
    <x v="3"/>
    <s v="Yes"/>
    <n v="1"/>
  </r>
  <r>
    <n v="15465"/>
    <s v="Married"/>
    <s v="Female"/>
    <n v="10000"/>
    <x v="0"/>
    <n v="0"/>
    <x v="1"/>
    <s v="Manual"/>
    <s v="No"/>
    <n v="1"/>
    <s v="0-1 Miles"/>
    <x v="1"/>
    <n v="25"/>
    <x v="3"/>
    <s v="No"/>
    <n v="0"/>
  </r>
  <r>
    <n v="26757"/>
    <s v="Single"/>
    <s v="Male"/>
    <n v="90000"/>
    <x v="1"/>
    <n v="1"/>
    <x v="0"/>
    <s v="Professional"/>
    <s v="Yes"/>
    <n v="1"/>
    <s v="2-5 Miles"/>
    <x v="1"/>
    <n v="47"/>
    <x v="0"/>
    <s v="Yes"/>
    <n v="1"/>
  </r>
  <r>
    <n v="14233"/>
    <s v="Single"/>
    <s v="Male"/>
    <n v="100000"/>
    <x v="1"/>
    <n v="0"/>
    <x v="2"/>
    <s v="Management"/>
    <s v="Yes"/>
    <n v="3"/>
    <s v="More than 10 Miles"/>
    <x v="1"/>
    <n v="35"/>
    <x v="2"/>
    <s v="No"/>
    <n v="0"/>
  </r>
  <r>
    <n v="14058"/>
    <s v="Single"/>
    <s v="Male"/>
    <n v="70000"/>
    <x v="1"/>
    <n v="0"/>
    <x v="0"/>
    <s v="Professional"/>
    <s v="No"/>
    <n v="1"/>
    <s v="5-10 Miles"/>
    <x v="1"/>
    <n v="41"/>
    <x v="0"/>
    <s v="Yes"/>
    <n v="1"/>
  </r>
  <r>
    <n v="12273"/>
    <s v="Married"/>
    <s v="Male"/>
    <n v="30000"/>
    <x v="0"/>
    <n v="1"/>
    <x v="0"/>
    <s v="Clerical"/>
    <s v="Yes"/>
    <n v="0"/>
    <s v="0-1 Miles"/>
    <x v="0"/>
    <n v="47"/>
    <x v="0"/>
    <s v="No"/>
    <n v="0"/>
  </r>
  <r>
    <n v="17203"/>
    <s v="Married"/>
    <s v="Female"/>
    <n v="130000"/>
    <x v="2"/>
    <n v="4"/>
    <x v="1"/>
    <s v="Professional"/>
    <s v="Yes"/>
    <n v="4"/>
    <s v="5-10 Miles"/>
    <x v="0"/>
    <n v="61"/>
    <x v="1"/>
    <s v="Yes"/>
    <n v="1"/>
  </r>
  <r>
    <n v="18144"/>
    <s v="Married"/>
    <s v="Female"/>
    <n v="80000"/>
    <x v="1"/>
    <n v="5"/>
    <x v="0"/>
    <s v="Management"/>
    <s v="Yes"/>
    <n v="2"/>
    <s v="2-5 Miles"/>
    <x v="0"/>
    <n v="61"/>
    <x v="1"/>
    <s v="No"/>
    <n v="0"/>
  </r>
  <r>
    <n v="23963"/>
    <s v="Married"/>
    <s v="Male"/>
    <n v="10000"/>
    <x v="0"/>
    <n v="0"/>
    <x v="3"/>
    <s v="Manual"/>
    <s v="No"/>
    <n v="2"/>
    <s v="0-1 Miles"/>
    <x v="0"/>
    <n v="33"/>
    <x v="2"/>
    <s v="No"/>
    <n v="0"/>
  </r>
  <r>
    <n v="17907"/>
    <s v="Married"/>
    <s v="Female"/>
    <n v="10000"/>
    <x v="0"/>
    <n v="0"/>
    <x v="1"/>
    <s v="Manual"/>
    <s v="Yes"/>
    <n v="1"/>
    <s v="2-5 Miles"/>
    <x v="1"/>
    <n v="27"/>
    <x v="3"/>
    <s v="No"/>
    <n v="0"/>
  </r>
  <r>
    <n v="19442"/>
    <s v="Single"/>
    <s v="Male"/>
    <n v="50000"/>
    <x v="0"/>
    <n v="0"/>
    <x v="4"/>
    <s v="Skilled Manual"/>
    <s v="Yes"/>
    <n v="0"/>
    <s v="0-1 Miles"/>
    <x v="0"/>
    <n v="37"/>
    <x v="2"/>
    <s v="Yes"/>
    <n v="1"/>
  </r>
  <r>
    <n v="17504"/>
    <s v="Single"/>
    <s v="Female"/>
    <n v="80000"/>
    <x v="1"/>
    <n v="2"/>
    <x v="1"/>
    <s v="Skilled Manual"/>
    <s v="Yes"/>
    <n v="2"/>
    <s v="5-10 Miles"/>
    <x v="1"/>
    <n v="52"/>
    <x v="0"/>
    <s v="Yes"/>
    <n v="1"/>
  </r>
  <r>
    <n v="12253"/>
    <s v="Single"/>
    <s v="Female"/>
    <n v="20000"/>
    <x v="0"/>
    <n v="0"/>
    <x v="1"/>
    <s v="Manual"/>
    <s v="Yes"/>
    <n v="0"/>
    <s v="0-1 Miles"/>
    <x v="1"/>
    <n v="29"/>
    <x v="3"/>
    <s v="Yes"/>
    <n v="1"/>
  </r>
  <r>
    <n v="27304"/>
    <s v="Single"/>
    <s v="Female"/>
    <n v="110000"/>
    <x v="1"/>
    <n v="2"/>
    <x v="1"/>
    <s v="Professional"/>
    <s v="No"/>
    <n v="3"/>
    <s v="5-10 Miles"/>
    <x v="0"/>
    <n v="48"/>
    <x v="0"/>
    <s v="No"/>
    <n v="0"/>
  </r>
  <r>
    <n v="14191"/>
    <s v="Married"/>
    <s v="Male"/>
    <n v="160000"/>
    <x v="2"/>
    <n v="4"/>
    <x v="1"/>
    <s v="Professional"/>
    <s v="No"/>
    <n v="2"/>
    <s v="More than 10 Miles"/>
    <x v="0"/>
    <n v="55"/>
    <x v="0"/>
    <s v="Yes"/>
    <n v="1"/>
  </r>
  <r>
    <n v="12212"/>
    <s v="Married"/>
    <s v="Female"/>
    <n v="10000"/>
    <x v="0"/>
    <n v="0"/>
    <x v="4"/>
    <s v="Manual"/>
    <s v="Yes"/>
    <n v="0"/>
    <s v="0-1 Miles"/>
    <x v="0"/>
    <n v="37"/>
    <x v="2"/>
    <s v="Yes"/>
    <n v="1"/>
  </r>
  <r>
    <n v="25529"/>
    <s v="Single"/>
    <s v="Male"/>
    <n v="10000"/>
    <x v="0"/>
    <n v="1"/>
    <x v="4"/>
    <s v="Manual"/>
    <s v="Yes"/>
    <n v="0"/>
    <s v="0-1 Miles"/>
    <x v="0"/>
    <n v="44"/>
    <x v="0"/>
    <s v="No"/>
    <n v="0"/>
  </r>
  <r>
    <n v="22170"/>
    <s v="Married"/>
    <s v="Female"/>
    <n v="30000"/>
    <x v="0"/>
    <n v="3"/>
    <x v="1"/>
    <s v="Clerical"/>
    <s v="No"/>
    <n v="2"/>
    <s v="1-2 Miles"/>
    <x v="1"/>
    <n v="55"/>
    <x v="0"/>
    <s v="Yes"/>
    <n v="1"/>
  </r>
  <r>
    <n v="19445"/>
    <s v="Married"/>
    <s v="Female"/>
    <n v="10000"/>
    <x v="0"/>
    <n v="2"/>
    <x v="2"/>
    <s v="Manual"/>
    <s v="No"/>
    <n v="1"/>
    <s v="0-1 Miles"/>
    <x v="0"/>
    <n v="38"/>
    <x v="2"/>
    <s v="No"/>
    <n v="0"/>
  </r>
  <r>
    <n v="15265"/>
    <s v="Single"/>
    <s v="Male"/>
    <n v="40000"/>
    <x v="0"/>
    <n v="2"/>
    <x v="0"/>
    <s v="Management"/>
    <s v="Yes"/>
    <n v="2"/>
    <s v="5-10 Miles"/>
    <x v="1"/>
    <n v="66"/>
    <x v="1"/>
    <s v="Yes"/>
    <n v="1"/>
  </r>
  <r>
    <n v="28918"/>
    <s v="Married"/>
    <s v="Female"/>
    <n v="130000"/>
    <x v="2"/>
    <n v="4"/>
    <x v="2"/>
    <s v="Management"/>
    <s v="No"/>
    <n v="4"/>
    <s v="More than 10 Miles"/>
    <x v="0"/>
    <n v="58"/>
    <x v="0"/>
    <s v="No"/>
    <n v="0"/>
  </r>
  <r>
    <n v="15799"/>
    <s v="Married"/>
    <s v="Female"/>
    <n v="90000"/>
    <x v="1"/>
    <n v="1"/>
    <x v="0"/>
    <s v="Professional"/>
    <s v="Yes"/>
    <n v="1"/>
    <s v="2-5 Miles"/>
    <x v="1"/>
    <n v="47"/>
    <x v="0"/>
    <s v="Yes"/>
    <n v="1"/>
  </r>
  <r>
    <n v="11047"/>
    <s v="Married"/>
    <s v="Female"/>
    <n v="30000"/>
    <x v="0"/>
    <n v="3"/>
    <x v="2"/>
    <s v="Skilled Manual"/>
    <s v="No"/>
    <n v="2"/>
    <s v="1-2 Miles"/>
    <x v="1"/>
    <n v="56"/>
    <x v="0"/>
    <s v="Yes"/>
    <n v="1"/>
  </r>
  <r>
    <n v="18151"/>
    <s v="Single"/>
    <s v="Male"/>
    <n v="80000"/>
    <x v="1"/>
    <n v="5"/>
    <x v="1"/>
    <s v="Professional"/>
    <s v="No"/>
    <n v="2"/>
    <s v="More than 10 Miles"/>
    <x v="0"/>
    <n v="59"/>
    <x v="0"/>
    <s v="No"/>
    <n v="0"/>
  </r>
  <r>
    <n v="20606"/>
    <s v="Married"/>
    <s v="Female"/>
    <n v="70000"/>
    <x v="1"/>
    <n v="0"/>
    <x v="0"/>
    <s v="Professional"/>
    <s v="Yes"/>
    <n v="4"/>
    <s v="More than 10 Miles"/>
    <x v="1"/>
    <n v="32"/>
    <x v="2"/>
    <s v="Yes"/>
    <n v="1"/>
  </r>
  <r>
    <n v="19482"/>
    <s v="Married"/>
    <s v="Male"/>
    <n v="30000"/>
    <x v="0"/>
    <n v="1"/>
    <x v="1"/>
    <s v="Clerical"/>
    <s v="Yes"/>
    <n v="1"/>
    <s v="0-1 Miles"/>
    <x v="0"/>
    <n v="44"/>
    <x v="0"/>
    <s v="Yes"/>
    <n v="1"/>
  </r>
  <r>
    <n v="16489"/>
    <s v="Married"/>
    <s v="Male"/>
    <n v="30000"/>
    <x v="0"/>
    <n v="3"/>
    <x v="2"/>
    <s v="Skilled Manual"/>
    <s v="Yes"/>
    <n v="2"/>
    <s v="5-10 Miles"/>
    <x v="1"/>
    <n v="55"/>
    <x v="0"/>
    <s v="No"/>
    <n v="0"/>
  </r>
  <r>
    <n v="26944"/>
    <s v="Single"/>
    <s v="Male"/>
    <n v="90000"/>
    <x v="1"/>
    <n v="2"/>
    <x v="2"/>
    <s v="Manual"/>
    <s v="Yes"/>
    <n v="0"/>
    <s v="0-1 Miles"/>
    <x v="0"/>
    <n v="36"/>
    <x v="2"/>
    <s v="Yes"/>
    <n v="1"/>
  </r>
  <r>
    <n v="15682"/>
    <s v="Single"/>
    <s v="Female"/>
    <n v="80000"/>
    <x v="1"/>
    <n v="5"/>
    <x v="0"/>
    <s v="Management"/>
    <s v="Yes"/>
    <n v="2"/>
    <s v="More than 10 Miles"/>
    <x v="0"/>
    <n v="62"/>
    <x v="1"/>
    <s v="No"/>
    <n v="0"/>
  </r>
  <r>
    <n v="26032"/>
    <s v="Married"/>
    <s v="Female"/>
    <n v="70000"/>
    <x v="1"/>
    <n v="5"/>
    <x v="0"/>
    <s v="Professional"/>
    <s v="Yes"/>
    <n v="4"/>
    <s v="More than 10 Miles"/>
    <x v="1"/>
    <n v="41"/>
    <x v="0"/>
    <s v="No"/>
    <n v="0"/>
  </r>
  <r>
    <n v="17843"/>
    <s v="Single"/>
    <s v="Female"/>
    <n v="10000"/>
    <x v="0"/>
    <n v="0"/>
    <x v="3"/>
    <s v="Manual"/>
    <s v="No"/>
    <n v="2"/>
    <s v="0-1 Miles"/>
    <x v="0"/>
    <n v="32"/>
    <x v="2"/>
    <s v="No"/>
    <n v="0"/>
  </r>
  <r>
    <n v="25559"/>
    <s v="Single"/>
    <s v="Male"/>
    <n v="20000"/>
    <x v="0"/>
    <n v="0"/>
    <x v="0"/>
    <s v="Clerical"/>
    <s v="Yes"/>
    <n v="0"/>
    <s v="0-1 Miles"/>
    <x v="1"/>
    <n v="25"/>
    <x v="3"/>
    <s v="Yes"/>
    <n v="1"/>
  </r>
  <r>
    <n v="16209"/>
    <s v="Single"/>
    <s v="Female"/>
    <n v="50000"/>
    <x v="0"/>
    <n v="0"/>
    <x v="4"/>
    <s v="Skilled Manual"/>
    <s v="Yes"/>
    <n v="0"/>
    <s v="1-2 Miles"/>
    <x v="0"/>
    <n v="36"/>
    <x v="2"/>
    <s v="No"/>
    <n v="0"/>
  </r>
  <r>
    <n v="11147"/>
    <s v="Married"/>
    <s v="Male"/>
    <n v="60000"/>
    <x v="0"/>
    <n v="2"/>
    <x v="4"/>
    <s v="Management"/>
    <s v="Yes"/>
    <n v="1"/>
    <s v="0-1 Miles"/>
    <x v="1"/>
    <n v="67"/>
    <x v="1"/>
    <s v="Yes"/>
    <n v="1"/>
  </r>
  <r>
    <n v="15214"/>
    <s v="Single"/>
    <s v="Female"/>
    <n v="100000"/>
    <x v="1"/>
    <n v="0"/>
    <x v="4"/>
    <s v="Management"/>
    <s v="No"/>
    <n v="1"/>
    <s v="1-2 Miles"/>
    <x v="1"/>
    <n v="39"/>
    <x v="2"/>
    <s v="Yes"/>
    <n v="1"/>
  </r>
  <r>
    <n v="11453"/>
    <s v="Single"/>
    <s v="Male"/>
    <n v="80000"/>
    <x v="1"/>
    <n v="0"/>
    <x v="0"/>
    <s v="Professional"/>
    <s v="No"/>
    <n v="3"/>
    <s v="More than 10 Miles"/>
    <x v="1"/>
    <n v="33"/>
    <x v="2"/>
    <s v="Yes"/>
    <n v="1"/>
  </r>
  <r>
    <n v="24584"/>
    <s v="Single"/>
    <s v="Male"/>
    <n v="60000"/>
    <x v="0"/>
    <n v="0"/>
    <x v="0"/>
    <s v="Professional"/>
    <s v="No"/>
    <n v="3"/>
    <s v="2-5 Miles"/>
    <x v="1"/>
    <n v="31"/>
    <x v="2"/>
    <s v="No"/>
    <n v="0"/>
  </r>
  <r>
    <n v="12585"/>
    <s v="Married"/>
    <s v="Male"/>
    <n v="10000"/>
    <x v="0"/>
    <n v="1"/>
    <x v="2"/>
    <s v="Manual"/>
    <s v="Yes"/>
    <n v="0"/>
    <s v="2-5 Miles"/>
    <x v="1"/>
    <n v="27"/>
    <x v="3"/>
    <s v="Yes"/>
    <n v="1"/>
  </r>
  <r>
    <n v="18626"/>
    <s v="Single"/>
    <s v="Male"/>
    <n v="40000"/>
    <x v="0"/>
    <n v="2"/>
    <x v="1"/>
    <s v="Clerical"/>
    <s v="Yes"/>
    <n v="0"/>
    <s v="1-2 Miles"/>
    <x v="0"/>
    <n v="33"/>
    <x v="2"/>
    <s v="Yes"/>
    <n v="1"/>
  </r>
  <r>
    <n v="29298"/>
    <s v="Single"/>
    <s v="Female"/>
    <n v="60000"/>
    <x v="0"/>
    <n v="1"/>
    <x v="1"/>
    <s v="Skilled Manual"/>
    <s v="Yes"/>
    <n v="1"/>
    <s v="5-10 Miles"/>
    <x v="1"/>
    <n v="46"/>
    <x v="0"/>
    <s v="Yes"/>
    <n v="1"/>
  </r>
  <r>
    <n v="24842"/>
    <s v="Single"/>
    <s v="Female"/>
    <n v="90000"/>
    <x v="1"/>
    <n v="3"/>
    <x v="2"/>
    <s v="Professional"/>
    <s v="No"/>
    <n v="1"/>
    <s v="2-5 Miles"/>
    <x v="0"/>
    <n v="51"/>
    <x v="0"/>
    <s v="No"/>
    <n v="0"/>
  </r>
  <r>
    <n v="15657"/>
    <s v="Married"/>
    <s v="Male"/>
    <n v="30000"/>
    <x v="0"/>
    <n v="3"/>
    <x v="4"/>
    <s v="Clerical"/>
    <s v="Yes"/>
    <n v="0"/>
    <s v="0-1 Miles"/>
    <x v="0"/>
    <n v="46"/>
    <x v="0"/>
    <s v="Yes"/>
    <n v="1"/>
  </r>
  <r>
    <n v="11415"/>
    <s v="Single"/>
    <s v="Male"/>
    <n v="90000"/>
    <x v="1"/>
    <n v="5"/>
    <x v="1"/>
    <s v="Professional"/>
    <s v="No"/>
    <n v="2"/>
    <s v="More than 10 Miles"/>
    <x v="0"/>
    <n v="62"/>
    <x v="1"/>
    <s v="No"/>
    <n v="0"/>
  </r>
  <r>
    <n v="28729"/>
    <s v="Single"/>
    <s v="Female"/>
    <n v="20000"/>
    <x v="0"/>
    <n v="0"/>
    <x v="3"/>
    <s v="Manual"/>
    <s v="Yes"/>
    <n v="2"/>
    <s v="1-2 Miles"/>
    <x v="0"/>
    <n v="26"/>
    <x v="3"/>
    <s v="Yes"/>
    <n v="1"/>
  </r>
  <r>
    <n v="22633"/>
    <s v="Single"/>
    <s v="Female"/>
    <n v="40000"/>
    <x v="0"/>
    <n v="0"/>
    <x v="4"/>
    <s v="Clerical"/>
    <s v="Yes"/>
    <n v="0"/>
    <s v="0-1 Miles"/>
    <x v="0"/>
    <n v="37"/>
    <x v="2"/>
    <s v="Yes"/>
    <n v="1"/>
  </r>
  <r>
    <n v="25649"/>
    <s v="Single"/>
    <s v="Female"/>
    <n v="30000"/>
    <x v="0"/>
    <n v="3"/>
    <x v="1"/>
    <s v="Clerical"/>
    <s v="Yes"/>
    <n v="0"/>
    <s v="0-1 Miles"/>
    <x v="0"/>
    <n v="42"/>
    <x v="0"/>
    <s v="Yes"/>
    <n v="1"/>
  </r>
  <r>
    <n v="14669"/>
    <s v="Married"/>
    <s v="Female"/>
    <n v="80000"/>
    <x v="1"/>
    <n v="4"/>
    <x v="4"/>
    <s v="Management"/>
    <s v="Yes"/>
    <n v="1"/>
    <s v="0-1 Miles"/>
    <x v="1"/>
    <n v="36"/>
    <x v="2"/>
    <s v="No"/>
    <n v="0"/>
  </r>
  <r>
    <n v="19299"/>
    <s v="Married"/>
    <s v="Female"/>
    <n v="50000"/>
    <x v="0"/>
    <n v="0"/>
    <x v="4"/>
    <s v="Skilled Manual"/>
    <s v="Yes"/>
    <n v="0"/>
    <s v="0-1 Miles"/>
    <x v="0"/>
    <n v="36"/>
    <x v="2"/>
    <s v="Yes"/>
    <n v="1"/>
  </r>
  <r>
    <n v="20946"/>
    <s v="Single"/>
    <s v="Female"/>
    <n v="30000"/>
    <x v="0"/>
    <n v="0"/>
    <x v="1"/>
    <s v="Clerical"/>
    <s v="No"/>
    <n v="1"/>
    <s v="2-5 Miles"/>
    <x v="0"/>
    <n v="30"/>
    <x v="2"/>
    <s v="No"/>
    <n v="0"/>
  </r>
  <r>
    <n v="11451"/>
    <s v="Single"/>
    <s v="Male"/>
    <n v="70000"/>
    <x v="1"/>
    <n v="0"/>
    <x v="0"/>
    <s v="Professional"/>
    <s v="No"/>
    <n v="4"/>
    <s v="More than 10 Miles"/>
    <x v="1"/>
    <n v="31"/>
    <x v="2"/>
    <s v="Yes"/>
    <n v="1"/>
  </r>
  <r>
    <n v="25553"/>
    <s v="Married"/>
    <s v="Male"/>
    <n v="30000"/>
    <x v="0"/>
    <n v="1"/>
    <x v="0"/>
    <s v="Clerical"/>
    <s v="Yes"/>
    <n v="0"/>
    <s v="0-1 Miles"/>
    <x v="0"/>
    <n v="65"/>
    <x v="1"/>
    <s v="Yes"/>
    <n v="1"/>
  </r>
  <r>
    <n v="27951"/>
    <s v="Single"/>
    <s v="Male"/>
    <n v="80000"/>
    <x v="1"/>
    <n v="4"/>
    <x v="1"/>
    <s v="Professional"/>
    <s v="No"/>
    <n v="2"/>
    <s v="2-5 Miles"/>
    <x v="0"/>
    <n v="54"/>
    <x v="0"/>
    <s v="Yes"/>
    <n v="1"/>
  </r>
  <r>
    <n v="25026"/>
    <s v="Married"/>
    <s v="Male"/>
    <n v="20000"/>
    <x v="0"/>
    <n v="2"/>
    <x v="3"/>
    <s v="Clerical"/>
    <s v="Yes"/>
    <n v="3"/>
    <s v="5-10 Miles"/>
    <x v="1"/>
    <n v="54"/>
    <x v="0"/>
    <s v="No"/>
    <n v="0"/>
  </r>
  <r>
    <n v="13673"/>
    <s v="Single"/>
    <s v="Female"/>
    <n v="20000"/>
    <x v="0"/>
    <n v="0"/>
    <x v="3"/>
    <s v="Manual"/>
    <s v="No"/>
    <n v="2"/>
    <s v="0-1 Miles"/>
    <x v="0"/>
    <n v="25"/>
    <x v="3"/>
    <s v="No"/>
    <n v="0"/>
  </r>
  <r>
    <n v="16043"/>
    <s v="Single"/>
    <s v="Male"/>
    <n v="10000"/>
    <x v="0"/>
    <n v="1"/>
    <x v="0"/>
    <s v="Manual"/>
    <s v="Yes"/>
    <n v="0"/>
    <s v="0-1 Miles"/>
    <x v="0"/>
    <n v="48"/>
    <x v="0"/>
    <s v="No"/>
    <n v="0"/>
  </r>
  <r>
    <n v="22399"/>
    <s v="Single"/>
    <s v="Male"/>
    <n v="10000"/>
    <x v="0"/>
    <n v="0"/>
    <x v="1"/>
    <s v="Manual"/>
    <s v="Yes"/>
    <n v="1"/>
    <s v="1-2 Miles"/>
    <x v="1"/>
    <n v="26"/>
    <x v="3"/>
    <s v="Yes"/>
    <n v="1"/>
  </r>
  <r>
    <n v="27696"/>
    <s v="Married"/>
    <s v="Male"/>
    <n v="60000"/>
    <x v="0"/>
    <n v="1"/>
    <x v="0"/>
    <s v="Professional"/>
    <s v="Yes"/>
    <n v="1"/>
    <s v="5-10 Miles"/>
    <x v="1"/>
    <n v="43"/>
    <x v="0"/>
    <s v="Yes"/>
    <n v="1"/>
  </r>
  <r>
    <n v="25313"/>
    <s v="Single"/>
    <s v="Male"/>
    <n v="10000"/>
    <x v="0"/>
    <n v="0"/>
    <x v="3"/>
    <s v="Manual"/>
    <s v="No"/>
    <n v="2"/>
    <s v="1-2 Miles"/>
    <x v="0"/>
    <n v="35"/>
    <x v="2"/>
    <s v="No"/>
    <n v="0"/>
  </r>
  <r>
    <n v="13813"/>
    <s v="Married"/>
    <s v="Female"/>
    <n v="30000"/>
    <x v="0"/>
    <n v="3"/>
    <x v="1"/>
    <s v="Clerical"/>
    <s v="No"/>
    <n v="0"/>
    <s v="0-1 Miles"/>
    <x v="0"/>
    <n v="42"/>
    <x v="0"/>
    <s v="No"/>
    <n v="0"/>
  </r>
  <r>
    <n v="18711"/>
    <s v="Single"/>
    <s v="Female"/>
    <n v="70000"/>
    <x v="1"/>
    <n v="5"/>
    <x v="0"/>
    <s v="Professional"/>
    <s v="Yes"/>
    <n v="4"/>
    <s v="More than 10 Miles"/>
    <x v="1"/>
    <n v="39"/>
    <x v="2"/>
    <s v="No"/>
    <n v="0"/>
  </r>
  <r>
    <n v="19650"/>
    <s v="Married"/>
    <s v="Female"/>
    <n v="30000"/>
    <x v="0"/>
    <n v="2"/>
    <x v="1"/>
    <s v="Clerical"/>
    <s v="No"/>
    <n v="2"/>
    <s v="0-1 Miles"/>
    <x v="1"/>
    <n v="67"/>
    <x v="1"/>
    <s v="No"/>
    <n v="0"/>
  </r>
  <r>
    <n v="14135"/>
    <s v="Married"/>
    <s v="Male"/>
    <n v="20000"/>
    <x v="0"/>
    <n v="1"/>
    <x v="1"/>
    <s v="Manual"/>
    <s v="Yes"/>
    <n v="0"/>
    <s v="1-2 Miles"/>
    <x v="0"/>
    <n v="35"/>
    <x v="2"/>
    <s v="No"/>
    <n v="0"/>
  </r>
  <r>
    <n v="12833"/>
    <s v="Single"/>
    <s v="Female"/>
    <n v="20000"/>
    <x v="0"/>
    <n v="3"/>
    <x v="2"/>
    <s v="Manual"/>
    <s v="Yes"/>
    <n v="1"/>
    <s v="0-1 Miles"/>
    <x v="0"/>
    <n v="42"/>
    <x v="0"/>
    <s v="Yes"/>
    <n v="1"/>
  </r>
  <r>
    <n v="26849"/>
    <s v="Married"/>
    <s v="Male"/>
    <n v="10000"/>
    <x v="0"/>
    <n v="3"/>
    <x v="3"/>
    <s v="Manual"/>
    <s v="Yes"/>
    <n v="2"/>
    <s v="0-1 Miles"/>
    <x v="0"/>
    <n v="43"/>
    <x v="0"/>
    <s v="No"/>
    <n v="0"/>
  </r>
  <r>
    <n v="20962"/>
    <s v="Married"/>
    <s v="Female"/>
    <n v="20000"/>
    <x v="0"/>
    <n v="1"/>
    <x v="4"/>
    <s v="Clerical"/>
    <s v="Yes"/>
    <n v="0"/>
    <s v="0-1 Miles"/>
    <x v="0"/>
    <n v="45"/>
    <x v="0"/>
    <s v="No"/>
    <n v="0"/>
  </r>
  <r>
    <n v="28915"/>
    <s v="Single"/>
    <s v="Male"/>
    <n v="80000"/>
    <x v="1"/>
    <n v="5"/>
    <x v="2"/>
    <s v="Management"/>
    <s v="Yes"/>
    <n v="3"/>
    <s v="More than 10 Miles"/>
    <x v="0"/>
    <n v="57"/>
    <x v="0"/>
    <s v="No"/>
    <n v="0"/>
  </r>
  <r>
    <n v="22830"/>
    <s v="Married"/>
    <s v="Male"/>
    <n v="120000"/>
    <x v="1"/>
    <n v="4"/>
    <x v="1"/>
    <s v="Management"/>
    <s v="Yes"/>
    <n v="3"/>
    <s v="More than 10 Miles"/>
    <x v="0"/>
    <n v="56"/>
    <x v="0"/>
    <s v="No"/>
    <n v="0"/>
  </r>
  <r>
    <n v="14777"/>
    <s v="Married"/>
    <s v="Female"/>
    <n v="40000"/>
    <x v="0"/>
    <n v="0"/>
    <x v="0"/>
    <s v="Clerical"/>
    <s v="Yes"/>
    <n v="0"/>
    <s v="0-1 Miles"/>
    <x v="0"/>
    <n v="38"/>
    <x v="2"/>
    <s v="Yes"/>
    <n v="1"/>
  </r>
  <r>
    <n v="12591"/>
    <s v="Married"/>
    <s v="Female"/>
    <n v="30000"/>
    <x v="0"/>
    <n v="4"/>
    <x v="4"/>
    <s v="Clerical"/>
    <s v="Yes"/>
    <n v="0"/>
    <s v="0-1 Miles"/>
    <x v="0"/>
    <n v="45"/>
    <x v="0"/>
    <s v="No"/>
    <n v="0"/>
  </r>
  <r>
    <n v="24174"/>
    <s v="Married"/>
    <s v="Male"/>
    <n v="20000"/>
    <x v="0"/>
    <n v="0"/>
    <x v="0"/>
    <s v="Clerical"/>
    <s v="Yes"/>
    <n v="0"/>
    <s v="0-1 Miles"/>
    <x v="1"/>
    <n v="27"/>
    <x v="3"/>
    <s v="Yes"/>
    <n v="1"/>
  </r>
  <r>
    <n v="24611"/>
    <s v="Single"/>
    <s v="Male"/>
    <n v="90000"/>
    <x v="1"/>
    <n v="0"/>
    <x v="0"/>
    <s v="Professional"/>
    <s v="No"/>
    <n v="4"/>
    <s v="More than 10 Miles"/>
    <x v="1"/>
    <n v="35"/>
    <x v="2"/>
    <s v="Yes"/>
    <n v="1"/>
  </r>
  <r>
    <n v="11340"/>
    <s v="Married"/>
    <s v="Female"/>
    <n v="10000"/>
    <x v="0"/>
    <n v="1"/>
    <x v="4"/>
    <s v="Clerical"/>
    <s v="Yes"/>
    <n v="0"/>
    <s v="0-1 Miles"/>
    <x v="0"/>
    <n v="70"/>
    <x v="1"/>
    <s v="Yes"/>
    <n v="1"/>
  </r>
  <r>
    <n v="25693"/>
    <s v="Single"/>
    <s v="Female"/>
    <n v="30000"/>
    <x v="0"/>
    <n v="5"/>
    <x v="4"/>
    <s v="Clerical"/>
    <s v="Yes"/>
    <n v="0"/>
    <s v="0-1 Miles"/>
    <x v="0"/>
    <n v="44"/>
    <x v="0"/>
    <s v="Yes"/>
    <n v="1"/>
  </r>
  <r>
    <n v="25555"/>
    <s v="Married"/>
    <s v="Female"/>
    <n v="10000"/>
    <x v="0"/>
    <n v="0"/>
    <x v="1"/>
    <s v="Manual"/>
    <s v="No"/>
    <n v="1"/>
    <s v="0-1 Miles"/>
    <x v="1"/>
    <n v="26"/>
    <x v="3"/>
    <s v="Yes"/>
    <n v="1"/>
  </r>
  <r>
    <n v="22006"/>
    <s v="Married"/>
    <s v="Male"/>
    <n v="70000"/>
    <x v="1"/>
    <n v="5"/>
    <x v="1"/>
    <s v="Skilled Manual"/>
    <s v="Yes"/>
    <n v="3"/>
    <s v="5-10 Miles"/>
    <x v="1"/>
    <n v="46"/>
    <x v="0"/>
    <s v="No"/>
    <n v="0"/>
  </r>
  <r>
    <n v="20060"/>
    <s v="Single"/>
    <s v="Female"/>
    <n v="30000"/>
    <x v="0"/>
    <n v="0"/>
    <x v="2"/>
    <s v="Manual"/>
    <s v="No"/>
    <n v="1"/>
    <s v="2-5 Miles"/>
    <x v="0"/>
    <n v="34"/>
    <x v="2"/>
    <s v="Yes"/>
    <n v="1"/>
  </r>
  <r>
    <n v="17702"/>
    <s v="Married"/>
    <s v="Male"/>
    <n v="10000"/>
    <x v="0"/>
    <n v="1"/>
    <x v="4"/>
    <s v="Manual"/>
    <s v="Yes"/>
    <n v="0"/>
    <s v="0-1 Miles"/>
    <x v="0"/>
    <n v="37"/>
    <x v="2"/>
    <s v="No"/>
    <n v="0"/>
  </r>
  <r>
    <n v="12503"/>
    <s v="Single"/>
    <s v="Female"/>
    <n v="30000"/>
    <x v="0"/>
    <n v="3"/>
    <x v="1"/>
    <s v="Clerical"/>
    <s v="Yes"/>
    <n v="2"/>
    <s v="0-1 Miles"/>
    <x v="0"/>
    <n v="27"/>
    <x v="3"/>
    <s v="No"/>
    <n v="0"/>
  </r>
  <r>
    <n v="23908"/>
    <s v="Single"/>
    <s v="Male"/>
    <n v="30000"/>
    <x v="0"/>
    <n v="1"/>
    <x v="0"/>
    <s v="Clerical"/>
    <s v="No"/>
    <n v="1"/>
    <s v="0-1 Miles"/>
    <x v="0"/>
    <n v="39"/>
    <x v="2"/>
    <s v="Yes"/>
    <n v="1"/>
  </r>
  <r>
    <n v="22527"/>
    <s v="Single"/>
    <s v="Female"/>
    <n v="20000"/>
    <x v="0"/>
    <n v="0"/>
    <x v="2"/>
    <s v="Manual"/>
    <s v="No"/>
    <n v="1"/>
    <s v="2-5 Miles"/>
    <x v="0"/>
    <n v="29"/>
    <x v="3"/>
    <s v="No"/>
    <n v="0"/>
  </r>
  <r>
    <n v="19057"/>
    <s v="Married"/>
    <s v="Female"/>
    <n v="120000"/>
    <x v="1"/>
    <n v="3"/>
    <x v="0"/>
    <s v="Management"/>
    <s v="No"/>
    <n v="2"/>
    <s v="More than 10 Miles"/>
    <x v="0"/>
    <n v="52"/>
    <x v="0"/>
    <s v="Yes"/>
    <n v="1"/>
  </r>
  <r>
    <n v="18494"/>
    <s v="Married"/>
    <s v="Male"/>
    <n v="110000"/>
    <x v="1"/>
    <n v="5"/>
    <x v="0"/>
    <s v="Management"/>
    <s v="Yes"/>
    <n v="4"/>
    <s v="2-5 Miles"/>
    <x v="1"/>
    <n v="48"/>
    <x v="0"/>
    <s v="Yes"/>
    <n v="1"/>
  </r>
  <r>
    <n v="11249"/>
    <s v="Married"/>
    <s v="Female"/>
    <n v="130000"/>
    <x v="2"/>
    <n v="3"/>
    <x v="1"/>
    <s v="Professional"/>
    <s v="Yes"/>
    <n v="3"/>
    <s v="0-1 Miles"/>
    <x v="0"/>
    <n v="51"/>
    <x v="0"/>
    <s v="Yes"/>
    <n v="1"/>
  </r>
  <r>
    <n v="21568"/>
    <s v="Married"/>
    <s v="Female"/>
    <n v="100000"/>
    <x v="1"/>
    <n v="0"/>
    <x v="2"/>
    <s v="Management"/>
    <s v="Yes"/>
    <n v="4"/>
    <s v="More than 10 Miles"/>
    <x v="1"/>
    <n v="34"/>
    <x v="2"/>
    <s v="Yes"/>
    <n v="1"/>
  </r>
  <r>
    <n v="13981"/>
    <s v="Married"/>
    <s v="Female"/>
    <n v="10000"/>
    <x v="0"/>
    <n v="5"/>
    <x v="2"/>
    <s v="Skilled Manual"/>
    <s v="No"/>
    <n v="3"/>
    <s v="1-2 Miles"/>
    <x v="1"/>
    <n v="62"/>
    <x v="1"/>
    <s v="No"/>
    <n v="0"/>
  </r>
  <r>
    <n v="23432"/>
    <s v="Single"/>
    <s v="Male"/>
    <n v="70000"/>
    <x v="1"/>
    <n v="0"/>
    <x v="0"/>
    <s v="Professional"/>
    <s v="Yes"/>
    <n v="1"/>
    <s v="5-10 Miles"/>
    <x v="1"/>
    <n v="37"/>
    <x v="2"/>
    <s v="Yes"/>
    <n v="1"/>
  </r>
  <r>
    <n v="22931"/>
    <s v="Married"/>
    <s v="Male"/>
    <n v="100000"/>
    <x v="1"/>
    <n v="5"/>
    <x v="4"/>
    <s v="Management"/>
    <s v="No"/>
    <n v="1"/>
    <s v="1-2 Miles"/>
    <x v="1"/>
    <n v="78"/>
    <x v="1"/>
    <s v="Yes"/>
    <n v="1"/>
  </r>
  <r>
    <n v="18172"/>
    <s v="Married"/>
    <s v="Male"/>
    <n v="130000"/>
    <x v="2"/>
    <n v="4"/>
    <x v="2"/>
    <s v="Professional"/>
    <s v="Yes"/>
    <n v="3"/>
    <s v="0-1 Miles"/>
    <x v="0"/>
    <n v="55"/>
    <x v="0"/>
    <s v="No"/>
    <n v="0"/>
  </r>
  <r>
    <n v="12666"/>
    <s v="Single"/>
    <s v="Male"/>
    <n v="60000"/>
    <x v="0"/>
    <n v="0"/>
    <x v="0"/>
    <s v="Professional"/>
    <s v="No"/>
    <n v="4"/>
    <s v="2-5 Miles"/>
    <x v="1"/>
    <n v="31"/>
    <x v="2"/>
    <s v="No"/>
    <n v="0"/>
  </r>
  <r>
    <n v="20598"/>
    <s v="Married"/>
    <s v="Male"/>
    <n v="100000"/>
    <x v="1"/>
    <n v="3"/>
    <x v="3"/>
    <s v="Professional"/>
    <s v="Yes"/>
    <n v="0"/>
    <s v="More than 10 Miles"/>
    <x v="0"/>
    <n v="59"/>
    <x v="0"/>
    <s v="Yes"/>
    <n v="1"/>
  </r>
  <r>
    <n v="21375"/>
    <s v="Single"/>
    <s v="Male"/>
    <n v="20000"/>
    <x v="0"/>
    <n v="2"/>
    <x v="3"/>
    <s v="Clerical"/>
    <s v="Yes"/>
    <n v="2"/>
    <s v="5-10 Miles"/>
    <x v="1"/>
    <n v="57"/>
    <x v="0"/>
    <s v="No"/>
    <n v="0"/>
  </r>
  <r>
    <n v="20839"/>
    <s v="Single"/>
    <s v="Female"/>
    <n v="30000"/>
    <x v="0"/>
    <n v="3"/>
    <x v="4"/>
    <s v="Clerical"/>
    <s v="Yes"/>
    <n v="0"/>
    <s v="0-1 Miles"/>
    <x v="0"/>
    <n v="47"/>
    <x v="0"/>
    <s v="Yes"/>
    <n v="1"/>
  </r>
  <r>
    <n v="21738"/>
    <s v="Married"/>
    <s v="Male"/>
    <n v="20000"/>
    <x v="0"/>
    <n v="1"/>
    <x v="4"/>
    <s v="Clerical"/>
    <s v="Yes"/>
    <n v="0"/>
    <s v="0-1 Miles"/>
    <x v="0"/>
    <n v="43"/>
    <x v="0"/>
    <s v="No"/>
    <n v="0"/>
  </r>
  <r>
    <n v="14164"/>
    <s v="Single"/>
    <s v="Female"/>
    <n v="50000"/>
    <x v="0"/>
    <n v="0"/>
    <x v="4"/>
    <s v="Skilled Manual"/>
    <s v="Yes"/>
    <n v="0"/>
    <s v="0-1 Miles"/>
    <x v="0"/>
    <n v="36"/>
    <x v="2"/>
    <s v="Yes"/>
    <n v="1"/>
  </r>
  <r>
    <n v="14193"/>
    <s v="Single"/>
    <s v="Female"/>
    <n v="100000"/>
    <x v="1"/>
    <n v="3"/>
    <x v="1"/>
    <s v="Management"/>
    <s v="Yes"/>
    <n v="4"/>
    <s v="More than 10 Miles"/>
    <x v="0"/>
    <n v="56"/>
    <x v="0"/>
    <s v="No"/>
    <n v="0"/>
  </r>
  <r>
    <n v="12705"/>
    <s v="Married"/>
    <s v="Male"/>
    <n v="150000"/>
    <x v="2"/>
    <n v="0"/>
    <x v="0"/>
    <s v="Management"/>
    <s v="Yes"/>
    <n v="4"/>
    <s v="0-1 Miles"/>
    <x v="1"/>
    <n v="37"/>
    <x v="2"/>
    <s v="Yes"/>
    <n v="1"/>
  </r>
  <r>
    <n v="22672"/>
    <s v="Single"/>
    <s v="Female"/>
    <n v="30000"/>
    <x v="0"/>
    <n v="2"/>
    <x v="1"/>
    <s v="Clerical"/>
    <s v="Yes"/>
    <n v="0"/>
    <s v="0-1 Miles"/>
    <x v="0"/>
    <n v="43"/>
    <x v="0"/>
    <s v="No"/>
    <n v="0"/>
  </r>
  <r>
    <n v="26219"/>
    <s v="Married"/>
    <s v="Female"/>
    <n v="40000"/>
    <x v="0"/>
    <n v="1"/>
    <x v="0"/>
    <s v="Skilled Manual"/>
    <s v="Yes"/>
    <n v="1"/>
    <s v="1-2 Miles"/>
    <x v="0"/>
    <n v="33"/>
    <x v="2"/>
    <s v="Yes"/>
    <n v="1"/>
  </r>
  <r>
    <n v="28468"/>
    <s v="Married"/>
    <s v="Female"/>
    <n v="10000"/>
    <x v="0"/>
    <n v="2"/>
    <x v="1"/>
    <s v="Manual"/>
    <s v="Yes"/>
    <n v="0"/>
    <s v="1-2 Miles"/>
    <x v="0"/>
    <n v="51"/>
    <x v="0"/>
    <s v="No"/>
    <n v="0"/>
  </r>
  <r>
    <n v="23419"/>
    <s v="Single"/>
    <s v="Female"/>
    <n v="70000"/>
    <x v="1"/>
    <n v="5"/>
    <x v="0"/>
    <s v="Professional"/>
    <s v="Yes"/>
    <n v="3"/>
    <s v="More than 10 Miles"/>
    <x v="1"/>
    <n v="39"/>
    <x v="2"/>
    <s v="No"/>
    <n v="0"/>
  </r>
  <r>
    <n v="17964"/>
    <s v="Married"/>
    <s v="Male"/>
    <n v="40000"/>
    <x v="0"/>
    <n v="0"/>
    <x v="4"/>
    <s v="Clerical"/>
    <s v="Yes"/>
    <n v="0"/>
    <s v="0-1 Miles"/>
    <x v="0"/>
    <n v="37"/>
    <x v="2"/>
    <s v="Yes"/>
    <n v="1"/>
  </r>
  <r>
    <n v="20919"/>
    <s v="Single"/>
    <s v="Female"/>
    <n v="30000"/>
    <x v="0"/>
    <n v="2"/>
    <x v="1"/>
    <s v="Clerical"/>
    <s v="Yes"/>
    <n v="2"/>
    <s v="0-1 Miles"/>
    <x v="0"/>
    <n v="42"/>
    <x v="0"/>
    <s v="No"/>
    <n v="0"/>
  </r>
  <r>
    <n v="20927"/>
    <s v="Single"/>
    <s v="Female"/>
    <n v="20000"/>
    <x v="0"/>
    <n v="5"/>
    <x v="2"/>
    <s v="Manual"/>
    <s v="Yes"/>
    <n v="2"/>
    <s v="0-1 Miles"/>
    <x v="0"/>
    <n v="27"/>
    <x v="3"/>
    <s v="No"/>
    <n v="0"/>
  </r>
  <r>
    <n v="13133"/>
    <s v="Single"/>
    <s v="Male"/>
    <n v="100000"/>
    <x v="1"/>
    <n v="5"/>
    <x v="0"/>
    <s v="Professional"/>
    <s v="Yes"/>
    <n v="1"/>
    <s v="5-10 Miles"/>
    <x v="1"/>
    <n v="47"/>
    <x v="0"/>
    <s v="Yes"/>
    <n v="1"/>
  </r>
  <r>
    <n v="19626"/>
    <s v="Married"/>
    <s v="Male"/>
    <n v="70000"/>
    <x v="1"/>
    <n v="5"/>
    <x v="1"/>
    <s v="Skilled Manual"/>
    <s v="Yes"/>
    <n v="3"/>
    <s v="5-10 Miles"/>
    <x v="1"/>
    <n v="45"/>
    <x v="0"/>
    <s v="No"/>
    <n v="0"/>
  </r>
  <r>
    <n v="21039"/>
    <s v="Single"/>
    <s v="Female"/>
    <n v="50000"/>
    <x v="0"/>
    <n v="0"/>
    <x v="4"/>
    <s v="Skilled Manual"/>
    <s v="No"/>
    <n v="0"/>
    <s v="0-1 Miles"/>
    <x v="0"/>
    <n v="37"/>
    <x v="2"/>
    <s v="Yes"/>
    <n v="1"/>
  </r>
  <r>
    <n v="12231"/>
    <s v="Single"/>
    <s v="Female"/>
    <n v="10000"/>
    <x v="0"/>
    <n v="2"/>
    <x v="1"/>
    <s v="Manual"/>
    <s v="Yes"/>
    <n v="0"/>
    <s v="0-1 Miles"/>
    <x v="0"/>
    <n v="51"/>
    <x v="0"/>
    <s v="Yes"/>
    <n v="1"/>
  </r>
  <r>
    <n v="25665"/>
    <s v="Single"/>
    <s v="Female"/>
    <n v="20000"/>
    <x v="0"/>
    <n v="0"/>
    <x v="2"/>
    <s v="Manual"/>
    <s v="No"/>
    <n v="1"/>
    <s v="1-2 Miles"/>
    <x v="0"/>
    <n v="28"/>
    <x v="3"/>
    <s v="No"/>
    <n v="0"/>
  </r>
  <r>
    <n v="24061"/>
    <s v="Married"/>
    <s v="Male"/>
    <n v="10000"/>
    <x v="0"/>
    <n v="4"/>
    <x v="3"/>
    <s v="Manual"/>
    <s v="Yes"/>
    <n v="1"/>
    <s v="0-1 Miles"/>
    <x v="0"/>
    <n v="40"/>
    <x v="0"/>
    <s v="Yes"/>
    <n v="1"/>
  </r>
  <r>
    <n v="26879"/>
    <s v="Single"/>
    <s v="Female"/>
    <n v="20000"/>
    <x v="0"/>
    <n v="0"/>
    <x v="2"/>
    <s v="Manual"/>
    <s v="No"/>
    <n v="1"/>
    <s v="2-5 Miles"/>
    <x v="0"/>
    <n v="30"/>
    <x v="2"/>
    <s v="No"/>
    <n v="0"/>
  </r>
  <r>
    <n v="12284"/>
    <s v="Married"/>
    <s v="Female"/>
    <n v="30000"/>
    <x v="0"/>
    <n v="0"/>
    <x v="0"/>
    <s v="Clerical"/>
    <s v="No"/>
    <n v="0"/>
    <s v="0-1 Miles"/>
    <x v="0"/>
    <n v="36"/>
    <x v="2"/>
    <s v="Yes"/>
    <n v="1"/>
  </r>
  <r>
    <n v="26654"/>
    <s v="Married"/>
    <s v="Female"/>
    <n v="90000"/>
    <x v="1"/>
    <n v="1"/>
    <x v="4"/>
    <s v="Management"/>
    <s v="Yes"/>
    <n v="0"/>
    <s v="0-1 Miles"/>
    <x v="1"/>
    <n v="37"/>
    <x v="2"/>
    <s v="Yes"/>
    <n v="1"/>
  </r>
  <r>
    <n v="14545"/>
    <s v="Married"/>
    <s v="Female"/>
    <n v="10000"/>
    <x v="0"/>
    <n v="2"/>
    <x v="1"/>
    <s v="Manual"/>
    <s v="Yes"/>
    <n v="0"/>
    <s v="1-2 Miles"/>
    <x v="0"/>
    <n v="49"/>
    <x v="0"/>
    <s v="No"/>
    <n v="0"/>
  </r>
  <r>
    <n v="24201"/>
    <s v="Married"/>
    <s v="Female"/>
    <n v="10000"/>
    <x v="0"/>
    <n v="2"/>
    <x v="2"/>
    <s v="Manual"/>
    <s v="Yes"/>
    <n v="0"/>
    <s v="0-1 Miles"/>
    <x v="0"/>
    <n v="37"/>
    <x v="2"/>
    <s v="Yes"/>
    <n v="1"/>
  </r>
  <r>
    <n v="20625"/>
    <s v="Married"/>
    <s v="Male"/>
    <n v="100000"/>
    <x v="1"/>
    <n v="0"/>
    <x v="2"/>
    <s v="Management"/>
    <s v="Yes"/>
    <n v="3"/>
    <s v="More than 10 Miles"/>
    <x v="1"/>
    <n v="35"/>
    <x v="2"/>
    <s v="Yes"/>
    <n v="1"/>
  </r>
  <r>
    <n v="16390"/>
    <s v="Single"/>
    <s v="Male"/>
    <n v="30000"/>
    <x v="0"/>
    <n v="1"/>
    <x v="0"/>
    <s v="Clerical"/>
    <s v="No"/>
    <n v="0"/>
    <s v="0-1 Miles"/>
    <x v="0"/>
    <n v="38"/>
    <x v="2"/>
    <s v="Yes"/>
    <n v="1"/>
  </r>
  <r>
    <n v="14804"/>
    <s v="Single"/>
    <s v="Female"/>
    <n v="10000"/>
    <x v="0"/>
    <n v="3"/>
    <x v="3"/>
    <s v="Manual"/>
    <s v="Yes"/>
    <n v="2"/>
    <s v="0-1 Miles"/>
    <x v="0"/>
    <n v="43"/>
    <x v="0"/>
    <s v="No"/>
    <n v="0"/>
  </r>
  <r>
    <n v="12629"/>
    <s v="Single"/>
    <s v="Male"/>
    <n v="20000"/>
    <x v="0"/>
    <n v="1"/>
    <x v="1"/>
    <s v="Manual"/>
    <s v="No"/>
    <n v="0"/>
    <s v="0-1 Miles"/>
    <x v="0"/>
    <n v="37"/>
    <x v="2"/>
    <s v="No"/>
    <n v="0"/>
  </r>
  <r>
    <n v="14696"/>
    <s v="Single"/>
    <s v="Male"/>
    <n v="10000"/>
    <x v="0"/>
    <n v="0"/>
    <x v="3"/>
    <s v="Manual"/>
    <s v="No"/>
    <n v="2"/>
    <s v="0-1 Miles"/>
    <x v="0"/>
    <n v="34"/>
    <x v="2"/>
    <s v="No"/>
    <n v="0"/>
  </r>
  <r>
    <n v="22005"/>
    <s v="Married"/>
    <s v="Female"/>
    <n v="70000"/>
    <x v="1"/>
    <n v="5"/>
    <x v="1"/>
    <s v="Skilled Manual"/>
    <s v="No"/>
    <n v="3"/>
    <s v="5-10 Miles"/>
    <x v="1"/>
    <n v="46"/>
    <x v="0"/>
    <s v="No"/>
    <n v="0"/>
  </r>
  <r>
    <n v="14544"/>
    <s v="Single"/>
    <s v="Male"/>
    <n v="10000"/>
    <x v="0"/>
    <n v="1"/>
    <x v="1"/>
    <s v="Manual"/>
    <s v="Yes"/>
    <n v="0"/>
    <s v="0-1 Miles"/>
    <x v="0"/>
    <n v="49"/>
    <x v="0"/>
    <s v="No"/>
    <n v="0"/>
  </r>
  <r>
    <n v="14312"/>
    <s v="Married"/>
    <s v="Female"/>
    <n v="60000"/>
    <x v="0"/>
    <n v="1"/>
    <x v="1"/>
    <s v="Skilled Manual"/>
    <s v="Yes"/>
    <n v="1"/>
    <s v="5-10 Miles"/>
    <x v="1"/>
    <n v="45"/>
    <x v="0"/>
    <s v="No"/>
    <n v="0"/>
  </r>
  <r>
    <n v="29120"/>
    <s v="Single"/>
    <s v="Female"/>
    <n v="100000"/>
    <x v="1"/>
    <n v="1"/>
    <x v="0"/>
    <s v="Management"/>
    <s v="Yes"/>
    <n v="4"/>
    <s v="2-5 Miles"/>
    <x v="1"/>
    <n v="48"/>
    <x v="0"/>
    <s v="No"/>
    <n v="0"/>
  </r>
  <r>
    <n v="24187"/>
    <s v="Single"/>
    <s v="Female"/>
    <n v="30000"/>
    <x v="0"/>
    <n v="3"/>
    <x v="4"/>
    <s v="Clerical"/>
    <s v="No"/>
    <n v="0"/>
    <s v="0-1 Miles"/>
    <x v="0"/>
    <n v="46"/>
    <x v="0"/>
    <s v="Yes"/>
    <n v="1"/>
  </r>
  <r>
    <n v="15758"/>
    <s v="Married"/>
    <s v="Male"/>
    <n v="130000"/>
    <x v="2"/>
    <n v="0"/>
    <x v="4"/>
    <s v="Management"/>
    <s v="Yes"/>
    <n v="0"/>
    <s v="5-10 Miles"/>
    <x v="1"/>
    <n v="48"/>
    <x v="0"/>
    <s v="No"/>
    <n v="0"/>
  </r>
  <r>
    <n v="29094"/>
    <s v="Married"/>
    <s v="Male"/>
    <n v="30000"/>
    <x v="0"/>
    <n v="3"/>
    <x v="2"/>
    <s v="Skilled Manual"/>
    <s v="Yes"/>
    <n v="2"/>
    <s v="5-10 Miles"/>
    <x v="1"/>
    <n v="54"/>
    <x v="0"/>
    <s v="Yes"/>
    <n v="1"/>
  </r>
  <r>
    <n v="28319"/>
    <s v="Single"/>
    <s v="Female"/>
    <n v="60000"/>
    <x v="0"/>
    <n v="1"/>
    <x v="1"/>
    <s v="Skilled Manual"/>
    <s v="No"/>
    <n v="1"/>
    <s v="0-1 Miles"/>
    <x v="1"/>
    <n v="46"/>
    <x v="0"/>
    <s v="Yes"/>
    <n v="1"/>
  </r>
  <r>
    <n v="16406"/>
    <s v="Married"/>
    <s v="Male"/>
    <n v="40000"/>
    <x v="0"/>
    <n v="0"/>
    <x v="0"/>
    <s v="Clerical"/>
    <s v="No"/>
    <n v="0"/>
    <s v="0-1 Miles"/>
    <x v="0"/>
    <n v="38"/>
    <x v="2"/>
    <s v="Yes"/>
    <n v="1"/>
  </r>
  <r>
    <n v="20923"/>
    <s v="Married"/>
    <s v="Female"/>
    <n v="40000"/>
    <x v="0"/>
    <n v="1"/>
    <x v="0"/>
    <s v="Skilled Manual"/>
    <s v="Yes"/>
    <n v="0"/>
    <s v="0-1 Miles"/>
    <x v="0"/>
    <n v="42"/>
    <x v="0"/>
    <s v="Yes"/>
    <n v="1"/>
  </r>
  <r>
    <n v="11378"/>
    <s v="Single"/>
    <s v="Female"/>
    <n v="10000"/>
    <x v="0"/>
    <n v="1"/>
    <x v="2"/>
    <s v="Manual"/>
    <s v="No"/>
    <n v="1"/>
    <s v="2-5 Miles"/>
    <x v="0"/>
    <n v="46"/>
    <x v="0"/>
    <s v="Yes"/>
    <n v="1"/>
  </r>
  <r>
    <n v="20851"/>
    <s v="Single"/>
    <s v="Male"/>
    <n v="20000"/>
    <x v="0"/>
    <n v="0"/>
    <x v="1"/>
    <s v="Manual"/>
    <s v="No"/>
    <n v="1"/>
    <s v="2-5 Miles"/>
    <x v="0"/>
    <n v="36"/>
    <x v="2"/>
    <s v="Yes"/>
    <n v="1"/>
  </r>
  <r>
    <n v="21557"/>
    <s v="Single"/>
    <s v="Female"/>
    <n v="110000"/>
    <x v="1"/>
    <n v="0"/>
    <x v="1"/>
    <s v="Management"/>
    <s v="Yes"/>
    <n v="3"/>
    <s v="More than 10 Miles"/>
    <x v="1"/>
    <n v="32"/>
    <x v="2"/>
    <s v="Yes"/>
    <n v="1"/>
  </r>
  <r>
    <n v="26663"/>
    <s v="Single"/>
    <s v="Female"/>
    <n v="60000"/>
    <x v="0"/>
    <n v="2"/>
    <x v="0"/>
    <s v="Professional"/>
    <s v="No"/>
    <n v="1"/>
    <s v="0-1 Miles"/>
    <x v="1"/>
    <n v="39"/>
    <x v="2"/>
    <s v="Yes"/>
    <n v="1"/>
  </r>
  <r>
    <n v="11896"/>
    <s v="Married"/>
    <s v="Male"/>
    <n v="100000"/>
    <x v="1"/>
    <n v="1"/>
    <x v="4"/>
    <s v="Management"/>
    <s v="Yes"/>
    <n v="0"/>
    <s v="2-5 Miles"/>
    <x v="1"/>
    <n v="36"/>
    <x v="2"/>
    <s v="Yes"/>
    <n v="1"/>
  </r>
  <r>
    <n v="14189"/>
    <s v="Married"/>
    <s v="Female"/>
    <n v="90000"/>
    <x v="1"/>
    <n v="4"/>
    <x v="2"/>
    <s v="Professional"/>
    <s v="No"/>
    <n v="2"/>
    <s v="2-5 Miles"/>
    <x v="0"/>
    <n v="54"/>
    <x v="0"/>
    <s v="Yes"/>
    <n v="1"/>
  </r>
  <r>
    <n v="13136"/>
    <s v="Married"/>
    <s v="Female"/>
    <n v="30000"/>
    <x v="0"/>
    <n v="2"/>
    <x v="1"/>
    <s v="Clerical"/>
    <s v="No"/>
    <n v="2"/>
    <s v="5-10 Miles"/>
    <x v="1"/>
    <n v="69"/>
    <x v="1"/>
    <s v="No"/>
    <n v="0"/>
  </r>
  <r>
    <n v="25906"/>
    <s v="Single"/>
    <s v="Female"/>
    <n v="10000"/>
    <x v="0"/>
    <n v="5"/>
    <x v="2"/>
    <s v="Skilled Manual"/>
    <s v="No"/>
    <n v="2"/>
    <s v="1-2 Miles"/>
    <x v="1"/>
    <n v="62"/>
    <x v="1"/>
    <s v="No"/>
    <n v="0"/>
  </r>
  <r>
    <n v="17926"/>
    <s v="Single"/>
    <s v="Female"/>
    <n v="40000"/>
    <x v="0"/>
    <n v="0"/>
    <x v="0"/>
    <s v="Clerical"/>
    <s v="No"/>
    <n v="0"/>
    <s v="0-1 Miles"/>
    <x v="1"/>
    <n v="28"/>
    <x v="3"/>
    <s v="Yes"/>
    <n v="1"/>
  </r>
  <r>
    <n v="26928"/>
    <s v="Single"/>
    <s v="Male"/>
    <n v="30000"/>
    <x v="0"/>
    <n v="1"/>
    <x v="0"/>
    <s v="Clerical"/>
    <s v="Yes"/>
    <n v="0"/>
    <s v="0-1 Miles"/>
    <x v="0"/>
    <n v="62"/>
    <x v="1"/>
    <s v="Yes"/>
    <n v="1"/>
  </r>
  <r>
    <n v="20897"/>
    <s v="Married"/>
    <s v="Female"/>
    <n v="30000"/>
    <x v="0"/>
    <n v="1"/>
    <x v="0"/>
    <s v="Skilled Manual"/>
    <s v="Yes"/>
    <n v="2"/>
    <s v="0-1 Miles"/>
    <x v="0"/>
    <n v="40"/>
    <x v="0"/>
    <s v="No"/>
    <n v="0"/>
  </r>
  <r>
    <n v="28207"/>
    <s v="Married"/>
    <s v="Male"/>
    <n v="80000"/>
    <x v="1"/>
    <n v="4"/>
    <x v="4"/>
    <s v="Management"/>
    <s v="Yes"/>
    <n v="1"/>
    <s v="0-1 Miles"/>
    <x v="1"/>
    <n v="36"/>
    <x v="2"/>
    <s v="Yes"/>
    <n v="1"/>
  </r>
  <r>
    <n v="25923"/>
    <s v="Single"/>
    <s v="Male"/>
    <n v="10000"/>
    <x v="0"/>
    <n v="2"/>
    <x v="3"/>
    <s v="Clerical"/>
    <s v="Yes"/>
    <n v="2"/>
    <s v="5-10 Miles"/>
    <x v="1"/>
    <n v="58"/>
    <x v="0"/>
    <s v="No"/>
    <n v="0"/>
  </r>
  <r>
    <n v="11000"/>
    <s v="Married"/>
    <s v="Male"/>
    <n v="90000"/>
    <x v="1"/>
    <n v="2"/>
    <x v="0"/>
    <s v="Professional"/>
    <s v="Yes"/>
    <n v="0"/>
    <s v="1-2 Miles"/>
    <x v="1"/>
    <n v="40"/>
    <x v="0"/>
    <s v="Yes"/>
    <n v="1"/>
  </r>
  <r>
    <n v="20974"/>
    <s v="Married"/>
    <s v="Male"/>
    <n v="10000"/>
    <x v="0"/>
    <n v="2"/>
    <x v="0"/>
    <s v="Clerical"/>
    <s v="Yes"/>
    <n v="1"/>
    <s v="0-1 Miles"/>
    <x v="0"/>
    <n v="66"/>
    <x v="1"/>
    <s v="No"/>
    <n v="0"/>
  </r>
  <r>
    <n v="28758"/>
    <s v="Married"/>
    <s v="Male"/>
    <n v="40000"/>
    <x v="0"/>
    <n v="2"/>
    <x v="1"/>
    <s v="Clerical"/>
    <s v="Yes"/>
    <n v="1"/>
    <s v="1-2 Miles"/>
    <x v="0"/>
    <n v="35"/>
    <x v="2"/>
    <s v="Yes"/>
    <n v="1"/>
  </r>
  <r>
    <n v="11381"/>
    <s v="Married"/>
    <s v="Female"/>
    <n v="20000"/>
    <x v="0"/>
    <n v="2"/>
    <x v="1"/>
    <s v="Manual"/>
    <s v="Yes"/>
    <n v="1"/>
    <s v="2-5 Miles"/>
    <x v="0"/>
    <n v="47"/>
    <x v="0"/>
    <s v="Yes"/>
    <n v="1"/>
  </r>
  <r>
    <n v="17522"/>
    <s v="Married"/>
    <s v="Male"/>
    <n v="120000"/>
    <x v="1"/>
    <n v="4"/>
    <x v="0"/>
    <s v="Management"/>
    <s v="Yes"/>
    <n v="1"/>
    <s v="2-5 Miles"/>
    <x v="1"/>
    <n v="47"/>
    <x v="0"/>
    <s v="No"/>
    <n v="0"/>
  </r>
  <r>
    <n v="21207"/>
    <s v="Married"/>
    <s v="Male"/>
    <n v="60000"/>
    <x v="0"/>
    <n v="1"/>
    <x v="1"/>
    <s v="Skilled Manual"/>
    <s v="Yes"/>
    <n v="1"/>
    <s v="5-10 Miles"/>
    <x v="1"/>
    <n v="46"/>
    <x v="0"/>
    <s v="No"/>
    <n v="0"/>
  </r>
  <r>
    <n v="28102"/>
    <s v="Married"/>
    <s v="Male"/>
    <n v="20000"/>
    <x v="0"/>
    <n v="4"/>
    <x v="2"/>
    <s v="Skilled Manual"/>
    <s v="Yes"/>
    <n v="2"/>
    <s v="5-10 Miles"/>
    <x v="1"/>
    <n v="58"/>
    <x v="0"/>
    <s v="Yes"/>
    <n v="1"/>
  </r>
  <r>
    <n v="23105"/>
    <s v="Single"/>
    <s v="Male"/>
    <n v="40000"/>
    <x v="0"/>
    <n v="3"/>
    <x v="3"/>
    <s v="Clerical"/>
    <s v="No"/>
    <n v="2"/>
    <s v="5-10 Miles"/>
    <x v="1"/>
    <n v="52"/>
    <x v="0"/>
    <s v="Yes"/>
    <n v="1"/>
  </r>
  <r>
    <n v="18740"/>
    <s v="Married"/>
    <s v="Male"/>
    <n v="80000"/>
    <x v="1"/>
    <n v="5"/>
    <x v="0"/>
    <s v="Professional"/>
    <s v="No"/>
    <n v="1"/>
    <s v="0-1 Miles"/>
    <x v="1"/>
    <n v="47"/>
    <x v="0"/>
    <s v="Yes"/>
    <n v="1"/>
  </r>
  <r>
    <n v="21213"/>
    <s v="Single"/>
    <s v="Male"/>
    <n v="70000"/>
    <x v="1"/>
    <n v="0"/>
    <x v="0"/>
    <s v="Professional"/>
    <s v="No"/>
    <n v="1"/>
    <s v="5-10 Miles"/>
    <x v="1"/>
    <n v="41"/>
    <x v="0"/>
    <s v="No"/>
    <n v="0"/>
  </r>
  <r>
    <n v="17352"/>
    <s v="Married"/>
    <s v="Male"/>
    <n v="50000"/>
    <x v="0"/>
    <n v="2"/>
    <x v="4"/>
    <s v="Management"/>
    <s v="Yes"/>
    <n v="1"/>
    <s v="5-10 Miles"/>
    <x v="1"/>
    <n v="64"/>
    <x v="1"/>
    <s v="Yes"/>
    <n v="1"/>
  </r>
  <r>
    <n v="14154"/>
    <s v="Married"/>
    <s v="Male"/>
    <n v="30000"/>
    <x v="0"/>
    <n v="0"/>
    <x v="0"/>
    <s v="Clerical"/>
    <s v="Yes"/>
    <n v="0"/>
    <s v="0-1 Miles"/>
    <x v="0"/>
    <n v="35"/>
    <x v="2"/>
    <s v="Yes"/>
    <n v="1"/>
  </r>
  <r>
    <n v="19066"/>
    <s v="Married"/>
    <s v="Male"/>
    <n v="130000"/>
    <x v="2"/>
    <n v="4"/>
    <x v="1"/>
    <s v="Professional"/>
    <s v="No"/>
    <n v="3"/>
    <s v="More than 10 Miles"/>
    <x v="0"/>
    <n v="54"/>
    <x v="0"/>
    <s v="No"/>
    <n v="0"/>
  </r>
  <r>
    <n v="11386"/>
    <s v="Married"/>
    <s v="Female"/>
    <n v="30000"/>
    <x v="0"/>
    <n v="3"/>
    <x v="0"/>
    <s v="Clerical"/>
    <s v="Yes"/>
    <n v="0"/>
    <s v="0-1 Miles"/>
    <x v="0"/>
    <n v="45"/>
    <x v="0"/>
    <s v="No"/>
    <n v="0"/>
  </r>
  <r>
    <n v="20228"/>
    <s v="Married"/>
    <s v="Male"/>
    <n v="100000"/>
    <x v="1"/>
    <n v="0"/>
    <x v="4"/>
    <s v="Management"/>
    <s v="Yes"/>
    <n v="0"/>
    <s v="2-5 Miles"/>
    <x v="1"/>
    <n v="40"/>
    <x v="0"/>
    <s v="Yes"/>
    <n v="1"/>
  </r>
  <r>
    <n v="16675"/>
    <s v="Single"/>
    <s v="Female"/>
    <n v="160000"/>
    <x v="2"/>
    <n v="0"/>
    <x v="4"/>
    <s v="Management"/>
    <s v="No"/>
    <n v="3"/>
    <s v="0-1 Miles"/>
    <x v="1"/>
    <n v="47"/>
    <x v="0"/>
    <s v="Yes"/>
    <n v="1"/>
  </r>
  <r>
    <n v="16410"/>
    <s v="Single"/>
    <s v="Female"/>
    <n v="10000"/>
    <x v="0"/>
    <n v="4"/>
    <x v="3"/>
    <s v="Manual"/>
    <s v="Yes"/>
    <n v="2"/>
    <s v="0-1 Miles"/>
    <x v="0"/>
    <n v="41"/>
    <x v="0"/>
    <s v="Yes"/>
    <n v="1"/>
  </r>
  <r>
    <n v="27760"/>
    <s v="Single"/>
    <s v="Female"/>
    <n v="40000"/>
    <x v="0"/>
    <n v="0"/>
    <x v="4"/>
    <s v="Clerical"/>
    <s v="No"/>
    <n v="0"/>
    <s v="0-1 Miles"/>
    <x v="0"/>
    <n v="37"/>
    <x v="2"/>
    <s v="Yes"/>
    <n v="1"/>
  </r>
  <r>
    <n v="22930"/>
    <s v="Married"/>
    <s v="Male"/>
    <n v="90000"/>
    <x v="1"/>
    <n v="4"/>
    <x v="0"/>
    <s v="Professional"/>
    <s v="Yes"/>
    <n v="0"/>
    <s v="1-2 Miles"/>
    <x v="1"/>
    <n v="38"/>
    <x v="2"/>
    <s v="Yes"/>
    <n v="1"/>
  </r>
  <r>
    <n v="23780"/>
    <s v="Single"/>
    <s v="Male"/>
    <n v="40000"/>
    <x v="0"/>
    <n v="2"/>
    <x v="1"/>
    <s v="Clerical"/>
    <s v="No"/>
    <n v="2"/>
    <s v="0-1 Miles"/>
    <x v="0"/>
    <n v="36"/>
    <x v="2"/>
    <s v="Yes"/>
    <n v="1"/>
  </r>
  <r>
    <n v="20994"/>
    <s v="Married"/>
    <s v="Female"/>
    <n v="20000"/>
    <x v="0"/>
    <n v="0"/>
    <x v="0"/>
    <s v="Clerical"/>
    <s v="No"/>
    <n v="0"/>
    <s v="0-1 Miles"/>
    <x v="1"/>
    <n v="26"/>
    <x v="3"/>
    <s v="Yes"/>
    <n v="1"/>
  </r>
  <r>
    <n v="28379"/>
    <s v="Married"/>
    <s v="Male"/>
    <n v="30000"/>
    <x v="0"/>
    <n v="1"/>
    <x v="0"/>
    <s v="Skilled Manual"/>
    <s v="Yes"/>
    <n v="2"/>
    <s v="0-1 Miles"/>
    <x v="0"/>
    <n v="40"/>
    <x v="0"/>
    <s v="No"/>
    <n v="0"/>
  </r>
  <r>
    <n v="14865"/>
    <s v="Single"/>
    <s v="Male"/>
    <n v="40000"/>
    <x v="0"/>
    <n v="2"/>
    <x v="1"/>
    <s v="Clerical"/>
    <s v="Yes"/>
    <n v="2"/>
    <s v="1-2 Miles"/>
    <x v="0"/>
    <n v="36"/>
    <x v="2"/>
    <s v="No"/>
    <n v="0"/>
  </r>
  <r>
    <n v="12663"/>
    <s v="Married"/>
    <s v="Female"/>
    <n v="90000"/>
    <x v="1"/>
    <n v="5"/>
    <x v="3"/>
    <s v="Skilled Manual"/>
    <s v="Yes"/>
    <n v="2"/>
    <s v="More than 10 Miles"/>
    <x v="0"/>
    <n v="59"/>
    <x v="0"/>
    <s v="No"/>
    <n v="0"/>
  </r>
  <r>
    <n v="24898"/>
    <s v="Single"/>
    <s v="Female"/>
    <n v="80000"/>
    <x v="1"/>
    <n v="0"/>
    <x v="0"/>
    <s v="Professional"/>
    <s v="Yes"/>
    <n v="3"/>
    <s v="More than 10 Miles"/>
    <x v="1"/>
    <n v="32"/>
    <x v="2"/>
    <s v="No"/>
    <n v="0"/>
  </r>
  <r>
    <n v="19508"/>
    <s v="Married"/>
    <s v="Male"/>
    <n v="10000"/>
    <x v="0"/>
    <n v="0"/>
    <x v="3"/>
    <s v="Manual"/>
    <s v="No"/>
    <n v="2"/>
    <s v="0-1 Miles"/>
    <x v="0"/>
    <n v="30"/>
    <x v="2"/>
    <s v="No"/>
    <n v="0"/>
  </r>
  <r>
    <n v="11489"/>
    <s v="Single"/>
    <s v="Female"/>
    <n v="20000"/>
    <x v="0"/>
    <n v="0"/>
    <x v="3"/>
    <s v="Manual"/>
    <s v="No"/>
    <n v="2"/>
    <s v="1-2 Miles"/>
    <x v="0"/>
    <n v="35"/>
    <x v="2"/>
    <s v="Yes"/>
    <n v="1"/>
  </r>
  <r>
    <n v="18160"/>
    <s v="Married"/>
    <s v="Male"/>
    <n v="130000"/>
    <x v="2"/>
    <n v="3"/>
    <x v="2"/>
    <s v="Professional"/>
    <s v="Yes"/>
    <n v="4"/>
    <s v="5-10 Miles"/>
    <x v="0"/>
    <n v="51"/>
    <x v="0"/>
    <s v="Yes"/>
    <n v="1"/>
  </r>
  <r>
    <n v="25241"/>
    <s v="Married"/>
    <s v="Male"/>
    <n v="90000"/>
    <x v="1"/>
    <n v="2"/>
    <x v="0"/>
    <s v="Professional"/>
    <s v="Yes"/>
    <n v="1"/>
    <s v="5-10 Miles"/>
    <x v="1"/>
    <n v="47"/>
    <x v="0"/>
    <s v="No"/>
    <n v="0"/>
  </r>
  <r>
    <n v="24369"/>
    <s v="Married"/>
    <s v="Male"/>
    <n v="80000"/>
    <x v="1"/>
    <n v="5"/>
    <x v="4"/>
    <s v="Management"/>
    <s v="No"/>
    <n v="2"/>
    <s v="0-1 Miles"/>
    <x v="1"/>
    <n v="39"/>
    <x v="2"/>
    <s v="No"/>
    <n v="0"/>
  </r>
  <r>
    <n v="27165"/>
    <s v="Single"/>
    <s v="Male"/>
    <n v="20000"/>
    <x v="0"/>
    <n v="0"/>
    <x v="3"/>
    <s v="Manual"/>
    <s v="No"/>
    <n v="2"/>
    <s v="0-1 Miles"/>
    <x v="0"/>
    <n v="34"/>
    <x v="2"/>
    <s v="No"/>
    <n v="0"/>
  </r>
  <r>
    <n v="29424"/>
    <s v="Married"/>
    <s v="Male"/>
    <n v="10000"/>
    <x v="0"/>
    <n v="0"/>
    <x v="3"/>
    <s v="Manual"/>
    <s v="Yes"/>
    <n v="2"/>
    <s v="0-1 Miles"/>
    <x v="0"/>
    <n v="32"/>
    <x v="2"/>
    <s v="No"/>
    <n v="0"/>
  </r>
  <r>
    <n v="15926"/>
    <s v="Single"/>
    <s v="Female"/>
    <n v="120000"/>
    <x v="1"/>
    <n v="3"/>
    <x v="2"/>
    <s v="Professional"/>
    <s v="Yes"/>
    <n v="4"/>
    <s v="5-10 Miles"/>
    <x v="0"/>
    <n v="50"/>
    <x v="0"/>
    <s v="Yes"/>
    <n v="1"/>
  </r>
  <r>
    <n v="14554"/>
    <s v="Married"/>
    <s v="Male"/>
    <n v="20000"/>
    <x v="0"/>
    <n v="1"/>
    <x v="0"/>
    <s v="Clerical"/>
    <s v="Yes"/>
    <n v="0"/>
    <s v="0-1 Miles"/>
    <x v="0"/>
    <n v="66"/>
    <x v="1"/>
    <s v="No"/>
    <n v="0"/>
  </r>
  <r>
    <n v="16468"/>
    <s v="Single"/>
    <s v="Male"/>
    <n v="30000"/>
    <x v="0"/>
    <n v="0"/>
    <x v="1"/>
    <s v="Clerical"/>
    <s v="Yes"/>
    <n v="1"/>
    <s v="2-5 Miles"/>
    <x v="0"/>
    <n v="30"/>
    <x v="2"/>
    <s v="No"/>
    <n v="0"/>
  </r>
  <r>
    <n v="19174"/>
    <s v="Single"/>
    <s v="Female"/>
    <n v="30000"/>
    <x v="0"/>
    <n v="0"/>
    <x v="2"/>
    <s v="Manual"/>
    <s v="No"/>
    <n v="1"/>
    <s v="2-5 Miles"/>
    <x v="0"/>
    <n v="32"/>
    <x v="2"/>
    <s v="Yes"/>
    <n v="1"/>
  </r>
  <r>
    <n v="19183"/>
    <s v="Single"/>
    <s v="Male"/>
    <n v="10000"/>
    <x v="0"/>
    <n v="0"/>
    <x v="3"/>
    <s v="Manual"/>
    <s v="Yes"/>
    <n v="2"/>
    <s v="1-2 Miles"/>
    <x v="0"/>
    <n v="35"/>
    <x v="2"/>
    <s v="No"/>
    <n v="0"/>
  </r>
  <r>
    <n v="13683"/>
    <s v="Single"/>
    <s v="Female"/>
    <n v="30000"/>
    <x v="0"/>
    <n v="0"/>
    <x v="2"/>
    <s v="Manual"/>
    <s v="No"/>
    <n v="1"/>
    <s v="2-5 Miles"/>
    <x v="0"/>
    <n v="32"/>
    <x v="2"/>
    <s v="No"/>
    <n v="0"/>
  </r>
  <r>
    <n v="17848"/>
    <s v="Single"/>
    <s v="Male"/>
    <n v="30000"/>
    <x v="0"/>
    <n v="0"/>
    <x v="1"/>
    <s v="Clerical"/>
    <s v="No"/>
    <n v="1"/>
    <s v="2-5 Miles"/>
    <x v="0"/>
    <n v="31"/>
    <x v="2"/>
    <s v="Yes"/>
    <n v="1"/>
  </r>
  <r>
    <n v="17894"/>
    <s v="Married"/>
    <s v="Female"/>
    <n v="20000"/>
    <x v="0"/>
    <n v="1"/>
    <x v="0"/>
    <s v="Clerical"/>
    <s v="Yes"/>
    <n v="0"/>
    <s v="0-1 Miles"/>
    <x v="0"/>
    <n v="50"/>
    <x v="0"/>
    <s v="Yes"/>
    <n v="1"/>
  </r>
  <r>
    <n v="25651"/>
    <s v="Married"/>
    <s v="Male"/>
    <n v="40000"/>
    <x v="0"/>
    <n v="1"/>
    <x v="0"/>
    <s v="Skilled Manual"/>
    <s v="No"/>
    <n v="0"/>
    <s v="0-1 Miles"/>
    <x v="0"/>
    <n v="43"/>
    <x v="0"/>
    <s v="Yes"/>
    <n v="1"/>
  </r>
  <r>
    <n v="22936"/>
    <s v="Single"/>
    <s v="Female"/>
    <n v="60000"/>
    <x v="0"/>
    <n v="1"/>
    <x v="1"/>
    <s v="Skilled Manual"/>
    <s v="No"/>
    <n v="1"/>
    <s v="0-1 Miles"/>
    <x v="1"/>
    <n v="45"/>
    <x v="0"/>
    <s v="Yes"/>
    <n v="1"/>
  </r>
  <r>
    <n v="23915"/>
    <s v="Married"/>
    <s v="Male"/>
    <n v="20000"/>
    <x v="0"/>
    <n v="2"/>
    <x v="2"/>
    <s v="Manual"/>
    <s v="Yes"/>
    <n v="2"/>
    <s v="0-1 Miles"/>
    <x v="0"/>
    <n v="42"/>
    <x v="0"/>
    <s v="No"/>
    <n v="0"/>
  </r>
  <r>
    <n v="24121"/>
    <s v="Single"/>
    <s v="Female"/>
    <n v="30000"/>
    <x v="0"/>
    <n v="0"/>
    <x v="1"/>
    <s v="Clerical"/>
    <s v="No"/>
    <n v="1"/>
    <s v="0-1 Miles"/>
    <x v="0"/>
    <n v="29"/>
    <x v="3"/>
    <s v="Yes"/>
    <n v="1"/>
  </r>
  <r>
    <n v="27878"/>
    <s v="Single"/>
    <s v="Male"/>
    <n v="20000"/>
    <x v="0"/>
    <n v="0"/>
    <x v="1"/>
    <s v="Manual"/>
    <s v="No"/>
    <n v="0"/>
    <s v="0-1 Miles"/>
    <x v="1"/>
    <n v="28"/>
    <x v="3"/>
    <s v="Yes"/>
    <n v="1"/>
  </r>
  <r>
    <n v="13572"/>
    <s v="Single"/>
    <s v="Male"/>
    <n v="10000"/>
    <x v="0"/>
    <n v="3"/>
    <x v="2"/>
    <s v="Manual"/>
    <s v="Yes"/>
    <n v="0"/>
    <s v="0-1 Miles"/>
    <x v="0"/>
    <n v="37"/>
    <x v="2"/>
    <s v="Yes"/>
    <n v="1"/>
  </r>
  <r>
    <n v="27941"/>
    <s v="Married"/>
    <s v="Female"/>
    <n v="80000"/>
    <x v="1"/>
    <n v="4"/>
    <x v="1"/>
    <s v="Professional"/>
    <s v="Yes"/>
    <n v="2"/>
    <s v="2-5 Miles"/>
    <x v="0"/>
    <n v="53"/>
    <x v="0"/>
    <s v="No"/>
    <n v="0"/>
  </r>
  <r>
    <n v="26354"/>
    <s v="Single"/>
    <s v="Male"/>
    <n v="40000"/>
    <x v="0"/>
    <n v="0"/>
    <x v="4"/>
    <s v="Clerical"/>
    <s v="No"/>
    <n v="0"/>
    <s v="0-1 Miles"/>
    <x v="0"/>
    <n v="38"/>
    <x v="2"/>
    <s v="Yes"/>
    <n v="1"/>
  </r>
  <r>
    <n v="14785"/>
    <s v="Single"/>
    <s v="Male"/>
    <n v="30000"/>
    <x v="0"/>
    <n v="1"/>
    <x v="0"/>
    <s v="Clerical"/>
    <s v="No"/>
    <n v="1"/>
    <s v="1-2 Miles"/>
    <x v="0"/>
    <n v="39"/>
    <x v="2"/>
    <s v="No"/>
    <n v="0"/>
  </r>
  <r>
    <n v="17238"/>
    <s v="Single"/>
    <s v="Male"/>
    <n v="80000"/>
    <x v="1"/>
    <n v="0"/>
    <x v="0"/>
    <s v="Professional"/>
    <s v="Yes"/>
    <n v="3"/>
    <s v="More than 10 Miles"/>
    <x v="1"/>
    <n v="32"/>
    <x v="2"/>
    <s v="No"/>
    <n v="0"/>
  </r>
  <r>
    <n v="23608"/>
    <s v="Married"/>
    <s v="Female"/>
    <n v="150000"/>
    <x v="2"/>
    <n v="3"/>
    <x v="2"/>
    <s v="Professional"/>
    <s v="Yes"/>
    <n v="3"/>
    <s v="0-1 Miles"/>
    <x v="0"/>
    <n v="51"/>
    <x v="0"/>
    <s v="Yes"/>
    <n v="1"/>
  </r>
  <r>
    <n v="22538"/>
    <s v="Single"/>
    <s v="Female"/>
    <n v="10000"/>
    <x v="0"/>
    <n v="0"/>
    <x v="3"/>
    <s v="Manual"/>
    <s v="Yes"/>
    <n v="2"/>
    <s v="1-2 Miles"/>
    <x v="0"/>
    <n v="33"/>
    <x v="2"/>
    <s v="No"/>
    <n v="0"/>
  </r>
  <r>
    <n v="12332"/>
    <s v="Married"/>
    <s v="Male"/>
    <n v="90000"/>
    <x v="1"/>
    <n v="4"/>
    <x v="2"/>
    <s v="Management"/>
    <s v="Yes"/>
    <n v="3"/>
    <s v="5-10 Miles"/>
    <x v="0"/>
    <n v="58"/>
    <x v="0"/>
    <s v="Yes"/>
    <n v="1"/>
  </r>
  <r>
    <n v="17230"/>
    <s v="Married"/>
    <s v="Male"/>
    <n v="80000"/>
    <x v="1"/>
    <n v="0"/>
    <x v="0"/>
    <s v="Professional"/>
    <s v="Yes"/>
    <n v="3"/>
    <s v="More than 10 Miles"/>
    <x v="1"/>
    <n v="30"/>
    <x v="2"/>
    <s v="No"/>
    <n v="0"/>
  </r>
  <r>
    <n v="13082"/>
    <s v="Single"/>
    <s v="Male"/>
    <n v="130000"/>
    <x v="2"/>
    <n v="0"/>
    <x v="4"/>
    <s v="Management"/>
    <s v="Yes"/>
    <n v="0"/>
    <s v="2-5 Miles"/>
    <x v="1"/>
    <n v="48"/>
    <x v="0"/>
    <s v="Yes"/>
    <n v="1"/>
  </r>
  <r>
    <n v="22518"/>
    <s v="Single"/>
    <s v="Female"/>
    <n v="30000"/>
    <x v="0"/>
    <n v="3"/>
    <x v="1"/>
    <s v="Clerical"/>
    <s v="No"/>
    <n v="2"/>
    <s v="0-1 Miles"/>
    <x v="0"/>
    <n v="27"/>
    <x v="3"/>
    <s v="Yes"/>
    <n v="1"/>
  </r>
  <r>
    <n v="13687"/>
    <s v="Married"/>
    <s v="Male"/>
    <n v="40000"/>
    <x v="0"/>
    <n v="1"/>
    <x v="0"/>
    <s v="Skilled Manual"/>
    <s v="Yes"/>
    <n v="1"/>
    <s v="0-1 Miles"/>
    <x v="0"/>
    <n v="33"/>
    <x v="2"/>
    <s v="Yes"/>
    <n v="1"/>
  </r>
  <r>
    <n v="23571"/>
    <s v="Married"/>
    <s v="Female"/>
    <n v="40000"/>
    <x v="0"/>
    <n v="2"/>
    <x v="0"/>
    <s v="Management"/>
    <s v="Yes"/>
    <n v="2"/>
    <s v="0-1 Miles"/>
    <x v="1"/>
    <n v="66"/>
    <x v="1"/>
    <s v="Yes"/>
    <n v="1"/>
  </r>
  <r>
    <n v="19305"/>
    <s v="Single"/>
    <s v="Female"/>
    <n v="10000"/>
    <x v="0"/>
    <n v="2"/>
    <x v="2"/>
    <s v="Manual"/>
    <s v="Yes"/>
    <n v="1"/>
    <s v="0-1 Miles"/>
    <x v="0"/>
    <n v="38"/>
    <x v="2"/>
    <s v="Yes"/>
    <n v="1"/>
  </r>
  <r>
    <n v="22636"/>
    <s v="Single"/>
    <s v="Female"/>
    <n v="40000"/>
    <x v="0"/>
    <n v="0"/>
    <x v="0"/>
    <s v="Clerical"/>
    <s v="No"/>
    <n v="0"/>
    <s v="0-1 Miles"/>
    <x v="0"/>
    <n v="38"/>
    <x v="2"/>
    <s v="Yes"/>
    <n v="1"/>
  </r>
  <r>
    <n v="17310"/>
    <s v="Married"/>
    <s v="Male"/>
    <n v="60000"/>
    <x v="0"/>
    <n v="1"/>
    <x v="1"/>
    <s v="Skilled Manual"/>
    <s v="Yes"/>
    <n v="1"/>
    <s v="0-1 Miles"/>
    <x v="1"/>
    <n v="45"/>
    <x v="0"/>
    <s v="Yes"/>
    <n v="1"/>
  </r>
  <r>
    <n v="12133"/>
    <s v="Married"/>
    <s v="Female"/>
    <n v="130000"/>
    <x v="2"/>
    <n v="3"/>
    <x v="1"/>
    <s v="Professional"/>
    <s v="Yes"/>
    <n v="3"/>
    <s v="5-10 Miles"/>
    <x v="0"/>
    <n v="50"/>
    <x v="0"/>
    <s v="Yes"/>
    <n v="1"/>
  </r>
  <r>
    <n v="25918"/>
    <s v="Single"/>
    <s v="Female"/>
    <n v="30000"/>
    <x v="0"/>
    <n v="2"/>
    <x v="1"/>
    <s v="Clerical"/>
    <s v="No"/>
    <n v="2"/>
    <s v="5-10 Miles"/>
    <x v="1"/>
    <n v="60"/>
    <x v="1"/>
    <s v="Yes"/>
    <n v="1"/>
  </r>
  <r>
    <n v="25752"/>
    <s v="Single"/>
    <s v="Female"/>
    <n v="20000"/>
    <x v="0"/>
    <n v="2"/>
    <x v="1"/>
    <s v="Manual"/>
    <s v="No"/>
    <n v="1"/>
    <s v="0-1 Miles"/>
    <x v="0"/>
    <n v="53"/>
    <x v="0"/>
    <s v="Yes"/>
    <n v="1"/>
  </r>
  <r>
    <n v="17324"/>
    <s v="Married"/>
    <s v="Female"/>
    <n v="100000"/>
    <x v="1"/>
    <n v="4"/>
    <x v="0"/>
    <s v="Professional"/>
    <s v="Yes"/>
    <n v="1"/>
    <s v="More than 10 Miles"/>
    <x v="1"/>
    <n v="46"/>
    <x v="0"/>
    <s v="No"/>
    <n v="0"/>
  </r>
  <r>
    <n v="22918"/>
    <s v="Single"/>
    <s v="Male"/>
    <n v="80000"/>
    <x v="1"/>
    <n v="5"/>
    <x v="4"/>
    <s v="Management"/>
    <s v="Yes"/>
    <n v="3"/>
    <s v="0-1 Miles"/>
    <x v="1"/>
    <n v="50"/>
    <x v="0"/>
    <s v="No"/>
    <n v="0"/>
  </r>
  <r>
    <n v="12510"/>
    <s v="Married"/>
    <s v="Male"/>
    <n v="40000"/>
    <x v="0"/>
    <n v="1"/>
    <x v="0"/>
    <s v="Skilled Manual"/>
    <s v="Yes"/>
    <n v="1"/>
    <s v="0-1 Miles"/>
    <x v="0"/>
    <n v="43"/>
    <x v="0"/>
    <s v="Yes"/>
    <n v="1"/>
  </r>
  <r>
    <n v="25512"/>
    <s v="Single"/>
    <s v="Male"/>
    <n v="20000"/>
    <x v="0"/>
    <n v="0"/>
    <x v="2"/>
    <s v="Manual"/>
    <s v="No"/>
    <n v="1"/>
    <s v="2-5 Miles"/>
    <x v="0"/>
    <n v="30"/>
    <x v="2"/>
    <s v="No"/>
    <n v="0"/>
  </r>
  <r>
    <n v="16179"/>
    <s v="Single"/>
    <s v="Female"/>
    <n v="80000"/>
    <x v="1"/>
    <n v="5"/>
    <x v="0"/>
    <s v="Professional"/>
    <s v="Yes"/>
    <n v="4"/>
    <s v="1-2 Miles"/>
    <x v="1"/>
    <n v="38"/>
    <x v="2"/>
    <s v="No"/>
    <n v="0"/>
  </r>
  <r>
    <n v="15628"/>
    <s v="Married"/>
    <s v="Female"/>
    <n v="40000"/>
    <x v="0"/>
    <n v="1"/>
    <x v="0"/>
    <s v="Skilled Manual"/>
    <s v="Yes"/>
    <n v="1"/>
    <s v="0-1 Miles"/>
    <x v="0"/>
    <n v="89"/>
    <x v="1"/>
    <s v="No"/>
    <n v="0"/>
  </r>
  <r>
    <n v="20977"/>
    <s v="Married"/>
    <s v="Male"/>
    <n v="20000"/>
    <x v="0"/>
    <n v="1"/>
    <x v="0"/>
    <s v="Clerical"/>
    <s v="Yes"/>
    <n v="0"/>
    <s v="0-1 Miles"/>
    <x v="0"/>
    <n v="64"/>
    <x v="1"/>
    <s v="Yes"/>
    <n v="1"/>
  </r>
  <r>
    <n v="18140"/>
    <s v="Married"/>
    <s v="Male"/>
    <n v="130000"/>
    <x v="2"/>
    <n v="3"/>
    <x v="1"/>
    <s v="Professional"/>
    <s v="No"/>
    <n v="3"/>
    <s v="5-10 Miles"/>
    <x v="0"/>
    <n v="51"/>
    <x v="0"/>
    <s v="Yes"/>
    <n v="1"/>
  </r>
  <r>
    <n v="20417"/>
    <s v="Married"/>
    <s v="Male"/>
    <n v="30000"/>
    <x v="0"/>
    <n v="3"/>
    <x v="1"/>
    <s v="Clerical"/>
    <s v="No"/>
    <n v="2"/>
    <s v="5-10 Miles"/>
    <x v="1"/>
    <n v="56"/>
    <x v="0"/>
    <s v="No"/>
    <n v="0"/>
  </r>
  <r>
    <n v="18267"/>
    <s v="Married"/>
    <s v="Male"/>
    <n v="60000"/>
    <x v="0"/>
    <n v="3"/>
    <x v="0"/>
    <s v="Professional"/>
    <s v="Yes"/>
    <n v="2"/>
    <s v="5-10 Miles"/>
    <x v="1"/>
    <n v="43"/>
    <x v="0"/>
    <s v="No"/>
    <n v="0"/>
  </r>
  <r>
    <n v="13620"/>
    <s v="Single"/>
    <s v="Male"/>
    <n v="70000"/>
    <x v="1"/>
    <n v="0"/>
    <x v="0"/>
    <s v="Professional"/>
    <s v="No"/>
    <n v="3"/>
    <s v="More than 10 Miles"/>
    <x v="1"/>
    <n v="30"/>
    <x v="2"/>
    <s v="Yes"/>
    <n v="1"/>
  </r>
  <r>
    <n v="22974"/>
    <s v="Married"/>
    <s v="Female"/>
    <n v="30000"/>
    <x v="0"/>
    <n v="2"/>
    <x v="1"/>
    <s v="Clerical"/>
    <s v="Yes"/>
    <n v="2"/>
    <s v="5-10 Miles"/>
    <x v="1"/>
    <n v="69"/>
    <x v="1"/>
    <s v="No"/>
    <n v="0"/>
  </r>
  <r>
    <n v="13586"/>
    <s v="Married"/>
    <s v="Male"/>
    <n v="80000"/>
    <x v="1"/>
    <n v="4"/>
    <x v="1"/>
    <s v="Professional"/>
    <s v="Yes"/>
    <n v="2"/>
    <s v="More than 10 Miles"/>
    <x v="0"/>
    <n v="53"/>
    <x v="0"/>
    <s v="No"/>
    <n v="0"/>
  </r>
  <r>
    <n v="17978"/>
    <s v="Married"/>
    <s v="Male"/>
    <n v="40000"/>
    <x v="0"/>
    <n v="0"/>
    <x v="4"/>
    <s v="Clerical"/>
    <s v="Yes"/>
    <n v="0"/>
    <s v="0-1 Miles"/>
    <x v="0"/>
    <n v="37"/>
    <x v="2"/>
    <s v="Yes"/>
    <n v="1"/>
  </r>
  <r>
    <n v="12581"/>
    <s v="Single"/>
    <s v="Female"/>
    <n v="10000"/>
    <x v="0"/>
    <n v="0"/>
    <x v="1"/>
    <s v="Manual"/>
    <s v="No"/>
    <n v="1"/>
    <s v="0-1 Miles"/>
    <x v="1"/>
    <n v="28"/>
    <x v="3"/>
    <s v="Yes"/>
    <n v="1"/>
  </r>
  <r>
    <n v="18018"/>
    <s v="Single"/>
    <s v="Male"/>
    <n v="30000"/>
    <x v="0"/>
    <n v="3"/>
    <x v="1"/>
    <s v="Clerical"/>
    <s v="Yes"/>
    <n v="0"/>
    <s v="0-1 Miles"/>
    <x v="0"/>
    <n v="43"/>
    <x v="0"/>
    <s v="No"/>
    <n v="0"/>
  </r>
  <r>
    <n v="28957"/>
    <s v="Single"/>
    <s v="Female"/>
    <n v="120000"/>
    <x v="1"/>
    <n v="0"/>
    <x v="3"/>
    <s v="Professional"/>
    <s v="Yes"/>
    <n v="4"/>
    <s v="More than 10 Miles"/>
    <x v="1"/>
    <n v="34"/>
    <x v="2"/>
    <s v="Yes"/>
    <n v="1"/>
  </r>
  <r>
    <n v="13690"/>
    <s v="Single"/>
    <s v="Female"/>
    <n v="20000"/>
    <x v="0"/>
    <n v="0"/>
    <x v="3"/>
    <s v="Manual"/>
    <s v="No"/>
    <n v="2"/>
    <s v="1-2 Miles"/>
    <x v="0"/>
    <n v="34"/>
    <x v="2"/>
    <s v="Yes"/>
    <n v="1"/>
  </r>
  <r>
    <n v="12568"/>
    <s v="Married"/>
    <s v="Female"/>
    <n v="30000"/>
    <x v="0"/>
    <n v="1"/>
    <x v="0"/>
    <s v="Clerical"/>
    <s v="Yes"/>
    <n v="0"/>
    <s v="0-1 Miles"/>
    <x v="0"/>
    <n v="64"/>
    <x v="1"/>
    <s v="No"/>
    <n v="0"/>
  </r>
  <r>
    <n v="13122"/>
    <s v="Married"/>
    <s v="Female"/>
    <n v="80000"/>
    <x v="1"/>
    <n v="0"/>
    <x v="0"/>
    <s v="Professional"/>
    <s v="Yes"/>
    <n v="1"/>
    <s v="1-2 Miles"/>
    <x v="1"/>
    <n v="41"/>
    <x v="0"/>
    <s v="Yes"/>
    <n v="1"/>
  </r>
  <r>
    <n v="21184"/>
    <s v="Single"/>
    <s v="Male"/>
    <n v="70000"/>
    <x v="1"/>
    <n v="0"/>
    <x v="0"/>
    <s v="Professional"/>
    <s v="No"/>
    <n v="1"/>
    <s v="5-10 Miles"/>
    <x v="1"/>
    <n v="38"/>
    <x v="2"/>
    <s v="No"/>
    <n v="0"/>
  </r>
  <r>
    <n v="26150"/>
    <s v="Single"/>
    <s v="Female"/>
    <n v="70000"/>
    <x v="1"/>
    <n v="0"/>
    <x v="0"/>
    <s v="Professional"/>
    <s v="No"/>
    <n v="1"/>
    <s v="0-1 Miles"/>
    <x v="1"/>
    <n v="41"/>
    <x v="0"/>
    <s v="Yes"/>
    <n v="1"/>
  </r>
  <r>
    <n v="24151"/>
    <s v="Single"/>
    <s v="Male"/>
    <n v="20000"/>
    <x v="0"/>
    <n v="1"/>
    <x v="0"/>
    <s v="Clerical"/>
    <s v="No"/>
    <n v="0"/>
    <s v="0-1 Miles"/>
    <x v="0"/>
    <n v="51"/>
    <x v="0"/>
    <s v="No"/>
    <n v="0"/>
  </r>
  <r>
    <n v="23962"/>
    <s v="Married"/>
    <s v="Female"/>
    <n v="10000"/>
    <x v="0"/>
    <n v="0"/>
    <x v="3"/>
    <s v="Manual"/>
    <s v="Yes"/>
    <n v="2"/>
    <s v="1-2 Miles"/>
    <x v="0"/>
    <n v="32"/>
    <x v="2"/>
    <s v="No"/>
    <n v="0"/>
  </r>
  <r>
    <n v="17793"/>
    <s v="Married"/>
    <s v="Female"/>
    <n v="40000"/>
    <x v="0"/>
    <n v="0"/>
    <x v="0"/>
    <s v="Clerical"/>
    <s v="Yes"/>
    <n v="0"/>
    <s v="0-1 Miles"/>
    <x v="0"/>
    <n v="38"/>
    <x v="2"/>
    <s v="Yes"/>
    <n v="1"/>
  </r>
  <r>
    <n v="14926"/>
    <s v="Married"/>
    <s v="Male"/>
    <n v="30000"/>
    <x v="0"/>
    <n v="1"/>
    <x v="0"/>
    <s v="Clerical"/>
    <s v="Yes"/>
    <n v="0"/>
    <s v="0-1 Miles"/>
    <x v="0"/>
    <n v="38"/>
    <x v="2"/>
    <s v="Yes"/>
    <n v="1"/>
  </r>
  <r>
    <n v="16163"/>
    <s v="Single"/>
    <s v="Male"/>
    <n v="60000"/>
    <x v="0"/>
    <n v="2"/>
    <x v="0"/>
    <s v="Professional"/>
    <s v="Yes"/>
    <n v="1"/>
    <s v="2-5 Miles"/>
    <x v="1"/>
    <n v="38"/>
    <x v="2"/>
    <s v="Yes"/>
    <n v="1"/>
  </r>
  <r>
    <n v="21365"/>
    <s v="Married"/>
    <s v="Female"/>
    <n v="10000"/>
    <x v="0"/>
    <n v="2"/>
    <x v="3"/>
    <s v="Clerical"/>
    <s v="Yes"/>
    <n v="2"/>
    <s v="5-10 Miles"/>
    <x v="1"/>
    <n v="58"/>
    <x v="0"/>
    <s v="No"/>
    <n v="0"/>
  </r>
  <r>
    <n v="27771"/>
    <s v="Single"/>
    <s v="Male"/>
    <n v="30000"/>
    <x v="0"/>
    <n v="1"/>
    <x v="0"/>
    <s v="Clerical"/>
    <s v="Yes"/>
    <n v="1"/>
    <s v="1-2 Miles"/>
    <x v="0"/>
    <n v="39"/>
    <x v="2"/>
    <s v="Yes"/>
    <n v="1"/>
  </r>
  <r>
    <n v="26167"/>
    <s v="Single"/>
    <s v="Female"/>
    <n v="40000"/>
    <x v="0"/>
    <n v="2"/>
    <x v="0"/>
    <s v="Management"/>
    <s v="No"/>
    <n v="1"/>
    <s v="5-10 Miles"/>
    <x v="1"/>
    <n v="53"/>
    <x v="0"/>
    <s v="Yes"/>
    <n v="1"/>
  </r>
  <r>
    <n v="25792"/>
    <s v="Single"/>
    <s v="Female"/>
    <n v="110000"/>
    <x v="1"/>
    <n v="3"/>
    <x v="0"/>
    <s v="Management"/>
    <s v="Yes"/>
    <n v="4"/>
    <s v="More than 10 Miles"/>
    <x v="0"/>
    <n v="53"/>
    <x v="0"/>
    <s v="No"/>
    <n v="0"/>
  </r>
  <r>
    <n v="11555"/>
    <s v="Married"/>
    <s v="Female"/>
    <n v="40000"/>
    <x v="0"/>
    <n v="1"/>
    <x v="0"/>
    <s v="Clerical"/>
    <s v="Yes"/>
    <n v="0"/>
    <s v="0-1 Miles"/>
    <x v="0"/>
    <n v="80"/>
    <x v="1"/>
    <s v="No"/>
    <n v="0"/>
  </r>
  <r>
    <n v="22381"/>
    <s v="Married"/>
    <s v="Male"/>
    <n v="10000"/>
    <x v="0"/>
    <n v="1"/>
    <x v="4"/>
    <s v="Manual"/>
    <s v="Yes"/>
    <n v="0"/>
    <s v="0-1 Miles"/>
    <x v="0"/>
    <n v="44"/>
    <x v="0"/>
    <s v="No"/>
    <n v="0"/>
  </r>
  <r>
    <n v="17882"/>
    <s v="Married"/>
    <s v="Male"/>
    <n v="20000"/>
    <x v="0"/>
    <n v="1"/>
    <x v="4"/>
    <s v="Clerical"/>
    <s v="Yes"/>
    <n v="0"/>
    <s v="0-1 Miles"/>
    <x v="0"/>
    <n v="44"/>
    <x v="0"/>
    <s v="No"/>
    <n v="0"/>
  </r>
  <r>
    <n v="22174"/>
    <s v="Married"/>
    <s v="Male"/>
    <n v="30000"/>
    <x v="0"/>
    <n v="3"/>
    <x v="2"/>
    <s v="Skilled Manual"/>
    <s v="Yes"/>
    <n v="2"/>
    <s v="5-10 Miles"/>
    <x v="1"/>
    <n v="54"/>
    <x v="0"/>
    <s v="Yes"/>
    <n v="1"/>
  </r>
  <r>
    <n v="22439"/>
    <s v="Married"/>
    <s v="Female"/>
    <n v="30000"/>
    <x v="0"/>
    <n v="0"/>
    <x v="0"/>
    <s v="Clerical"/>
    <s v="Yes"/>
    <n v="0"/>
    <s v="0-1 Miles"/>
    <x v="0"/>
    <n v="37"/>
    <x v="2"/>
    <s v="Yes"/>
    <n v="1"/>
  </r>
  <r>
    <n v="18012"/>
    <s v="Married"/>
    <s v="Female"/>
    <n v="40000"/>
    <x v="0"/>
    <n v="1"/>
    <x v="0"/>
    <s v="Skilled Manual"/>
    <s v="Yes"/>
    <n v="0"/>
    <s v="0-1 Miles"/>
    <x v="0"/>
    <n v="41"/>
    <x v="0"/>
    <s v="No"/>
    <n v="0"/>
  </r>
  <r>
    <n v="27582"/>
    <s v="Single"/>
    <s v="Female"/>
    <n v="90000"/>
    <x v="1"/>
    <n v="2"/>
    <x v="0"/>
    <s v="Professional"/>
    <s v="No"/>
    <n v="0"/>
    <s v="0-1 Miles"/>
    <x v="1"/>
    <n v="36"/>
    <x v="2"/>
    <s v="Yes"/>
    <n v="1"/>
  </r>
  <r>
    <n v="12744"/>
    <s v="Single"/>
    <s v="Female"/>
    <n v="40000"/>
    <x v="0"/>
    <n v="2"/>
    <x v="1"/>
    <s v="Clerical"/>
    <s v="Yes"/>
    <n v="0"/>
    <s v="0-1 Miles"/>
    <x v="0"/>
    <n v="33"/>
    <x v="2"/>
    <s v="No"/>
    <n v="0"/>
  </r>
  <r>
    <n v="22821"/>
    <s v="Married"/>
    <s v="Female"/>
    <n v="130000"/>
    <x v="2"/>
    <n v="3"/>
    <x v="1"/>
    <s v="Professional"/>
    <s v="Yes"/>
    <n v="4"/>
    <s v="0-1 Miles"/>
    <x v="0"/>
    <n v="52"/>
    <x v="0"/>
    <s v="No"/>
    <n v="0"/>
  </r>
  <r>
    <n v="20171"/>
    <s v="Married"/>
    <s v="Female"/>
    <n v="20000"/>
    <x v="0"/>
    <n v="2"/>
    <x v="1"/>
    <s v="Manual"/>
    <s v="Yes"/>
    <n v="1"/>
    <s v="0-1 Miles"/>
    <x v="0"/>
    <n v="46"/>
    <x v="0"/>
    <s v="Yes"/>
    <n v="1"/>
  </r>
  <r>
    <n v="11116"/>
    <s v="Married"/>
    <s v="Male"/>
    <n v="70000"/>
    <x v="1"/>
    <n v="5"/>
    <x v="1"/>
    <s v="Skilled Manual"/>
    <s v="Yes"/>
    <n v="2"/>
    <s v="5-10 Miles"/>
    <x v="1"/>
    <n v="43"/>
    <x v="0"/>
    <s v="No"/>
    <n v="0"/>
  </r>
  <r>
    <n v="20053"/>
    <s v="Single"/>
    <s v="Male"/>
    <n v="40000"/>
    <x v="0"/>
    <n v="2"/>
    <x v="1"/>
    <s v="Clerical"/>
    <s v="Yes"/>
    <n v="0"/>
    <s v="0-1 Miles"/>
    <x v="0"/>
    <n v="34"/>
    <x v="2"/>
    <s v="No"/>
    <n v="0"/>
  </r>
  <r>
    <n v="25266"/>
    <s v="Single"/>
    <s v="Female"/>
    <n v="30000"/>
    <x v="0"/>
    <n v="2"/>
    <x v="1"/>
    <s v="Clerical"/>
    <s v="No"/>
    <n v="2"/>
    <s v="5-10 Miles"/>
    <x v="1"/>
    <n v="67"/>
    <x v="1"/>
    <s v="No"/>
    <n v="0"/>
  </r>
  <r>
    <n v="17960"/>
    <s v="Married"/>
    <s v="Female"/>
    <n v="40000"/>
    <x v="0"/>
    <n v="0"/>
    <x v="4"/>
    <s v="Clerical"/>
    <s v="Yes"/>
    <n v="0"/>
    <s v="0-1 Miles"/>
    <x v="0"/>
    <n v="35"/>
    <x v="2"/>
    <s v="Yes"/>
    <n v="1"/>
  </r>
  <r>
    <n v="13961"/>
    <s v="Married"/>
    <s v="Female"/>
    <n v="80000"/>
    <x v="1"/>
    <n v="5"/>
    <x v="4"/>
    <s v="Management"/>
    <s v="Yes"/>
    <n v="3"/>
    <s v="0-1 Miles"/>
    <x v="1"/>
    <n v="40"/>
    <x v="0"/>
    <s v="No"/>
    <n v="0"/>
  </r>
  <r>
    <n v="11897"/>
    <s v="Single"/>
    <s v="Male"/>
    <n v="60000"/>
    <x v="0"/>
    <n v="2"/>
    <x v="0"/>
    <s v="Professional"/>
    <s v="No"/>
    <n v="1"/>
    <s v="0-1 Miles"/>
    <x v="1"/>
    <n v="37"/>
    <x v="2"/>
    <s v="Yes"/>
    <n v="1"/>
  </r>
  <r>
    <n v="11139"/>
    <s v="Single"/>
    <s v="Female"/>
    <n v="30000"/>
    <x v="0"/>
    <n v="2"/>
    <x v="1"/>
    <s v="Clerical"/>
    <s v="No"/>
    <n v="2"/>
    <s v="5-10 Miles"/>
    <x v="1"/>
    <n v="67"/>
    <x v="1"/>
    <s v="No"/>
    <n v="0"/>
  </r>
  <r>
    <n v="11576"/>
    <s v="Married"/>
    <s v="Male"/>
    <n v="30000"/>
    <x v="0"/>
    <n v="1"/>
    <x v="0"/>
    <s v="Skilled Manual"/>
    <s v="Yes"/>
    <n v="2"/>
    <s v="0-1 Miles"/>
    <x v="0"/>
    <n v="41"/>
    <x v="0"/>
    <s v="Yes"/>
    <n v="1"/>
  </r>
  <r>
    <n v="19255"/>
    <s v="Single"/>
    <s v="Male"/>
    <n v="10000"/>
    <x v="0"/>
    <n v="2"/>
    <x v="1"/>
    <s v="Manual"/>
    <s v="Yes"/>
    <n v="1"/>
    <s v="0-1 Miles"/>
    <x v="0"/>
    <n v="51"/>
    <x v="0"/>
    <s v="Yes"/>
    <n v="1"/>
  </r>
  <r>
    <n v="18153"/>
    <s v="Married"/>
    <s v="Female"/>
    <n v="100000"/>
    <x v="1"/>
    <n v="2"/>
    <x v="0"/>
    <s v="Management"/>
    <s v="Yes"/>
    <n v="4"/>
    <s v="More than 10 Miles"/>
    <x v="0"/>
    <n v="59"/>
    <x v="0"/>
    <s v="No"/>
    <n v="0"/>
  </r>
  <r>
    <n v="14547"/>
    <s v="Married"/>
    <s v="Male"/>
    <n v="10000"/>
    <x v="0"/>
    <n v="2"/>
    <x v="1"/>
    <s v="Manual"/>
    <s v="Yes"/>
    <n v="0"/>
    <s v="1-2 Miles"/>
    <x v="0"/>
    <n v="51"/>
    <x v="0"/>
    <s v="No"/>
    <n v="0"/>
  </r>
  <r>
    <n v="24901"/>
    <s v="Single"/>
    <s v="Male"/>
    <n v="110000"/>
    <x v="1"/>
    <n v="0"/>
    <x v="1"/>
    <s v="Management"/>
    <s v="No"/>
    <n v="3"/>
    <s v="More than 10 Miles"/>
    <x v="1"/>
    <n v="32"/>
    <x v="2"/>
    <s v="Yes"/>
    <n v="1"/>
  </r>
  <r>
    <n v="27169"/>
    <s v="Single"/>
    <s v="Male"/>
    <n v="30000"/>
    <x v="0"/>
    <n v="0"/>
    <x v="2"/>
    <s v="Manual"/>
    <s v="Yes"/>
    <n v="1"/>
    <s v="2-5 Miles"/>
    <x v="0"/>
    <n v="34"/>
    <x v="2"/>
    <s v="Yes"/>
    <n v="1"/>
  </r>
  <r>
    <n v="14805"/>
    <s v="Single"/>
    <s v="Female"/>
    <n v="10000"/>
    <x v="0"/>
    <n v="3"/>
    <x v="3"/>
    <s v="Manual"/>
    <s v="Yes"/>
    <n v="2"/>
    <s v="0-1 Miles"/>
    <x v="0"/>
    <n v="43"/>
    <x v="0"/>
    <s v="No"/>
    <n v="0"/>
  </r>
  <r>
    <n v="15822"/>
    <s v="Married"/>
    <s v="Male"/>
    <n v="40000"/>
    <x v="0"/>
    <n v="2"/>
    <x v="0"/>
    <s v="Management"/>
    <s v="Yes"/>
    <n v="2"/>
    <s v="0-1 Miles"/>
    <x v="1"/>
    <n v="67"/>
    <x v="1"/>
    <s v="No"/>
    <n v="0"/>
  </r>
  <r>
    <n v="19389"/>
    <s v="Single"/>
    <s v="Male"/>
    <n v="30000"/>
    <x v="0"/>
    <n v="0"/>
    <x v="1"/>
    <s v="Clerical"/>
    <s v="No"/>
    <n v="1"/>
    <s v="2-5 Miles"/>
    <x v="0"/>
    <n v="28"/>
    <x v="3"/>
    <s v="No"/>
    <n v="0"/>
  </r>
  <r>
    <n v="17048"/>
    <s v="Single"/>
    <s v="Female"/>
    <n v="90000"/>
    <x v="1"/>
    <n v="1"/>
    <x v="4"/>
    <s v="Management"/>
    <s v="Yes"/>
    <n v="0"/>
    <s v="0-1 Miles"/>
    <x v="1"/>
    <n v="36"/>
    <x v="2"/>
    <s v="Yes"/>
    <n v="1"/>
  </r>
  <r>
    <n v="22204"/>
    <s v="Married"/>
    <s v="Male"/>
    <n v="110000"/>
    <x v="1"/>
    <n v="4"/>
    <x v="0"/>
    <s v="Management"/>
    <s v="Yes"/>
    <n v="3"/>
    <s v="2-5 Miles"/>
    <x v="1"/>
    <n v="48"/>
    <x v="0"/>
    <s v="No"/>
    <n v="0"/>
  </r>
  <r>
    <n v="12718"/>
    <s v="Single"/>
    <s v="Female"/>
    <n v="30000"/>
    <x v="0"/>
    <n v="0"/>
    <x v="1"/>
    <s v="Clerical"/>
    <s v="Yes"/>
    <n v="1"/>
    <s v="2-5 Miles"/>
    <x v="0"/>
    <n v="31"/>
    <x v="2"/>
    <s v="No"/>
    <n v="0"/>
  </r>
  <r>
    <n v="15019"/>
    <s v="Single"/>
    <s v="Female"/>
    <n v="30000"/>
    <x v="0"/>
    <n v="3"/>
    <x v="2"/>
    <s v="Skilled Manual"/>
    <s v="Yes"/>
    <n v="2"/>
    <s v="5-10 Miles"/>
    <x v="1"/>
    <n v="55"/>
    <x v="0"/>
    <s v="No"/>
    <n v="0"/>
  </r>
  <r>
    <n v="28488"/>
    <s v="Single"/>
    <s v="Male"/>
    <n v="20000"/>
    <x v="0"/>
    <n v="0"/>
    <x v="1"/>
    <s v="Manual"/>
    <s v="Yes"/>
    <n v="0"/>
    <s v="0-1 Miles"/>
    <x v="1"/>
    <n v="28"/>
    <x v="3"/>
    <s v="Yes"/>
    <n v="1"/>
  </r>
  <r>
    <n v="21891"/>
    <s v="Married"/>
    <s v="Female"/>
    <n v="110000"/>
    <x v="1"/>
    <n v="0"/>
    <x v="2"/>
    <s v="Management"/>
    <s v="Yes"/>
    <n v="3"/>
    <s v="More than 10 Miles"/>
    <x v="1"/>
    <n v="34"/>
    <x v="2"/>
    <s v="Yes"/>
    <n v="1"/>
  </r>
  <r>
    <n v="27814"/>
    <s v="Single"/>
    <s v="Female"/>
    <n v="30000"/>
    <x v="0"/>
    <n v="3"/>
    <x v="1"/>
    <s v="Clerical"/>
    <s v="No"/>
    <n v="1"/>
    <s v="0-1 Miles"/>
    <x v="0"/>
    <n v="26"/>
    <x v="3"/>
    <s v="No"/>
    <n v="0"/>
  </r>
  <r>
    <n v="22175"/>
    <s v="Married"/>
    <s v="Female"/>
    <n v="30000"/>
    <x v="0"/>
    <n v="3"/>
    <x v="2"/>
    <s v="Skilled Manual"/>
    <s v="Yes"/>
    <n v="2"/>
    <s v="5-10 Miles"/>
    <x v="1"/>
    <n v="53"/>
    <x v="0"/>
    <s v="Yes"/>
    <n v="1"/>
  </r>
  <r>
    <n v="29447"/>
    <s v="Single"/>
    <s v="Female"/>
    <n v="10000"/>
    <x v="0"/>
    <n v="2"/>
    <x v="0"/>
    <s v="Clerical"/>
    <s v="No"/>
    <n v="1"/>
    <s v="2-5 Miles"/>
    <x v="0"/>
    <n v="68"/>
    <x v="1"/>
    <s v="No"/>
    <n v="0"/>
  </r>
  <r>
    <n v="19784"/>
    <s v="Married"/>
    <s v="Female"/>
    <n v="80000"/>
    <x v="1"/>
    <n v="2"/>
    <x v="2"/>
    <s v="Skilled Manual"/>
    <s v="Yes"/>
    <n v="2"/>
    <s v="5-10 Miles"/>
    <x v="1"/>
    <n v="50"/>
    <x v="0"/>
    <s v="Yes"/>
    <n v="1"/>
  </r>
  <r>
    <n v="27824"/>
    <s v="Single"/>
    <s v="Female"/>
    <n v="30000"/>
    <x v="0"/>
    <n v="3"/>
    <x v="1"/>
    <s v="Clerical"/>
    <s v="Yes"/>
    <n v="2"/>
    <s v="0-1 Miles"/>
    <x v="0"/>
    <n v="28"/>
    <x v="3"/>
    <s v="Yes"/>
    <n v="1"/>
  </r>
  <r>
    <n v="24093"/>
    <s v="Single"/>
    <s v="Female"/>
    <n v="80000"/>
    <x v="1"/>
    <n v="0"/>
    <x v="4"/>
    <s v="Skilled Manual"/>
    <s v="No"/>
    <n v="0"/>
    <s v="0-1 Miles"/>
    <x v="0"/>
    <n v="40"/>
    <x v="0"/>
    <s v="Yes"/>
    <n v="1"/>
  </r>
  <r>
    <n v="19618"/>
    <s v="Married"/>
    <s v="Male"/>
    <n v="70000"/>
    <x v="1"/>
    <n v="5"/>
    <x v="1"/>
    <s v="Skilled Manual"/>
    <s v="Yes"/>
    <n v="2"/>
    <s v="0-1 Miles"/>
    <x v="1"/>
    <n v="44"/>
    <x v="0"/>
    <s v="No"/>
    <n v="0"/>
  </r>
  <r>
    <n v="21561"/>
    <s v="Single"/>
    <s v="Male"/>
    <n v="90000"/>
    <x v="1"/>
    <n v="0"/>
    <x v="0"/>
    <s v="Professional"/>
    <s v="No"/>
    <n v="3"/>
    <s v="More than 10 Miles"/>
    <x v="1"/>
    <n v="34"/>
    <x v="2"/>
    <s v="Yes"/>
    <n v="1"/>
  </r>
  <r>
    <n v="11061"/>
    <s v="Married"/>
    <s v="Male"/>
    <n v="70000"/>
    <x v="1"/>
    <n v="2"/>
    <x v="1"/>
    <s v="Skilled Manual"/>
    <s v="Yes"/>
    <n v="2"/>
    <s v="5-10 Miles"/>
    <x v="1"/>
    <n v="52"/>
    <x v="0"/>
    <s v="Yes"/>
    <n v="1"/>
  </r>
  <r>
    <n v="26651"/>
    <s v="Single"/>
    <s v="Male"/>
    <n v="80000"/>
    <x v="1"/>
    <n v="4"/>
    <x v="4"/>
    <s v="Management"/>
    <s v="Yes"/>
    <n v="0"/>
    <s v="0-1 Miles"/>
    <x v="1"/>
    <n v="36"/>
    <x v="2"/>
    <s v="Yes"/>
    <n v="1"/>
  </r>
  <r>
    <n v="21108"/>
    <s v="Married"/>
    <s v="Female"/>
    <n v="40000"/>
    <x v="0"/>
    <n v="1"/>
    <x v="0"/>
    <s v="Skilled Manual"/>
    <s v="Yes"/>
    <n v="1"/>
    <s v="0-1 Miles"/>
    <x v="0"/>
    <n v="43"/>
    <x v="0"/>
    <s v="Yes"/>
    <n v="1"/>
  </r>
  <r>
    <n v="12731"/>
    <s v="Single"/>
    <s v="Male"/>
    <n v="30000"/>
    <x v="0"/>
    <n v="0"/>
    <x v="2"/>
    <s v="Manual"/>
    <s v="No"/>
    <n v="1"/>
    <s v="1-2 Miles"/>
    <x v="0"/>
    <n v="32"/>
    <x v="2"/>
    <s v="No"/>
    <n v="0"/>
  </r>
  <r>
    <n v="25307"/>
    <s v="Married"/>
    <s v="Female"/>
    <n v="40000"/>
    <x v="0"/>
    <n v="1"/>
    <x v="0"/>
    <s v="Skilled Manual"/>
    <s v="Yes"/>
    <n v="1"/>
    <s v="1-2 Miles"/>
    <x v="0"/>
    <n v="32"/>
    <x v="2"/>
    <s v="Yes"/>
    <n v="1"/>
  </r>
  <r>
    <n v="14278"/>
    <s v="Married"/>
    <s v="Female"/>
    <n v="130000"/>
    <x v="2"/>
    <n v="0"/>
    <x v="4"/>
    <s v="Management"/>
    <s v="Yes"/>
    <n v="1"/>
    <s v="More than 10 Miles"/>
    <x v="1"/>
    <n v="48"/>
    <x v="0"/>
    <s v="No"/>
    <n v="0"/>
  </r>
  <r>
    <n v="20711"/>
    <s v="Married"/>
    <s v="Female"/>
    <n v="40000"/>
    <x v="0"/>
    <n v="1"/>
    <x v="0"/>
    <s v="Skilled Manual"/>
    <s v="Yes"/>
    <n v="0"/>
    <s v="1-2 Miles"/>
    <x v="0"/>
    <n v="32"/>
    <x v="2"/>
    <s v="Yes"/>
    <n v="1"/>
  </r>
  <r>
    <n v="11383"/>
    <s v="Married"/>
    <s v="Female"/>
    <n v="30000"/>
    <x v="0"/>
    <n v="3"/>
    <x v="4"/>
    <s v="Clerical"/>
    <s v="Yes"/>
    <n v="0"/>
    <s v="0-1 Miles"/>
    <x v="0"/>
    <n v="46"/>
    <x v="0"/>
    <s v="No"/>
    <n v="0"/>
  </r>
  <r>
    <n v="12497"/>
    <s v="Married"/>
    <s v="Female"/>
    <n v="40000"/>
    <x v="0"/>
    <n v="1"/>
    <x v="0"/>
    <s v="Skilled Manual"/>
    <s v="Yes"/>
    <n v="0"/>
    <s v="0-1 Miles"/>
    <x v="0"/>
    <n v="42"/>
    <x v="0"/>
    <s v="No"/>
    <n v="0"/>
  </r>
  <r>
    <n v="16559"/>
    <s v="Single"/>
    <s v="Female"/>
    <n v="10000"/>
    <x v="0"/>
    <n v="2"/>
    <x v="2"/>
    <s v="Manual"/>
    <s v="Yes"/>
    <n v="0"/>
    <s v="0-1 Miles"/>
    <x v="0"/>
    <n v="36"/>
    <x v="2"/>
    <s v="Yes"/>
    <n v="1"/>
  </r>
  <r>
    <n v="11585"/>
    <s v="Married"/>
    <s v="Female"/>
    <n v="40000"/>
    <x v="0"/>
    <n v="1"/>
    <x v="0"/>
    <s v="Skilled Manual"/>
    <s v="Yes"/>
    <n v="0"/>
    <s v="0-1 Miles"/>
    <x v="0"/>
    <n v="41"/>
    <x v="0"/>
    <s v="No"/>
    <n v="0"/>
  </r>
  <r>
    <n v="20277"/>
    <s v="Married"/>
    <s v="Female"/>
    <n v="30000"/>
    <x v="0"/>
    <n v="2"/>
    <x v="1"/>
    <s v="Clerical"/>
    <s v="No"/>
    <n v="2"/>
    <s v="0-1 Miles"/>
    <x v="1"/>
    <n v="69"/>
    <x v="1"/>
    <s v="No"/>
    <n v="0"/>
  </r>
  <r>
    <n v="26765"/>
    <s v="Single"/>
    <s v="Female"/>
    <n v="70000"/>
    <x v="1"/>
    <n v="5"/>
    <x v="1"/>
    <s v="Skilled Manual"/>
    <s v="Yes"/>
    <n v="2"/>
    <s v="5-10 Miles"/>
    <x v="1"/>
    <n v="45"/>
    <x v="0"/>
    <s v="No"/>
    <n v="0"/>
  </r>
  <r>
    <n v="12389"/>
    <s v="Single"/>
    <s v="Male"/>
    <n v="30000"/>
    <x v="0"/>
    <n v="0"/>
    <x v="2"/>
    <s v="Manual"/>
    <s v="No"/>
    <n v="1"/>
    <s v="2-5 Miles"/>
    <x v="0"/>
    <n v="34"/>
    <x v="2"/>
    <s v="No"/>
    <n v="0"/>
  </r>
  <r>
    <n v="13585"/>
    <s v="Married"/>
    <s v="Female"/>
    <n v="80000"/>
    <x v="1"/>
    <n v="4"/>
    <x v="1"/>
    <s v="Professional"/>
    <s v="No"/>
    <n v="1"/>
    <s v="2-5 Miles"/>
    <x v="0"/>
    <n v="53"/>
    <x v="0"/>
    <s v="Yes"/>
    <n v="1"/>
  </r>
  <r>
    <n v="26385"/>
    <s v="Single"/>
    <s v="Male"/>
    <n v="120000"/>
    <x v="1"/>
    <n v="3"/>
    <x v="2"/>
    <s v="Professional"/>
    <s v="No"/>
    <n v="4"/>
    <s v="5-10 Miles"/>
    <x v="0"/>
    <n v="50"/>
    <x v="0"/>
    <s v="No"/>
    <n v="0"/>
  </r>
  <r>
    <n v="12236"/>
    <s v="Married"/>
    <s v="Female"/>
    <n v="20000"/>
    <x v="0"/>
    <n v="1"/>
    <x v="1"/>
    <s v="Manual"/>
    <s v="Yes"/>
    <n v="0"/>
    <s v="0-1 Miles"/>
    <x v="0"/>
    <n v="65"/>
    <x v="1"/>
    <s v="No"/>
    <n v="0"/>
  </r>
  <r>
    <n v="21560"/>
    <s v="Married"/>
    <s v="Male"/>
    <n v="120000"/>
    <x v="1"/>
    <n v="0"/>
    <x v="3"/>
    <s v="Professional"/>
    <s v="Yes"/>
    <n v="4"/>
    <s v="More than 10 Miles"/>
    <x v="1"/>
    <n v="32"/>
    <x v="2"/>
    <s v="Yes"/>
    <n v="1"/>
  </r>
  <r>
    <n v="21554"/>
    <s v="Single"/>
    <s v="Female"/>
    <n v="80000"/>
    <x v="1"/>
    <n v="0"/>
    <x v="0"/>
    <s v="Professional"/>
    <s v="No"/>
    <n v="3"/>
    <s v="More than 10 Miles"/>
    <x v="1"/>
    <n v="33"/>
    <x v="2"/>
    <s v="No"/>
    <n v="0"/>
  </r>
  <r>
    <n v="13662"/>
    <s v="Single"/>
    <s v="Male"/>
    <n v="20000"/>
    <x v="0"/>
    <n v="0"/>
    <x v="3"/>
    <s v="Manual"/>
    <s v="Yes"/>
    <n v="2"/>
    <s v="1-2 Miles"/>
    <x v="0"/>
    <n v="31"/>
    <x v="2"/>
    <s v="Yes"/>
    <n v="1"/>
  </r>
  <r>
    <n v="13089"/>
    <s v="Married"/>
    <s v="Female"/>
    <n v="120000"/>
    <x v="1"/>
    <n v="1"/>
    <x v="0"/>
    <s v="Management"/>
    <s v="Yes"/>
    <n v="2"/>
    <s v="0-1 Miles"/>
    <x v="1"/>
    <n v="46"/>
    <x v="0"/>
    <s v="Yes"/>
    <n v="1"/>
  </r>
  <r>
    <n v="14791"/>
    <s v="Married"/>
    <s v="Female"/>
    <n v="40000"/>
    <x v="0"/>
    <n v="0"/>
    <x v="0"/>
    <s v="Clerical"/>
    <s v="Yes"/>
    <n v="0"/>
    <s v="0-1 Miles"/>
    <x v="0"/>
    <n v="39"/>
    <x v="2"/>
    <s v="Yes"/>
    <n v="1"/>
  </r>
  <r>
    <n v="19331"/>
    <s v="Single"/>
    <s v="Male"/>
    <n v="20000"/>
    <x v="0"/>
    <n v="2"/>
    <x v="2"/>
    <s v="Manual"/>
    <s v="Yes"/>
    <n v="1"/>
    <s v="0-1 Miles"/>
    <x v="0"/>
    <n v="40"/>
    <x v="0"/>
    <s v="No"/>
    <n v="0"/>
  </r>
  <r>
    <n v="17754"/>
    <s v="Single"/>
    <s v="Female"/>
    <n v="30000"/>
    <x v="0"/>
    <n v="3"/>
    <x v="0"/>
    <s v="Clerical"/>
    <s v="Yes"/>
    <n v="0"/>
    <s v="0-1 Miles"/>
    <x v="0"/>
    <n v="46"/>
    <x v="0"/>
    <s v="Yes"/>
    <n v="1"/>
  </r>
  <r>
    <n v="11149"/>
    <s v="Married"/>
    <s v="Male"/>
    <n v="40000"/>
    <x v="0"/>
    <n v="2"/>
    <x v="0"/>
    <s v="Management"/>
    <s v="Yes"/>
    <n v="2"/>
    <s v="0-1 Miles"/>
    <x v="1"/>
    <n v="65"/>
    <x v="1"/>
    <s v="No"/>
    <n v="0"/>
  </r>
  <r>
    <n v="16549"/>
    <s v="Single"/>
    <s v="Female"/>
    <n v="30000"/>
    <x v="0"/>
    <n v="3"/>
    <x v="0"/>
    <s v="Clerical"/>
    <s v="Yes"/>
    <n v="0"/>
    <s v="0-1 Miles"/>
    <x v="0"/>
    <n v="47"/>
    <x v="0"/>
    <s v="Yes"/>
    <n v="1"/>
  </r>
  <r>
    <n v="24305"/>
    <s v="Single"/>
    <s v="Male"/>
    <n v="100000"/>
    <x v="1"/>
    <n v="1"/>
    <x v="0"/>
    <s v="Management"/>
    <s v="No"/>
    <n v="3"/>
    <s v="0-1 Miles"/>
    <x v="1"/>
    <n v="46"/>
    <x v="0"/>
    <s v="Yes"/>
    <n v="1"/>
  </r>
  <r>
    <n v="18253"/>
    <s v="Married"/>
    <s v="Female"/>
    <n v="80000"/>
    <x v="1"/>
    <n v="5"/>
    <x v="4"/>
    <s v="Management"/>
    <s v="Yes"/>
    <n v="3"/>
    <s v="0-1 Miles"/>
    <x v="1"/>
    <n v="40"/>
    <x v="0"/>
    <s v="No"/>
    <n v="0"/>
  </r>
  <r>
    <n v="20147"/>
    <s v="Married"/>
    <s v="Female"/>
    <n v="30000"/>
    <x v="0"/>
    <n v="1"/>
    <x v="0"/>
    <s v="Clerical"/>
    <s v="Yes"/>
    <n v="0"/>
    <s v="0-1 Miles"/>
    <x v="0"/>
    <n v="65"/>
    <x v="1"/>
    <s v="No"/>
    <n v="0"/>
  </r>
  <r>
    <n v="15612"/>
    <s v="Single"/>
    <s v="Male"/>
    <n v="30000"/>
    <x v="0"/>
    <n v="0"/>
    <x v="2"/>
    <s v="Manual"/>
    <s v="No"/>
    <n v="1"/>
    <s v="1-2 Miles"/>
    <x v="0"/>
    <n v="28"/>
    <x v="3"/>
    <s v="No"/>
    <n v="0"/>
  </r>
  <r>
    <n v="28323"/>
    <s v="Single"/>
    <s v="Male"/>
    <n v="70000"/>
    <x v="1"/>
    <n v="0"/>
    <x v="0"/>
    <s v="Professional"/>
    <s v="No"/>
    <n v="2"/>
    <s v="5-10 Miles"/>
    <x v="1"/>
    <n v="43"/>
    <x v="0"/>
    <s v="Yes"/>
    <n v="1"/>
  </r>
  <r>
    <n v="22634"/>
    <s v="Single"/>
    <s v="Female"/>
    <n v="40000"/>
    <x v="0"/>
    <n v="0"/>
    <x v="4"/>
    <s v="Clerical"/>
    <s v="Yes"/>
    <n v="0"/>
    <s v="0-1 Miles"/>
    <x v="0"/>
    <n v="38"/>
    <x v="2"/>
    <s v="Yes"/>
    <n v="1"/>
  </r>
  <r>
    <n v="15665"/>
    <s v="Married"/>
    <s v="Female"/>
    <n v="30000"/>
    <x v="0"/>
    <n v="0"/>
    <x v="0"/>
    <s v="Clerical"/>
    <s v="Yes"/>
    <n v="0"/>
    <s v="0-1 Miles"/>
    <x v="0"/>
    <n v="47"/>
    <x v="0"/>
    <s v="Yes"/>
    <n v="1"/>
  </r>
  <r>
    <n v="27585"/>
    <s v="Married"/>
    <s v="Female"/>
    <n v="90000"/>
    <x v="1"/>
    <n v="2"/>
    <x v="0"/>
    <s v="Professional"/>
    <s v="No"/>
    <n v="0"/>
    <s v="0-1 Miles"/>
    <x v="1"/>
    <n v="36"/>
    <x v="2"/>
    <s v="Yes"/>
    <n v="1"/>
  </r>
  <r>
    <n v="19748"/>
    <s v="Married"/>
    <s v="Male"/>
    <n v="20000"/>
    <x v="0"/>
    <n v="4"/>
    <x v="2"/>
    <s v="Skilled Manual"/>
    <s v="No"/>
    <n v="2"/>
    <s v="1-2 Miles"/>
    <x v="1"/>
    <n v="60"/>
    <x v="1"/>
    <s v="No"/>
    <n v="0"/>
  </r>
  <r>
    <n v="21974"/>
    <s v="Single"/>
    <s v="Female"/>
    <n v="70000"/>
    <x v="1"/>
    <n v="0"/>
    <x v="0"/>
    <s v="Professional"/>
    <s v="Yes"/>
    <n v="1"/>
    <s v="5-10 Miles"/>
    <x v="1"/>
    <n v="42"/>
    <x v="0"/>
    <s v="Yes"/>
    <n v="1"/>
  </r>
  <r>
    <n v="14032"/>
    <s v="Married"/>
    <s v="Male"/>
    <n v="70000"/>
    <x v="1"/>
    <n v="2"/>
    <x v="2"/>
    <s v="Skilled Manual"/>
    <s v="No"/>
    <n v="2"/>
    <s v="1-2 Miles"/>
    <x v="1"/>
    <n v="50"/>
    <x v="0"/>
    <s v="Yes"/>
    <n v="1"/>
  </r>
  <r>
    <n v="22610"/>
    <s v="Married"/>
    <s v="Male"/>
    <n v="30000"/>
    <x v="0"/>
    <n v="0"/>
    <x v="0"/>
    <s v="Clerical"/>
    <s v="Yes"/>
    <n v="0"/>
    <s v="0-1 Miles"/>
    <x v="0"/>
    <n v="35"/>
    <x v="2"/>
    <s v="Yes"/>
    <n v="1"/>
  </r>
  <r>
    <n v="26984"/>
    <s v="Married"/>
    <s v="Male"/>
    <n v="40000"/>
    <x v="0"/>
    <n v="1"/>
    <x v="0"/>
    <s v="Skilled Manual"/>
    <s v="Yes"/>
    <n v="1"/>
    <s v="0-1 Miles"/>
    <x v="0"/>
    <n v="32"/>
    <x v="2"/>
    <s v="Yes"/>
    <n v="1"/>
  </r>
  <r>
    <n v="18294"/>
    <s v="Married"/>
    <s v="Female"/>
    <n v="90000"/>
    <x v="1"/>
    <n v="1"/>
    <x v="0"/>
    <s v="Professional"/>
    <s v="Yes"/>
    <n v="1"/>
    <s v="5-10 Miles"/>
    <x v="1"/>
    <n v="46"/>
    <x v="0"/>
    <s v="No"/>
    <n v="0"/>
  </r>
  <r>
    <n v="28564"/>
    <s v="Single"/>
    <s v="Female"/>
    <n v="40000"/>
    <x v="0"/>
    <n v="2"/>
    <x v="1"/>
    <s v="Clerical"/>
    <s v="Yes"/>
    <n v="0"/>
    <s v="1-2 Miles"/>
    <x v="0"/>
    <n v="33"/>
    <x v="2"/>
    <s v="Yes"/>
    <n v="1"/>
  </r>
  <r>
    <n v="28521"/>
    <s v="Single"/>
    <s v="Male"/>
    <n v="40000"/>
    <x v="0"/>
    <n v="0"/>
    <x v="4"/>
    <s v="Clerical"/>
    <s v="No"/>
    <n v="0"/>
    <s v="0-1 Miles"/>
    <x v="0"/>
    <n v="36"/>
    <x v="2"/>
    <s v="Yes"/>
    <n v="1"/>
  </r>
  <r>
    <n v="15450"/>
    <s v="Married"/>
    <s v="Male"/>
    <n v="10000"/>
    <x v="0"/>
    <n v="1"/>
    <x v="4"/>
    <s v="Clerical"/>
    <s v="Yes"/>
    <n v="0"/>
    <s v="0-1 Miles"/>
    <x v="0"/>
    <n v="70"/>
    <x v="1"/>
    <s v="No"/>
    <n v="0"/>
  </r>
  <r>
    <n v="25681"/>
    <s v="Single"/>
    <s v="Female"/>
    <n v="30000"/>
    <x v="0"/>
    <n v="0"/>
    <x v="1"/>
    <s v="Clerical"/>
    <s v="No"/>
    <n v="1"/>
    <s v="2-5 Miles"/>
    <x v="0"/>
    <n v="31"/>
    <x v="2"/>
    <s v="Yes"/>
    <n v="1"/>
  </r>
  <r>
    <n v="19491"/>
    <s v="Single"/>
    <s v="Male"/>
    <n v="30000"/>
    <x v="0"/>
    <n v="2"/>
    <x v="1"/>
    <s v="Clerical"/>
    <s v="Yes"/>
    <n v="2"/>
    <s v="0-1 Miles"/>
    <x v="0"/>
    <n v="42"/>
    <x v="0"/>
    <s v="No"/>
    <n v="0"/>
  </r>
  <r>
    <n v="26415"/>
    <s v="Married"/>
    <s v="Female"/>
    <n v="90000"/>
    <x v="1"/>
    <n v="4"/>
    <x v="3"/>
    <s v="Skilled Manual"/>
    <s v="Yes"/>
    <n v="4"/>
    <s v="More than 10 Miles"/>
    <x v="0"/>
    <n v="58"/>
    <x v="0"/>
    <s v="No"/>
    <n v="0"/>
  </r>
  <r>
    <n v="12821"/>
    <s v="Married"/>
    <s v="Male"/>
    <n v="40000"/>
    <x v="0"/>
    <n v="0"/>
    <x v="0"/>
    <s v="Clerical"/>
    <s v="Yes"/>
    <n v="0"/>
    <s v="0-1 Miles"/>
    <x v="0"/>
    <n v="39"/>
    <x v="2"/>
    <s v="No"/>
    <n v="0"/>
  </r>
  <r>
    <n v="15629"/>
    <s v="Single"/>
    <s v="Female"/>
    <n v="10000"/>
    <x v="0"/>
    <n v="0"/>
    <x v="3"/>
    <s v="Manual"/>
    <s v="Yes"/>
    <n v="2"/>
    <s v="1-2 Miles"/>
    <x v="0"/>
    <n v="34"/>
    <x v="2"/>
    <s v="No"/>
    <n v="0"/>
  </r>
  <r>
    <n v="27835"/>
    <s v="Married"/>
    <s v="Male"/>
    <n v="20000"/>
    <x v="0"/>
    <n v="0"/>
    <x v="3"/>
    <s v="Manual"/>
    <s v="Yes"/>
    <n v="2"/>
    <s v="0-1 Miles"/>
    <x v="0"/>
    <n v="32"/>
    <x v="2"/>
    <s v="No"/>
    <n v="0"/>
  </r>
  <r>
    <n v="11738"/>
    <s v="Married"/>
    <s v="Male"/>
    <n v="60000"/>
    <x v="0"/>
    <n v="4"/>
    <x v="0"/>
    <s v="Professional"/>
    <s v="Yes"/>
    <n v="0"/>
    <s v="2-5 Miles"/>
    <x v="2"/>
    <n v="46"/>
    <x v="0"/>
    <s v="No"/>
    <n v="0"/>
  </r>
  <r>
    <n v="25065"/>
    <s v="Married"/>
    <s v="Male"/>
    <n v="70000"/>
    <x v="1"/>
    <n v="2"/>
    <x v="3"/>
    <s v="Skilled Manual"/>
    <s v="Yes"/>
    <n v="2"/>
    <s v="5-10 Miles"/>
    <x v="2"/>
    <n v="48"/>
    <x v="0"/>
    <s v="No"/>
    <n v="0"/>
  </r>
  <r>
    <n v="26238"/>
    <s v="Single"/>
    <s v="Female"/>
    <n v="40000"/>
    <x v="0"/>
    <n v="3"/>
    <x v="1"/>
    <s v="Clerical"/>
    <s v="Yes"/>
    <n v="1"/>
    <s v="1-2 Miles"/>
    <x v="2"/>
    <n v="31"/>
    <x v="2"/>
    <s v="Yes"/>
    <n v="1"/>
  </r>
  <r>
    <n v="23707"/>
    <s v="Single"/>
    <s v="Male"/>
    <n v="70000"/>
    <x v="1"/>
    <n v="5"/>
    <x v="0"/>
    <s v="Management"/>
    <s v="Yes"/>
    <n v="3"/>
    <s v="More than 10 Miles"/>
    <x v="2"/>
    <n v="60"/>
    <x v="1"/>
    <s v="Yes"/>
    <n v="1"/>
  </r>
  <r>
    <n v="27650"/>
    <s v="Married"/>
    <s v="Male"/>
    <n v="70000"/>
    <x v="1"/>
    <n v="4"/>
    <x v="2"/>
    <s v="Professional"/>
    <s v="Yes"/>
    <n v="0"/>
    <s v="5-10 Miles"/>
    <x v="2"/>
    <n v="51"/>
    <x v="0"/>
    <s v="No"/>
    <n v="0"/>
  </r>
  <r>
    <n v="24981"/>
    <s v="Married"/>
    <s v="Male"/>
    <n v="60000"/>
    <x v="0"/>
    <n v="2"/>
    <x v="1"/>
    <s v="Professional"/>
    <s v="Yes"/>
    <n v="2"/>
    <s v="More than 10 Miles"/>
    <x v="2"/>
    <n v="56"/>
    <x v="0"/>
    <s v="No"/>
    <n v="0"/>
  </r>
  <r>
    <n v="20678"/>
    <s v="Single"/>
    <s v="Female"/>
    <n v="60000"/>
    <x v="0"/>
    <n v="3"/>
    <x v="0"/>
    <s v="Skilled Manual"/>
    <s v="Yes"/>
    <n v="1"/>
    <s v="2-5 Miles"/>
    <x v="2"/>
    <n v="40"/>
    <x v="0"/>
    <s v="Yes"/>
    <n v="1"/>
  </r>
  <r>
    <n v="15302"/>
    <s v="Single"/>
    <s v="Female"/>
    <n v="70000"/>
    <x v="1"/>
    <n v="1"/>
    <x v="4"/>
    <s v="Professional"/>
    <s v="Yes"/>
    <n v="0"/>
    <s v="2-5 Miles"/>
    <x v="2"/>
    <n v="34"/>
    <x v="2"/>
    <s v="Yes"/>
    <n v="1"/>
  </r>
  <r>
    <n v="26012"/>
    <s v="Married"/>
    <s v="Male"/>
    <n v="80000"/>
    <x v="1"/>
    <n v="1"/>
    <x v="1"/>
    <s v="Skilled Manual"/>
    <s v="Yes"/>
    <n v="1"/>
    <s v="2-5 Miles"/>
    <x v="2"/>
    <n v="48"/>
    <x v="0"/>
    <s v="Yes"/>
    <n v="1"/>
  </r>
  <r>
    <n v="26575"/>
    <s v="Single"/>
    <s v="Female"/>
    <n v="40000"/>
    <x v="0"/>
    <n v="0"/>
    <x v="2"/>
    <s v="Skilled Manual"/>
    <s v="No"/>
    <n v="2"/>
    <s v="1-2 Miles"/>
    <x v="2"/>
    <n v="31"/>
    <x v="2"/>
    <s v="Yes"/>
    <n v="1"/>
  </r>
  <r>
    <n v="15559"/>
    <s v="Married"/>
    <s v="Male"/>
    <n v="60000"/>
    <x v="0"/>
    <n v="5"/>
    <x v="0"/>
    <s v="Professional"/>
    <s v="Yes"/>
    <n v="1"/>
    <s v="2-5 Miles"/>
    <x v="2"/>
    <n v="47"/>
    <x v="0"/>
    <s v="No"/>
    <n v="0"/>
  </r>
  <r>
    <n v="19235"/>
    <s v="Married"/>
    <s v="Female"/>
    <n v="50000"/>
    <x v="0"/>
    <n v="0"/>
    <x v="4"/>
    <s v="Skilled Manual"/>
    <s v="Yes"/>
    <n v="0"/>
    <s v="0-1 Miles"/>
    <x v="2"/>
    <n v="34"/>
    <x v="2"/>
    <s v="No"/>
    <n v="0"/>
  </r>
  <r>
    <n v="15275"/>
    <s v="Married"/>
    <s v="Male"/>
    <n v="40000"/>
    <x v="0"/>
    <n v="0"/>
    <x v="1"/>
    <s v="Skilled Manual"/>
    <s v="Yes"/>
    <n v="1"/>
    <s v="5-10 Miles"/>
    <x v="2"/>
    <n v="29"/>
    <x v="3"/>
    <s v="No"/>
    <n v="0"/>
  </r>
  <r>
    <n v="20339"/>
    <s v="Married"/>
    <s v="Female"/>
    <n v="130000"/>
    <x v="2"/>
    <n v="1"/>
    <x v="0"/>
    <s v="Management"/>
    <s v="Yes"/>
    <n v="4"/>
    <s v="2-5 Miles"/>
    <x v="2"/>
    <n v="44"/>
    <x v="0"/>
    <s v="Yes"/>
    <n v="1"/>
  </r>
  <r>
    <n v="25405"/>
    <s v="Married"/>
    <s v="Male"/>
    <n v="70000"/>
    <x v="1"/>
    <n v="2"/>
    <x v="0"/>
    <s v="Skilled Manual"/>
    <s v="Yes"/>
    <n v="1"/>
    <s v="2-5 Miles"/>
    <x v="2"/>
    <n v="38"/>
    <x v="2"/>
    <s v="Yes"/>
    <n v="1"/>
  </r>
  <r>
    <n v="15940"/>
    <s v="Married"/>
    <s v="Male"/>
    <n v="100000"/>
    <x v="1"/>
    <n v="4"/>
    <x v="1"/>
    <s v="Professional"/>
    <s v="Yes"/>
    <n v="4"/>
    <s v="0-1 Miles"/>
    <x v="2"/>
    <n v="40"/>
    <x v="0"/>
    <s v="No"/>
    <n v="0"/>
  </r>
  <r>
    <n v="25074"/>
    <s v="Married"/>
    <s v="Female"/>
    <n v="70000"/>
    <x v="1"/>
    <n v="4"/>
    <x v="0"/>
    <s v="Professional"/>
    <s v="Yes"/>
    <n v="2"/>
    <s v="2-5 Miles"/>
    <x v="2"/>
    <n v="42"/>
    <x v="0"/>
    <s v="Yes"/>
    <n v="1"/>
  </r>
  <r>
    <n v="24738"/>
    <s v="Married"/>
    <s v="Female"/>
    <n v="40000"/>
    <x v="0"/>
    <n v="1"/>
    <x v="1"/>
    <s v="Clerical"/>
    <s v="Yes"/>
    <n v="1"/>
    <s v="1-2 Miles"/>
    <x v="2"/>
    <n v="51"/>
    <x v="0"/>
    <s v="Yes"/>
    <n v="1"/>
  </r>
  <r>
    <n v="16337"/>
    <s v="Married"/>
    <s v="Male"/>
    <n v="60000"/>
    <x v="0"/>
    <n v="0"/>
    <x v="1"/>
    <s v="Skilled Manual"/>
    <s v="No"/>
    <n v="2"/>
    <s v="1-2 Miles"/>
    <x v="2"/>
    <n v="29"/>
    <x v="3"/>
    <s v="No"/>
    <n v="0"/>
  </r>
  <r>
    <n v="24357"/>
    <s v="Married"/>
    <s v="Male"/>
    <n v="80000"/>
    <x v="1"/>
    <n v="3"/>
    <x v="0"/>
    <s v="Professional"/>
    <s v="Yes"/>
    <n v="1"/>
    <s v="2-5 Miles"/>
    <x v="2"/>
    <n v="48"/>
    <x v="0"/>
    <s v="Yes"/>
    <n v="1"/>
  </r>
  <r>
    <n v="18613"/>
    <s v="Single"/>
    <s v="Male"/>
    <n v="70000"/>
    <x v="1"/>
    <n v="0"/>
    <x v="0"/>
    <s v="Professional"/>
    <s v="No"/>
    <n v="1"/>
    <s v="2-5 Miles"/>
    <x v="2"/>
    <n v="37"/>
    <x v="2"/>
    <s v="Yes"/>
    <n v="1"/>
  </r>
  <r>
    <n v="12207"/>
    <s v="Single"/>
    <s v="Male"/>
    <n v="80000"/>
    <x v="1"/>
    <n v="4"/>
    <x v="0"/>
    <s v="Management"/>
    <s v="Yes"/>
    <n v="0"/>
    <s v="5-10 Miles"/>
    <x v="2"/>
    <n v="66"/>
    <x v="1"/>
    <s v="Yes"/>
    <n v="1"/>
  </r>
  <r>
    <n v="18052"/>
    <s v="Married"/>
    <s v="Female"/>
    <n v="60000"/>
    <x v="0"/>
    <n v="1"/>
    <x v="1"/>
    <s v="Skilled Manual"/>
    <s v="Yes"/>
    <n v="1"/>
    <s v="0-1 Miles"/>
    <x v="2"/>
    <n v="45"/>
    <x v="0"/>
    <s v="Yes"/>
    <n v="1"/>
  </r>
  <r>
    <n v="13353"/>
    <s v="Single"/>
    <s v="Female"/>
    <n v="60000"/>
    <x v="0"/>
    <n v="4"/>
    <x v="4"/>
    <s v="Management"/>
    <s v="Yes"/>
    <n v="2"/>
    <s v="More than 10 Miles"/>
    <x v="2"/>
    <n v="61"/>
    <x v="1"/>
    <s v="Yes"/>
    <n v="1"/>
  </r>
  <r>
    <n v="19399"/>
    <s v="Single"/>
    <s v="Male"/>
    <n v="40000"/>
    <x v="0"/>
    <n v="0"/>
    <x v="0"/>
    <s v="Professional"/>
    <s v="No"/>
    <n v="1"/>
    <s v="2-5 Miles"/>
    <x v="2"/>
    <n v="45"/>
    <x v="0"/>
    <s v="No"/>
    <n v="0"/>
  </r>
  <r>
    <n v="16154"/>
    <s v="Married"/>
    <s v="Female"/>
    <n v="70000"/>
    <x v="1"/>
    <n v="5"/>
    <x v="0"/>
    <s v="Professional"/>
    <s v="Yes"/>
    <n v="2"/>
    <s v="2-5 Miles"/>
    <x v="2"/>
    <n v="47"/>
    <x v="0"/>
    <s v="No"/>
    <n v="0"/>
  </r>
  <r>
    <n v="22219"/>
    <s v="Married"/>
    <s v="Female"/>
    <n v="60000"/>
    <x v="0"/>
    <n v="2"/>
    <x v="2"/>
    <s v="Professional"/>
    <s v="Yes"/>
    <n v="2"/>
    <s v="5-10 Miles"/>
    <x v="2"/>
    <n v="49"/>
    <x v="0"/>
    <s v="No"/>
    <n v="0"/>
  </r>
  <r>
    <n v="17269"/>
    <s v="Single"/>
    <s v="Male"/>
    <n v="60000"/>
    <x v="0"/>
    <n v="3"/>
    <x v="0"/>
    <s v="Professional"/>
    <s v="No"/>
    <n v="0"/>
    <s v="0-1 Miles"/>
    <x v="2"/>
    <n v="47"/>
    <x v="0"/>
    <s v="Yes"/>
    <n v="1"/>
  </r>
  <r>
    <n v="23586"/>
    <s v="Married"/>
    <s v="Female"/>
    <n v="80000"/>
    <x v="1"/>
    <n v="0"/>
    <x v="0"/>
    <s v="Management"/>
    <s v="Yes"/>
    <n v="1"/>
    <s v="1-2 Miles"/>
    <x v="2"/>
    <n v="34"/>
    <x v="2"/>
    <s v="Yes"/>
    <n v="1"/>
  </r>
  <r>
    <n v="15740"/>
    <s v="Married"/>
    <s v="Male"/>
    <n v="80000"/>
    <x v="1"/>
    <n v="5"/>
    <x v="0"/>
    <s v="Management"/>
    <s v="Yes"/>
    <n v="2"/>
    <s v="1-2 Miles"/>
    <x v="2"/>
    <n v="64"/>
    <x v="1"/>
    <s v="No"/>
    <n v="0"/>
  </r>
  <r>
    <n v="27638"/>
    <s v="Single"/>
    <s v="Male"/>
    <n v="100000"/>
    <x v="1"/>
    <n v="1"/>
    <x v="1"/>
    <s v="Professional"/>
    <s v="No"/>
    <n v="3"/>
    <s v="1-2 Miles"/>
    <x v="2"/>
    <n v="44"/>
    <x v="0"/>
    <s v="No"/>
    <n v="0"/>
  </r>
  <r>
    <n v="18976"/>
    <s v="Single"/>
    <s v="Male"/>
    <n v="40000"/>
    <x v="0"/>
    <n v="4"/>
    <x v="2"/>
    <s v="Professional"/>
    <s v="Yes"/>
    <n v="2"/>
    <s v="More than 10 Miles"/>
    <x v="2"/>
    <n v="62"/>
    <x v="1"/>
    <s v="Yes"/>
    <n v="1"/>
  </r>
  <r>
    <n v="19413"/>
    <s v="Single"/>
    <s v="Male"/>
    <n v="60000"/>
    <x v="0"/>
    <n v="3"/>
    <x v="0"/>
    <s v="Professional"/>
    <s v="No"/>
    <n v="1"/>
    <s v="0-1 Miles"/>
    <x v="2"/>
    <n v="47"/>
    <x v="0"/>
    <s v="Yes"/>
    <n v="1"/>
  </r>
  <r>
    <n v="13283"/>
    <s v="Married"/>
    <s v="Male"/>
    <n v="80000"/>
    <x v="1"/>
    <n v="3"/>
    <x v="1"/>
    <s v="Professional"/>
    <s v="No"/>
    <n v="2"/>
    <s v="0-1 Miles"/>
    <x v="2"/>
    <n v="49"/>
    <x v="0"/>
    <s v="Yes"/>
    <n v="1"/>
  </r>
  <r>
    <n v="17471"/>
    <s v="Single"/>
    <s v="Female"/>
    <n v="80000"/>
    <x v="1"/>
    <n v="4"/>
    <x v="4"/>
    <s v="Management"/>
    <s v="Yes"/>
    <n v="2"/>
    <s v="5-10 Miles"/>
    <x v="2"/>
    <n v="67"/>
    <x v="1"/>
    <s v="No"/>
    <n v="0"/>
  </r>
  <r>
    <n v="16791"/>
    <s v="Single"/>
    <s v="Male"/>
    <n v="60000"/>
    <x v="0"/>
    <n v="5"/>
    <x v="0"/>
    <s v="Management"/>
    <s v="Yes"/>
    <n v="3"/>
    <s v="More than 10 Miles"/>
    <x v="2"/>
    <n v="59"/>
    <x v="0"/>
    <s v="Yes"/>
    <n v="1"/>
  </r>
  <r>
    <n v="15382"/>
    <s v="Married"/>
    <s v="Female"/>
    <n v="110000"/>
    <x v="1"/>
    <n v="1"/>
    <x v="0"/>
    <s v="Management"/>
    <s v="Yes"/>
    <n v="2"/>
    <s v="1-2 Miles"/>
    <x v="2"/>
    <n v="44"/>
    <x v="0"/>
    <s v="No"/>
    <n v="0"/>
  </r>
  <r>
    <n v="11641"/>
    <s v="Married"/>
    <s v="Male"/>
    <n v="50000"/>
    <x v="0"/>
    <n v="1"/>
    <x v="0"/>
    <s v="Skilled Manual"/>
    <s v="Yes"/>
    <n v="0"/>
    <s v="0-1 Miles"/>
    <x v="2"/>
    <n v="36"/>
    <x v="2"/>
    <s v="No"/>
    <n v="0"/>
  </r>
  <r>
    <n v="11935"/>
    <s v="Single"/>
    <s v="Female"/>
    <n v="30000"/>
    <x v="0"/>
    <n v="0"/>
    <x v="1"/>
    <s v="Skilled Manual"/>
    <s v="Yes"/>
    <n v="1"/>
    <s v="5-10 Miles"/>
    <x v="2"/>
    <n v="28"/>
    <x v="3"/>
    <s v="No"/>
    <n v="0"/>
  </r>
  <r>
    <n v="13233"/>
    <s v="Married"/>
    <s v="Male"/>
    <n v="60000"/>
    <x v="0"/>
    <n v="2"/>
    <x v="1"/>
    <s v="Professional"/>
    <s v="Yes"/>
    <n v="1"/>
    <s v="More than 10 Miles"/>
    <x v="2"/>
    <n v="57"/>
    <x v="0"/>
    <s v="Yes"/>
    <n v="1"/>
  </r>
  <r>
    <n v="25909"/>
    <s v="Married"/>
    <s v="Male"/>
    <n v="60000"/>
    <x v="0"/>
    <n v="0"/>
    <x v="1"/>
    <s v="Skilled Manual"/>
    <s v="Yes"/>
    <n v="1"/>
    <s v="5-10 Miles"/>
    <x v="2"/>
    <n v="27"/>
    <x v="3"/>
    <s v="Yes"/>
    <n v="1"/>
  </r>
  <r>
    <n v="14092"/>
    <s v="Single"/>
    <s v="Male"/>
    <n v="30000"/>
    <x v="0"/>
    <n v="0"/>
    <x v="3"/>
    <s v="Clerical"/>
    <s v="Yes"/>
    <n v="2"/>
    <s v="5-10 Miles"/>
    <x v="2"/>
    <n v="28"/>
    <x v="3"/>
    <s v="No"/>
    <n v="0"/>
  </r>
  <r>
    <n v="29143"/>
    <s v="Single"/>
    <s v="Female"/>
    <n v="60000"/>
    <x v="0"/>
    <n v="1"/>
    <x v="0"/>
    <s v="Professional"/>
    <s v="No"/>
    <n v="1"/>
    <s v="0-1 Miles"/>
    <x v="2"/>
    <n v="44"/>
    <x v="0"/>
    <s v="Yes"/>
    <n v="1"/>
  </r>
  <r>
    <n v="24941"/>
    <s v="Married"/>
    <s v="Male"/>
    <n v="60000"/>
    <x v="0"/>
    <n v="3"/>
    <x v="0"/>
    <s v="Management"/>
    <s v="Yes"/>
    <n v="2"/>
    <s v="More than 10 Miles"/>
    <x v="2"/>
    <n v="66"/>
    <x v="1"/>
    <s v="No"/>
    <n v="0"/>
  </r>
  <r>
    <n v="24637"/>
    <s v="Married"/>
    <s v="Male"/>
    <n v="40000"/>
    <x v="0"/>
    <n v="4"/>
    <x v="2"/>
    <s v="Professional"/>
    <s v="Yes"/>
    <n v="2"/>
    <s v="More than 10 Miles"/>
    <x v="2"/>
    <n v="64"/>
    <x v="1"/>
    <s v="No"/>
    <n v="0"/>
  </r>
  <r>
    <n v="23893"/>
    <s v="Married"/>
    <s v="Male"/>
    <n v="50000"/>
    <x v="0"/>
    <n v="3"/>
    <x v="0"/>
    <s v="Skilled Manual"/>
    <s v="Yes"/>
    <n v="3"/>
    <s v="More than 10 Miles"/>
    <x v="2"/>
    <n v="41"/>
    <x v="0"/>
    <s v="No"/>
    <n v="0"/>
  </r>
  <r>
    <n v="13907"/>
    <s v="Single"/>
    <s v="Female"/>
    <n v="80000"/>
    <x v="1"/>
    <n v="3"/>
    <x v="0"/>
    <s v="Skilled Manual"/>
    <s v="Yes"/>
    <n v="1"/>
    <s v="0-1 Miles"/>
    <x v="2"/>
    <n v="41"/>
    <x v="0"/>
    <s v="Yes"/>
    <n v="1"/>
  </r>
  <r>
    <n v="14900"/>
    <s v="Married"/>
    <s v="Female"/>
    <n v="40000"/>
    <x v="0"/>
    <n v="1"/>
    <x v="1"/>
    <s v="Clerical"/>
    <s v="Yes"/>
    <n v="1"/>
    <s v="1-2 Miles"/>
    <x v="2"/>
    <n v="49"/>
    <x v="0"/>
    <s v="Yes"/>
    <n v="1"/>
  </r>
  <r>
    <n v="11262"/>
    <s v="Married"/>
    <s v="Female"/>
    <n v="80000"/>
    <x v="1"/>
    <n v="4"/>
    <x v="0"/>
    <s v="Management"/>
    <s v="Yes"/>
    <n v="0"/>
    <s v="0-1 Miles"/>
    <x v="2"/>
    <n v="42"/>
    <x v="0"/>
    <s v="No"/>
    <n v="0"/>
  </r>
  <r>
    <n v="22294"/>
    <s v="Single"/>
    <s v="Female"/>
    <n v="70000"/>
    <x v="1"/>
    <n v="0"/>
    <x v="0"/>
    <s v="Professional"/>
    <s v="No"/>
    <n v="1"/>
    <s v="2-5 Miles"/>
    <x v="2"/>
    <n v="37"/>
    <x v="2"/>
    <s v="Yes"/>
    <n v="1"/>
  </r>
  <r>
    <n v="12195"/>
    <s v="Single"/>
    <s v="Female"/>
    <n v="70000"/>
    <x v="1"/>
    <n v="3"/>
    <x v="4"/>
    <s v="Management"/>
    <s v="Yes"/>
    <n v="2"/>
    <s v="1-2 Miles"/>
    <x v="2"/>
    <n v="52"/>
    <x v="0"/>
    <s v="No"/>
    <n v="0"/>
  </r>
  <r>
    <n v="25375"/>
    <s v="Married"/>
    <s v="Male"/>
    <n v="50000"/>
    <x v="0"/>
    <n v="1"/>
    <x v="4"/>
    <s v="Skilled Manual"/>
    <s v="Yes"/>
    <n v="0"/>
    <s v="1-2 Miles"/>
    <x v="2"/>
    <n v="34"/>
    <x v="2"/>
    <s v="No"/>
    <n v="0"/>
  </r>
  <r>
    <n v="11143"/>
    <s v="Married"/>
    <s v="Male"/>
    <n v="40000"/>
    <x v="0"/>
    <n v="0"/>
    <x v="2"/>
    <s v="Skilled Manual"/>
    <s v="Yes"/>
    <n v="2"/>
    <s v="5-10 Miles"/>
    <x v="2"/>
    <n v="29"/>
    <x v="3"/>
    <s v="No"/>
    <n v="0"/>
  </r>
  <r>
    <n v="25898"/>
    <s v="Married"/>
    <s v="Female"/>
    <n v="70000"/>
    <x v="1"/>
    <n v="2"/>
    <x v="2"/>
    <s v="Professional"/>
    <s v="Yes"/>
    <n v="2"/>
    <s v="2-5 Miles"/>
    <x v="2"/>
    <n v="53"/>
    <x v="0"/>
    <s v="No"/>
    <n v="0"/>
  </r>
  <r>
    <n v="24397"/>
    <s v="Single"/>
    <s v="Male"/>
    <n v="120000"/>
    <x v="1"/>
    <n v="2"/>
    <x v="0"/>
    <s v="Management"/>
    <s v="No"/>
    <n v="4"/>
    <s v="1-2 Miles"/>
    <x v="2"/>
    <n v="40"/>
    <x v="0"/>
    <s v="No"/>
    <n v="0"/>
  </r>
  <r>
    <n v="19758"/>
    <s v="Single"/>
    <s v="Male"/>
    <n v="60000"/>
    <x v="0"/>
    <n v="0"/>
    <x v="1"/>
    <s v="Skilled Manual"/>
    <s v="No"/>
    <n v="2"/>
    <s v="1-2 Miles"/>
    <x v="2"/>
    <n v="29"/>
    <x v="3"/>
    <s v="No"/>
    <n v="0"/>
  </r>
  <r>
    <n v="15529"/>
    <s v="Married"/>
    <s v="Male"/>
    <n v="60000"/>
    <x v="0"/>
    <n v="4"/>
    <x v="0"/>
    <s v="Professional"/>
    <s v="Yes"/>
    <n v="2"/>
    <s v="2-5 Miles"/>
    <x v="2"/>
    <n v="43"/>
    <x v="0"/>
    <s v="Yes"/>
    <n v="1"/>
  </r>
  <r>
    <n v="19884"/>
    <s v="Married"/>
    <s v="Male"/>
    <n v="60000"/>
    <x v="0"/>
    <n v="2"/>
    <x v="2"/>
    <s v="Professional"/>
    <s v="Yes"/>
    <n v="2"/>
    <s v="2-5 Miles"/>
    <x v="2"/>
    <n v="55"/>
    <x v="0"/>
    <s v="Yes"/>
    <n v="1"/>
  </r>
  <r>
    <n v="18674"/>
    <s v="Single"/>
    <s v="Female"/>
    <n v="80000"/>
    <x v="1"/>
    <n v="4"/>
    <x v="4"/>
    <s v="Skilled Manual"/>
    <s v="No"/>
    <n v="0"/>
    <s v="0-1 Miles"/>
    <x v="2"/>
    <n v="48"/>
    <x v="0"/>
    <s v="No"/>
    <n v="0"/>
  </r>
  <r>
    <n v="13453"/>
    <s v="Married"/>
    <s v="Female"/>
    <n v="130000"/>
    <x v="2"/>
    <n v="3"/>
    <x v="0"/>
    <s v="Management"/>
    <s v="Yes"/>
    <n v="3"/>
    <s v="0-1 Miles"/>
    <x v="2"/>
    <n v="45"/>
    <x v="0"/>
    <s v="Yes"/>
    <n v="1"/>
  </r>
  <r>
    <n v="14063"/>
    <s v="Single"/>
    <s v="Female"/>
    <n v="70000"/>
    <x v="1"/>
    <n v="0"/>
    <x v="0"/>
    <s v="Professional"/>
    <s v="No"/>
    <n v="1"/>
    <s v="0-1 Miles"/>
    <x v="1"/>
    <n v="42"/>
    <x v="0"/>
    <s v="Yes"/>
    <n v="1"/>
  </r>
  <r>
    <n v="27393"/>
    <s v="Married"/>
    <s v="Female"/>
    <n v="50000"/>
    <x v="0"/>
    <n v="4"/>
    <x v="0"/>
    <s v="Management"/>
    <s v="Yes"/>
    <n v="2"/>
    <s v="More than 10 Miles"/>
    <x v="2"/>
    <n v="63"/>
    <x v="1"/>
    <s v="No"/>
    <n v="0"/>
  </r>
  <r>
    <n v="14417"/>
    <s v="Single"/>
    <s v="Male"/>
    <n v="60000"/>
    <x v="0"/>
    <n v="3"/>
    <x v="2"/>
    <s v="Professional"/>
    <s v="Yes"/>
    <n v="2"/>
    <s v="More than 10 Miles"/>
    <x v="2"/>
    <n v="54"/>
    <x v="0"/>
    <s v="Yes"/>
    <n v="1"/>
  </r>
  <r>
    <n v="17533"/>
    <s v="Married"/>
    <s v="Male"/>
    <n v="40000"/>
    <x v="0"/>
    <n v="3"/>
    <x v="1"/>
    <s v="Professional"/>
    <s v="No"/>
    <n v="2"/>
    <s v="5-10 Miles"/>
    <x v="2"/>
    <n v="73"/>
    <x v="1"/>
    <s v="Yes"/>
    <n v="1"/>
  </r>
  <r>
    <n v="18580"/>
    <s v="Married"/>
    <s v="Female"/>
    <n v="60000"/>
    <x v="0"/>
    <n v="2"/>
    <x v="4"/>
    <s v="Professional"/>
    <s v="Yes"/>
    <n v="0"/>
    <s v="2-5 Miles"/>
    <x v="2"/>
    <n v="40"/>
    <x v="0"/>
    <s v="Yes"/>
    <n v="1"/>
  </r>
  <r>
    <n v="17025"/>
    <s v="Single"/>
    <s v="Male"/>
    <n v="50000"/>
    <x v="0"/>
    <n v="0"/>
    <x v="1"/>
    <s v="Skilled Manual"/>
    <s v="No"/>
    <n v="1"/>
    <s v="2-5 Miles"/>
    <x v="2"/>
    <n v="39"/>
    <x v="2"/>
    <s v="Yes"/>
    <n v="1"/>
  </r>
  <r>
    <n v="25293"/>
    <s v="Married"/>
    <s v="Male"/>
    <n v="80000"/>
    <x v="1"/>
    <n v="4"/>
    <x v="0"/>
    <s v="Management"/>
    <s v="Yes"/>
    <n v="0"/>
    <s v="1-2 Miles"/>
    <x v="2"/>
    <n v="42"/>
    <x v="0"/>
    <s v="No"/>
    <n v="0"/>
  </r>
  <r>
    <n v="24725"/>
    <s v="Married"/>
    <s v="Female"/>
    <n v="40000"/>
    <x v="0"/>
    <n v="3"/>
    <x v="1"/>
    <s v="Clerical"/>
    <s v="Yes"/>
    <n v="0"/>
    <s v="1-2 Miles"/>
    <x v="2"/>
    <n v="31"/>
    <x v="2"/>
    <s v="No"/>
    <n v="0"/>
  </r>
  <r>
    <n v="23200"/>
    <s v="Married"/>
    <s v="Female"/>
    <n v="50000"/>
    <x v="0"/>
    <n v="3"/>
    <x v="0"/>
    <s v="Skilled Manual"/>
    <s v="Yes"/>
    <n v="2"/>
    <s v="0-1 Miles"/>
    <x v="2"/>
    <n v="41"/>
    <x v="0"/>
    <s v="No"/>
    <n v="0"/>
  </r>
  <r>
    <n v="15895"/>
    <s v="Single"/>
    <s v="Female"/>
    <n v="60000"/>
    <x v="0"/>
    <n v="2"/>
    <x v="0"/>
    <s v="Management"/>
    <s v="Yes"/>
    <n v="0"/>
    <s v="More than 10 Miles"/>
    <x v="2"/>
    <n v="58"/>
    <x v="0"/>
    <s v="No"/>
    <n v="0"/>
  </r>
  <r>
    <n v="18577"/>
    <s v="Married"/>
    <s v="Female"/>
    <n v="60000"/>
    <x v="0"/>
    <n v="0"/>
    <x v="4"/>
    <s v="Professional"/>
    <s v="Yes"/>
    <n v="0"/>
    <s v="0-1 Miles"/>
    <x v="2"/>
    <n v="40"/>
    <x v="0"/>
    <s v="No"/>
    <n v="0"/>
  </r>
  <r>
    <n v="27218"/>
    <s v="Married"/>
    <s v="Female"/>
    <n v="20000"/>
    <x v="0"/>
    <n v="2"/>
    <x v="3"/>
    <s v="Clerical"/>
    <s v="No"/>
    <n v="0"/>
    <s v="0-1 Miles"/>
    <x v="2"/>
    <n v="48"/>
    <x v="0"/>
    <s v="No"/>
    <n v="0"/>
  </r>
  <r>
    <n v="18560"/>
    <s v="Married"/>
    <s v="Female"/>
    <n v="70000"/>
    <x v="1"/>
    <n v="2"/>
    <x v="4"/>
    <s v="Professional"/>
    <s v="Yes"/>
    <n v="0"/>
    <s v="2-5 Miles"/>
    <x v="2"/>
    <n v="34"/>
    <x v="2"/>
    <s v="Yes"/>
    <n v="1"/>
  </r>
  <r>
    <n v="25006"/>
    <s v="Single"/>
    <s v="Female"/>
    <n v="30000"/>
    <x v="0"/>
    <n v="0"/>
    <x v="1"/>
    <s v="Skilled Manual"/>
    <s v="Yes"/>
    <n v="1"/>
    <s v="5-10 Miles"/>
    <x v="2"/>
    <n v="28"/>
    <x v="3"/>
    <s v="No"/>
    <n v="0"/>
  </r>
  <r>
    <n v="17369"/>
    <s v="Single"/>
    <s v="Male"/>
    <n v="30000"/>
    <x v="0"/>
    <n v="0"/>
    <x v="1"/>
    <s v="Skilled Manual"/>
    <s v="Yes"/>
    <n v="1"/>
    <s v="5-10 Miles"/>
    <x v="2"/>
    <n v="27"/>
    <x v="3"/>
    <s v="No"/>
    <n v="0"/>
  </r>
  <r>
    <n v="14495"/>
    <s v="Married"/>
    <s v="Male"/>
    <n v="40000"/>
    <x v="0"/>
    <n v="3"/>
    <x v="1"/>
    <s v="Professional"/>
    <s v="No"/>
    <n v="2"/>
    <s v="5-10 Miles"/>
    <x v="2"/>
    <n v="54"/>
    <x v="0"/>
    <s v="Yes"/>
    <n v="1"/>
  </r>
  <r>
    <n v="18847"/>
    <s v="Married"/>
    <s v="Female"/>
    <n v="60000"/>
    <x v="0"/>
    <n v="2"/>
    <x v="4"/>
    <s v="Management"/>
    <s v="Yes"/>
    <n v="2"/>
    <s v="5-10 Miles"/>
    <x v="2"/>
    <n v="70"/>
    <x v="1"/>
    <s v="No"/>
    <n v="0"/>
  </r>
  <r>
    <n v="14754"/>
    <s v="Married"/>
    <s v="Male"/>
    <n v="40000"/>
    <x v="0"/>
    <n v="1"/>
    <x v="1"/>
    <s v="Clerical"/>
    <s v="Yes"/>
    <n v="1"/>
    <s v="1-2 Miles"/>
    <x v="2"/>
    <n v="48"/>
    <x v="0"/>
    <s v="Yes"/>
    <n v="1"/>
  </r>
  <r>
    <n v="23378"/>
    <s v="Married"/>
    <s v="Male"/>
    <n v="70000"/>
    <x v="1"/>
    <n v="1"/>
    <x v="1"/>
    <s v="Skilled Manual"/>
    <s v="Yes"/>
    <n v="1"/>
    <s v="2-5 Miles"/>
    <x v="2"/>
    <n v="44"/>
    <x v="0"/>
    <s v="Yes"/>
    <n v="1"/>
  </r>
  <r>
    <n v="26452"/>
    <s v="Single"/>
    <s v="Male"/>
    <n v="50000"/>
    <x v="0"/>
    <n v="3"/>
    <x v="4"/>
    <s v="Management"/>
    <s v="Yes"/>
    <n v="2"/>
    <s v="More than 10 Miles"/>
    <x v="2"/>
    <n v="69"/>
    <x v="1"/>
    <s v="No"/>
    <n v="0"/>
  </r>
  <r>
    <n v="20370"/>
    <s v="Married"/>
    <s v="Male"/>
    <n v="70000"/>
    <x v="1"/>
    <n v="3"/>
    <x v="3"/>
    <s v="Skilled Manual"/>
    <s v="Yes"/>
    <n v="2"/>
    <s v="5-10 Miles"/>
    <x v="2"/>
    <n v="52"/>
    <x v="0"/>
    <s v="No"/>
    <n v="0"/>
  </r>
  <r>
    <n v="20528"/>
    <s v="Married"/>
    <s v="Male"/>
    <n v="40000"/>
    <x v="0"/>
    <n v="2"/>
    <x v="3"/>
    <s v="Skilled Manual"/>
    <s v="Yes"/>
    <n v="2"/>
    <s v="2-5 Miles"/>
    <x v="2"/>
    <n v="55"/>
    <x v="0"/>
    <s v="No"/>
    <n v="0"/>
  </r>
  <r>
    <n v="23549"/>
    <s v="Single"/>
    <s v="Male"/>
    <n v="30000"/>
    <x v="0"/>
    <n v="0"/>
    <x v="2"/>
    <s v="Skilled Manual"/>
    <s v="Yes"/>
    <n v="2"/>
    <s v="5-10 Miles"/>
    <x v="2"/>
    <n v="30"/>
    <x v="2"/>
    <s v="No"/>
    <n v="0"/>
  </r>
  <r>
    <n v="21751"/>
    <s v="Married"/>
    <s v="Male"/>
    <n v="60000"/>
    <x v="0"/>
    <n v="3"/>
    <x v="4"/>
    <s v="Management"/>
    <s v="Yes"/>
    <n v="2"/>
    <s v="1-2 Miles"/>
    <x v="2"/>
    <n v="63"/>
    <x v="1"/>
    <s v="No"/>
    <n v="0"/>
  </r>
  <r>
    <n v="21266"/>
    <s v="Single"/>
    <s v="Female"/>
    <n v="80000"/>
    <x v="1"/>
    <n v="0"/>
    <x v="0"/>
    <s v="Management"/>
    <s v="Yes"/>
    <n v="1"/>
    <s v="1-2 Miles"/>
    <x v="2"/>
    <n v="34"/>
    <x v="2"/>
    <s v="Yes"/>
    <n v="1"/>
  </r>
  <r>
    <n v="13388"/>
    <s v="Single"/>
    <s v="Male"/>
    <n v="60000"/>
    <x v="0"/>
    <n v="2"/>
    <x v="1"/>
    <s v="Professional"/>
    <s v="Yes"/>
    <n v="1"/>
    <s v="More than 10 Miles"/>
    <x v="2"/>
    <n v="56"/>
    <x v="0"/>
    <s v="No"/>
    <n v="0"/>
  </r>
  <r>
    <n v="18752"/>
    <s v="Single"/>
    <s v="Female"/>
    <n v="40000"/>
    <x v="0"/>
    <n v="0"/>
    <x v="2"/>
    <s v="Skilled Manual"/>
    <s v="Yes"/>
    <n v="1"/>
    <s v="5-10 Miles"/>
    <x v="2"/>
    <n v="31"/>
    <x v="2"/>
    <s v="No"/>
    <n v="0"/>
  </r>
  <r>
    <n v="16917"/>
    <s v="Married"/>
    <s v="Male"/>
    <n v="120000"/>
    <x v="1"/>
    <n v="1"/>
    <x v="0"/>
    <s v="Management"/>
    <s v="Yes"/>
    <n v="4"/>
    <s v="0-1 Miles"/>
    <x v="2"/>
    <n v="38"/>
    <x v="2"/>
    <s v="No"/>
    <n v="0"/>
  </r>
  <r>
    <n v="15313"/>
    <s v="Married"/>
    <s v="Male"/>
    <n v="60000"/>
    <x v="0"/>
    <n v="4"/>
    <x v="0"/>
    <s v="Management"/>
    <s v="Yes"/>
    <n v="2"/>
    <s v="2-5 Miles"/>
    <x v="2"/>
    <n v="59"/>
    <x v="0"/>
    <s v="No"/>
    <n v="0"/>
  </r>
  <r>
    <n v="25329"/>
    <s v="Single"/>
    <s v="Female"/>
    <n v="40000"/>
    <x v="0"/>
    <n v="3"/>
    <x v="1"/>
    <s v="Clerical"/>
    <s v="No"/>
    <n v="2"/>
    <s v="0-1 Miles"/>
    <x v="2"/>
    <n v="32"/>
    <x v="2"/>
    <s v="No"/>
    <n v="0"/>
  </r>
  <r>
    <n v="20380"/>
    <s v="Married"/>
    <s v="Female"/>
    <n v="60000"/>
    <x v="0"/>
    <n v="3"/>
    <x v="4"/>
    <s v="Management"/>
    <s v="Yes"/>
    <n v="2"/>
    <s v="More than 10 Miles"/>
    <x v="2"/>
    <n v="69"/>
    <x v="1"/>
    <s v="No"/>
    <n v="0"/>
  </r>
  <r>
    <n v="23089"/>
    <s v="Married"/>
    <s v="Male"/>
    <n v="40000"/>
    <x v="0"/>
    <n v="0"/>
    <x v="1"/>
    <s v="Skilled Manual"/>
    <s v="Yes"/>
    <n v="1"/>
    <s v="5-10 Miles"/>
    <x v="2"/>
    <n v="28"/>
    <x v="3"/>
    <s v="No"/>
    <n v="0"/>
  </r>
  <r>
    <n v="13749"/>
    <s v="Married"/>
    <s v="Male"/>
    <n v="80000"/>
    <x v="1"/>
    <n v="4"/>
    <x v="4"/>
    <s v="Skilled Manual"/>
    <s v="Yes"/>
    <n v="0"/>
    <s v="1-2 Miles"/>
    <x v="2"/>
    <n v="47"/>
    <x v="0"/>
    <s v="No"/>
    <n v="0"/>
  </r>
  <r>
    <n v="24943"/>
    <s v="Married"/>
    <s v="Male"/>
    <n v="60000"/>
    <x v="0"/>
    <n v="3"/>
    <x v="0"/>
    <s v="Management"/>
    <s v="Yes"/>
    <n v="2"/>
    <s v="More than 10 Miles"/>
    <x v="2"/>
    <n v="66"/>
    <x v="1"/>
    <s v="No"/>
    <n v="0"/>
  </r>
  <r>
    <n v="28667"/>
    <s v="Single"/>
    <s v="Male"/>
    <n v="70000"/>
    <x v="1"/>
    <n v="2"/>
    <x v="0"/>
    <s v="Skilled Manual"/>
    <s v="No"/>
    <n v="1"/>
    <s v="0-1 Miles"/>
    <x v="2"/>
    <n v="37"/>
    <x v="2"/>
    <s v="Yes"/>
    <n v="1"/>
  </r>
  <r>
    <n v="15194"/>
    <s v="Single"/>
    <s v="Male"/>
    <n v="120000"/>
    <x v="1"/>
    <n v="2"/>
    <x v="0"/>
    <s v="Management"/>
    <s v="No"/>
    <n v="3"/>
    <s v="0-1 Miles"/>
    <x v="2"/>
    <n v="39"/>
    <x v="2"/>
    <s v="Yes"/>
    <n v="1"/>
  </r>
  <r>
    <n v="17436"/>
    <s v="Married"/>
    <s v="Male"/>
    <n v="60000"/>
    <x v="0"/>
    <n v="2"/>
    <x v="2"/>
    <s v="Professional"/>
    <s v="No"/>
    <n v="2"/>
    <s v="1-2 Miles"/>
    <x v="2"/>
    <n v="51"/>
    <x v="0"/>
    <s v="No"/>
    <n v="0"/>
  </r>
  <r>
    <n v="18935"/>
    <s v="Married"/>
    <s v="Female"/>
    <n v="130000"/>
    <x v="2"/>
    <n v="0"/>
    <x v="4"/>
    <s v="Management"/>
    <s v="Yes"/>
    <n v="3"/>
    <s v="1-2 Miles"/>
    <x v="2"/>
    <n v="40"/>
    <x v="0"/>
    <s v="No"/>
    <n v="0"/>
  </r>
  <r>
    <n v="16871"/>
    <s v="Married"/>
    <s v="Female"/>
    <n v="90000"/>
    <x v="1"/>
    <n v="2"/>
    <x v="2"/>
    <s v="Professional"/>
    <s v="Yes"/>
    <n v="1"/>
    <s v="More than 10 Miles"/>
    <x v="2"/>
    <n v="51"/>
    <x v="0"/>
    <s v="Yes"/>
    <n v="1"/>
  </r>
  <r>
    <n v="12100"/>
    <s v="Single"/>
    <s v="Male"/>
    <n v="60000"/>
    <x v="0"/>
    <n v="2"/>
    <x v="0"/>
    <s v="Management"/>
    <s v="Yes"/>
    <n v="0"/>
    <s v="More than 10 Miles"/>
    <x v="2"/>
    <n v="57"/>
    <x v="0"/>
    <s v="No"/>
    <n v="0"/>
  </r>
  <r>
    <n v="23158"/>
    <s v="Married"/>
    <s v="Female"/>
    <n v="60000"/>
    <x v="0"/>
    <n v="1"/>
    <x v="4"/>
    <s v="Professional"/>
    <s v="No"/>
    <n v="0"/>
    <s v="0-1 Miles"/>
    <x v="2"/>
    <n v="35"/>
    <x v="2"/>
    <s v="Yes"/>
    <n v="1"/>
  </r>
  <r>
    <n v="18545"/>
    <s v="Married"/>
    <s v="Male"/>
    <n v="40000"/>
    <x v="0"/>
    <n v="4"/>
    <x v="2"/>
    <s v="Professional"/>
    <s v="No"/>
    <n v="2"/>
    <s v="More than 10 Miles"/>
    <x v="2"/>
    <n v="61"/>
    <x v="1"/>
    <s v="Yes"/>
    <n v="1"/>
  </r>
  <r>
    <n v="18391"/>
    <s v="Single"/>
    <s v="Female"/>
    <n v="80000"/>
    <x v="1"/>
    <n v="5"/>
    <x v="1"/>
    <s v="Professional"/>
    <s v="Yes"/>
    <n v="2"/>
    <s v="5-10 Miles"/>
    <x v="2"/>
    <n v="44"/>
    <x v="0"/>
    <s v="No"/>
    <n v="0"/>
  </r>
  <r>
    <n v="19812"/>
    <s v="Single"/>
    <s v="Female"/>
    <n v="70000"/>
    <x v="1"/>
    <n v="2"/>
    <x v="1"/>
    <s v="Professional"/>
    <s v="Yes"/>
    <n v="0"/>
    <s v="5-10 Miles"/>
    <x v="2"/>
    <n v="49"/>
    <x v="0"/>
    <s v="Yes"/>
    <n v="1"/>
  </r>
  <r>
    <n v="27660"/>
    <s v="Married"/>
    <s v="Male"/>
    <n v="80000"/>
    <x v="1"/>
    <n v="4"/>
    <x v="4"/>
    <s v="Management"/>
    <s v="Yes"/>
    <n v="2"/>
    <s v="5-10 Miles"/>
    <x v="2"/>
    <n v="70"/>
    <x v="1"/>
    <s v="No"/>
    <n v="0"/>
  </r>
  <r>
    <n v="18058"/>
    <s v="Single"/>
    <s v="Female"/>
    <n v="20000"/>
    <x v="0"/>
    <n v="3"/>
    <x v="2"/>
    <s v="Skilled Manual"/>
    <s v="Yes"/>
    <n v="2"/>
    <s v="2-5 Miles"/>
    <x v="2"/>
    <n v="78"/>
    <x v="1"/>
    <s v="No"/>
    <n v="0"/>
  </r>
  <r>
    <n v="20343"/>
    <s v="Married"/>
    <s v="Female"/>
    <n v="90000"/>
    <x v="1"/>
    <n v="4"/>
    <x v="1"/>
    <s v="Professional"/>
    <s v="Yes"/>
    <n v="1"/>
    <s v="1-2 Miles"/>
    <x v="2"/>
    <n v="45"/>
    <x v="0"/>
    <s v="No"/>
    <n v="0"/>
  </r>
  <r>
    <n v="28997"/>
    <s v="Single"/>
    <s v="Male"/>
    <n v="40000"/>
    <x v="0"/>
    <n v="2"/>
    <x v="2"/>
    <s v="Professional"/>
    <s v="No"/>
    <n v="1"/>
    <s v="2-5 Miles"/>
    <x v="2"/>
    <n v="58"/>
    <x v="0"/>
    <s v="Yes"/>
    <n v="1"/>
  </r>
  <r>
    <n v="24398"/>
    <s v="Married"/>
    <s v="Male"/>
    <n v="130000"/>
    <x v="2"/>
    <n v="1"/>
    <x v="4"/>
    <s v="Management"/>
    <s v="Yes"/>
    <n v="4"/>
    <s v="0-1 Miles"/>
    <x v="2"/>
    <n v="41"/>
    <x v="0"/>
    <s v="No"/>
    <n v="0"/>
  </r>
  <r>
    <n v="19002"/>
    <s v="Married"/>
    <s v="Female"/>
    <n v="60000"/>
    <x v="0"/>
    <n v="2"/>
    <x v="1"/>
    <s v="Professional"/>
    <s v="Yes"/>
    <n v="1"/>
    <s v="2-5 Miles"/>
    <x v="2"/>
    <n v="57"/>
    <x v="0"/>
    <s v="Yes"/>
    <n v="1"/>
  </r>
  <r>
    <n v="28609"/>
    <s v="Married"/>
    <s v="Male"/>
    <n v="30000"/>
    <x v="0"/>
    <n v="2"/>
    <x v="2"/>
    <s v="Skilled Manual"/>
    <s v="No"/>
    <n v="2"/>
    <s v="0-1 Miles"/>
    <x v="2"/>
    <n v="49"/>
    <x v="0"/>
    <s v="No"/>
    <n v="0"/>
  </r>
  <r>
    <n v="29231"/>
    <s v="Single"/>
    <s v="Male"/>
    <n v="80000"/>
    <x v="1"/>
    <n v="4"/>
    <x v="1"/>
    <s v="Professional"/>
    <s v="No"/>
    <n v="2"/>
    <s v="0-1 Miles"/>
    <x v="2"/>
    <n v="43"/>
    <x v="0"/>
    <s v="No"/>
    <n v="0"/>
  </r>
  <r>
    <n v="18858"/>
    <s v="Single"/>
    <s v="Male"/>
    <n v="60000"/>
    <x v="0"/>
    <n v="2"/>
    <x v="3"/>
    <s v="Skilled Manual"/>
    <s v="Yes"/>
    <n v="2"/>
    <s v="5-10 Miles"/>
    <x v="2"/>
    <n v="52"/>
    <x v="0"/>
    <s v="Yes"/>
    <n v="1"/>
  </r>
  <r>
    <n v="20000"/>
    <s v="Married"/>
    <s v="Male"/>
    <n v="60000"/>
    <x v="0"/>
    <n v="1"/>
    <x v="4"/>
    <s v="Professional"/>
    <s v="Yes"/>
    <n v="0"/>
    <s v="0-1 Miles"/>
    <x v="2"/>
    <n v="35"/>
    <x v="2"/>
    <s v="Yes"/>
    <n v="1"/>
  </r>
  <r>
    <n v="25261"/>
    <s v="Married"/>
    <s v="Male"/>
    <n v="40000"/>
    <x v="0"/>
    <n v="0"/>
    <x v="2"/>
    <s v="Skilled Manual"/>
    <s v="Yes"/>
    <n v="2"/>
    <s v="5-10 Miles"/>
    <x v="2"/>
    <n v="27"/>
    <x v="3"/>
    <s v="No"/>
    <n v="0"/>
  </r>
  <r>
    <n v="17458"/>
    <s v="Single"/>
    <s v="Male"/>
    <n v="70000"/>
    <x v="1"/>
    <n v="3"/>
    <x v="2"/>
    <s v="Professional"/>
    <s v="Yes"/>
    <n v="0"/>
    <s v="5-10 Miles"/>
    <x v="2"/>
    <n v="52"/>
    <x v="0"/>
    <s v="Yes"/>
    <n v="1"/>
  </r>
  <r>
    <n v="11644"/>
    <s v="Single"/>
    <s v="Male"/>
    <n v="40000"/>
    <x v="0"/>
    <n v="2"/>
    <x v="0"/>
    <s v="Skilled Manual"/>
    <s v="Yes"/>
    <n v="0"/>
    <s v="2-5 Miles"/>
    <x v="2"/>
    <n v="36"/>
    <x v="2"/>
    <s v="No"/>
    <n v="0"/>
  </r>
  <r>
    <n v="16145"/>
    <s v="Single"/>
    <s v="Female"/>
    <n v="70000"/>
    <x v="1"/>
    <n v="5"/>
    <x v="4"/>
    <s v="Professional"/>
    <s v="Yes"/>
    <n v="3"/>
    <s v="More than 10 Miles"/>
    <x v="2"/>
    <n v="46"/>
    <x v="0"/>
    <s v="Yes"/>
    <n v="1"/>
  </r>
  <r>
    <n v="16890"/>
    <s v="Married"/>
    <s v="Male"/>
    <n v="60000"/>
    <x v="0"/>
    <n v="3"/>
    <x v="3"/>
    <s v="Skilled Manual"/>
    <s v="Yes"/>
    <n v="2"/>
    <s v="5-10 Miles"/>
    <x v="2"/>
    <n v="52"/>
    <x v="0"/>
    <s v="Yes"/>
    <n v="1"/>
  </r>
  <r>
    <n v="25983"/>
    <s v="Married"/>
    <s v="Male"/>
    <n v="70000"/>
    <x v="1"/>
    <n v="0"/>
    <x v="0"/>
    <s v="Professional"/>
    <s v="No"/>
    <n v="1"/>
    <s v="0-1 Miles"/>
    <x v="2"/>
    <n v="43"/>
    <x v="0"/>
    <s v="No"/>
    <n v="0"/>
  </r>
  <r>
    <n v="14633"/>
    <s v="Married"/>
    <s v="Male"/>
    <n v="60000"/>
    <x v="0"/>
    <n v="1"/>
    <x v="1"/>
    <s v="Skilled Manual"/>
    <s v="Yes"/>
    <n v="1"/>
    <s v="2-5 Miles"/>
    <x v="2"/>
    <n v="44"/>
    <x v="0"/>
    <s v="No"/>
    <n v="0"/>
  </r>
  <r>
    <n v="22994"/>
    <s v="Married"/>
    <s v="Female"/>
    <n v="80000"/>
    <x v="1"/>
    <n v="0"/>
    <x v="0"/>
    <s v="Management"/>
    <s v="Yes"/>
    <n v="1"/>
    <s v="1-2 Miles"/>
    <x v="2"/>
    <n v="34"/>
    <x v="2"/>
    <s v="Yes"/>
    <n v="1"/>
  </r>
  <r>
    <n v="22983"/>
    <s v="Single"/>
    <s v="Female"/>
    <n v="30000"/>
    <x v="0"/>
    <n v="0"/>
    <x v="3"/>
    <s v="Clerical"/>
    <s v="Yes"/>
    <n v="2"/>
    <s v="5-10 Miles"/>
    <x v="2"/>
    <n v="27"/>
    <x v="3"/>
    <s v="No"/>
    <n v="0"/>
  </r>
  <r>
    <n v="25184"/>
    <s v="Single"/>
    <s v="Male"/>
    <n v="110000"/>
    <x v="1"/>
    <n v="1"/>
    <x v="1"/>
    <s v="Professional"/>
    <s v="Yes"/>
    <n v="4"/>
    <s v="5-10 Miles"/>
    <x v="2"/>
    <n v="45"/>
    <x v="0"/>
    <s v="Yes"/>
    <n v="1"/>
  </r>
  <r>
    <n v="14469"/>
    <s v="Married"/>
    <s v="Female"/>
    <n v="100000"/>
    <x v="1"/>
    <n v="3"/>
    <x v="1"/>
    <s v="Professional"/>
    <s v="Yes"/>
    <n v="4"/>
    <s v="1-2 Miles"/>
    <x v="2"/>
    <n v="45"/>
    <x v="0"/>
    <s v="No"/>
    <n v="0"/>
  </r>
  <r>
    <n v="11538"/>
    <s v="Single"/>
    <s v="Female"/>
    <n v="60000"/>
    <x v="0"/>
    <n v="4"/>
    <x v="4"/>
    <s v="Skilled Manual"/>
    <s v="No"/>
    <n v="0"/>
    <s v="0-1 Miles"/>
    <x v="2"/>
    <n v="47"/>
    <x v="0"/>
    <s v="Yes"/>
    <n v="1"/>
  </r>
  <r>
    <n v="16245"/>
    <s v="Single"/>
    <s v="Female"/>
    <n v="80000"/>
    <x v="1"/>
    <n v="4"/>
    <x v="4"/>
    <s v="Skilled Manual"/>
    <s v="Yes"/>
    <n v="0"/>
    <s v="1-2 Miles"/>
    <x v="2"/>
    <n v="47"/>
    <x v="0"/>
    <s v="No"/>
    <n v="0"/>
  </r>
  <r>
    <n v="17858"/>
    <s v="Married"/>
    <s v="Male"/>
    <n v="40000"/>
    <x v="0"/>
    <n v="4"/>
    <x v="2"/>
    <s v="Skilled Manual"/>
    <s v="Yes"/>
    <n v="2"/>
    <s v="2-5 Miles"/>
    <x v="2"/>
    <n v="44"/>
    <x v="0"/>
    <s v="Yes"/>
    <n v="1"/>
  </r>
  <r>
    <n v="25347"/>
    <s v="Single"/>
    <s v="Female"/>
    <n v="20000"/>
    <x v="0"/>
    <n v="3"/>
    <x v="3"/>
    <s v="Clerical"/>
    <s v="No"/>
    <n v="2"/>
    <s v="0-1 Miles"/>
    <x v="2"/>
    <n v="49"/>
    <x v="0"/>
    <s v="No"/>
    <n v="0"/>
  </r>
  <r>
    <n v="15814"/>
    <s v="Single"/>
    <s v="Female"/>
    <n v="40000"/>
    <x v="0"/>
    <n v="0"/>
    <x v="2"/>
    <s v="Skilled Manual"/>
    <s v="Yes"/>
    <n v="1"/>
    <s v="5-10 Miles"/>
    <x v="2"/>
    <n v="30"/>
    <x v="2"/>
    <s v="No"/>
    <n v="0"/>
  </r>
  <r>
    <n v="11259"/>
    <s v="Married"/>
    <s v="Female"/>
    <n v="100000"/>
    <x v="1"/>
    <n v="4"/>
    <x v="1"/>
    <s v="Professional"/>
    <s v="Yes"/>
    <n v="4"/>
    <s v="2-5 Miles"/>
    <x v="2"/>
    <n v="41"/>
    <x v="0"/>
    <s v="Yes"/>
    <n v="1"/>
  </r>
  <r>
    <n v="11200"/>
    <s v="Married"/>
    <s v="Male"/>
    <n v="70000"/>
    <x v="1"/>
    <n v="4"/>
    <x v="0"/>
    <s v="Management"/>
    <s v="Yes"/>
    <n v="1"/>
    <s v="1-2 Miles"/>
    <x v="2"/>
    <n v="58"/>
    <x v="0"/>
    <s v="No"/>
    <n v="0"/>
  </r>
  <r>
    <n v="25101"/>
    <s v="Married"/>
    <s v="Male"/>
    <n v="60000"/>
    <x v="0"/>
    <n v="5"/>
    <x v="0"/>
    <s v="Professional"/>
    <s v="Yes"/>
    <n v="1"/>
    <s v="2-5 Miles"/>
    <x v="2"/>
    <n v="47"/>
    <x v="0"/>
    <s v="No"/>
    <n v="0"/>
  </r>
  <r>
    <n v="21801"/>
    <s v="Married"/>
    <s v="Female"/>
    <n v="70000"/>
    <x v="1"/>
    <n v="4"/>
    <x v="1"/>
    <s v="Professional"/>
    <s v="Yes"/>
    <n v="1"/>
    <s v="1-2 Miles"/>
    <x v="2"/>
    <n v="55"/>
    <x v="0"/>
    <s v="No"/>
    <n v="0"/>
  </r>
  <r>
    <n v="25943"/>
    <s v="Single"/>
    <s v="Female"/>
    <n v="70000"/>
    <x v="1"/>
    <n v="0"/>
    <x v="1"/>
    <s v="Skilled Manual"/>
    <s v="No"/>
    <n v="2"/>
    <s v="0-1 Miles"/>
    <x v="2"/>
    <n v="27"/>
    <x v="3"/>
    <s v="Yes"/>
    <n v="1"/>
  </r>
  <r>
    <n v="22127"/>
    <s v="Married"/>
    <s v="Male"/>
    <n v="60000"/>
    <x v="0"/>
    <n v="3"/>
    <x v="4"/>
    <s v="Management"/>
    <s v="Yes"/>
    <n v="2"/>
    <s v="1-2 Miles"/>
    <x v="2"/>
    <n v="67"/>
    <x v="1"/>
    <s v="No"/>
    <n v="0"/>
  </r>
  <r>
    <n v="20414"/>
    <s v="Married"/>
    <s v="Female"/>
    <n v="60000"/>
    <x v="0"/>
    <n v="0"/>
    <x v="1"/>
    <s v="Skilled Manual"/>
    <s v="Yes"/>
    <n v="2"/>
    <s v="5-10 Miles"/>
    <x v="2"/>
    <n v="29"/>
    <x v="3"/>
    <s v="No"/>
    <n v="0"/>
  </r>
  <r>
    <n v="23672"/>
    <s v="Married"/>
    <s v="Female"/>
    <n v="60000"/>
    <x v="0"/>
    <n v="3"/>
    <x v="4"/>
    <s v="Management"/>
    <s v="Yes"/>
    <n v="2"/>
    <s v="1-2 Miles"/>
    <x v="2"/>
    <n v="67"/>
    <x v="1"/>
    <s v="No"/>
    <n v="0"/>
  </r>
  <r>
    <n v="29255"/>
    <s v="Single"/>
    <s v="Male"/>
    <n v="80000"/>
    <x v="1"/>
    <n v="3"/>
    <x v="1"/>
    <s v="Professional"/>
    <s v="No"/>
    <n v="1"/>
    <s v="1-2 Miles"/>
    <x v="2"/>
    <n v="51"/>
    <x v="0"/>
    <s v="Yes"/>
    <n v="1"/>
  </r>
  <r>
    <n v="28815"/>
    <s v="Married"/>
    <s v="Female"/>
    <n v="50000"/>
    <x v="0"/>
    <n v="1"/>
    <x v="4"/>
    <s v="Skilled Manual"/>
    <s v="Yes"/>
    <n v="0"/>
    <s v="0-1 Miles"/>
    <x v="2"/>
    <n v="35"/>
    <x v="2"/>
    <s v="No"/>
    <n v="0"/>
  </r>
  <r>
    <n v="27753"/>
    <s v="Married"/>
    <s v="Male"/>
    <n v="40000"/>
    <x v="0"/>
    <n v="0"/>
    <x v="2"/>
    <s v="Skilled Manual"/>
    <s v="No"/>
    <n v="2"/>
    <s v="1-2 Miles"/>
    <x v="2"/>
    <n v="30"/>
    <x v="2"/>
    <s v="No"/>
    <n v="0"/>
  </r>
  <r>
    <n v="27643"/>
    <s v="Single"/>
    <s v="Male"/>
    <n v="70000"/>
    <x v="1"/>
    <n v="5"/>
    <x v="1"/>
    <s v="Professional"/>
    <s v="Yes"/>
    <n v="3"/>
    <s v="2-5 Miles"/>
    <x v="2"/>
    <n v="44"/>
    <x v="0"/>
    <s v="No"/>
    <n v="0"/>
  </r>
  <r>
    <n v="13754"/>
    <s v="Single"/>
    <s v="Female"/>
    <n v="80000"/>
    <x v="1"/>
    <n v="4"/>
    <x v="4"/>
    <s v="Skilled Manual"/>
    <s v="Yes"/>
    <n v="0"/>
    <s v="1-2 Miles"/>
    <x v="2"/>
    <n v="48"/>
    <x v="0"/>
    <s v="No"/>
    <n v="0"/>
  </r>
  <r>
    <n v="22088"/>
    <s v="Married"/>
    <s v="Female"/>
    <n v="130000"/>
    <x v="2"/>
    <n v="1"/>
    <x v="0"/>
    <s v="Management"/>
    <s v="Yes"/>
    <n v="2"/>
    <s v="0-1 Miles"/>
    <x v="2"/>
    <n v="45"/>
    <x v="0"/>
    <s v="Yes"/>
    <n v="1"/>
  </r>
  <r>
    <n v="27388"/>
    <s v="Married"/>
    <s v="Male"/>
    <n v="60000"/>
    <x v="0"/>
    <n v="3"/>
    <x v="0"/>
    <s v="Management"/>
    <s v="No"/>
    <n v="2"/>
    <s v="1-2 Miles"/>
    <x v="2"/>
    <n v="66"/>
    <x v="1"/>
    <s v="No"/>
    <n v="0"/>
  </r>
  <r>
    <n v="24745"/>
    <s v="Single"/>
    <s v="Female"/>
    <n v="30000"/>
    <x v="0"/>
    <n v="2"/>
    <x v="2"/>
    <s v="Skilled Manual"/>
    <s v="No"/>
    <n v="2"/>
    <s v="0-1 Miles"/>
    <x v="2"/>
    <n v="49"/>
    <x v="0"/>
    <s v="No"/>
    <n v="0"/>
  </r>
  <r>
    <n v="29237"/>
    <s v="Single"/>
    <s v="Female"/>
    <n v="120000"/>
    <x v="1"/>
    <n v="4"/>
    <x v="1"/>
    <s v="Professional"/>
    <s v="Yes"/>
    <n v="3"/>
    <s v="5-10 Miles"/>
    <x v="2"/>
    <n v="43"/>
    <x v="0"/>
    <s v="Yes"/>
    <n v="1"/>
  </r>
  <r>
    <n v="15272"/>
    <s v="Single"/>
    <s v="Male"/>
    <n v="40000"/>
    <x v="0"/>
    <n v="0"/>
    <x v="2"/>
    <s v="Skilled Manual"/>
    <s v="No"/>
    <n v="2"/>
    <s v="1-2 Miles"/>
    <x v="2"/>
    <n v="30"/>
    <x v="2"/>
    <s v="No"/>
    <n v="0"/>
  </r>
  <r>
    <n v="18949"/>
    <s v="Single"/>
    <s v="Male"/>
    <n v="70000"/>
    <x v="1"/>
    <n v="0"/>
    <x v="4"/>
    <s v="Management"/>
    <s v="Yes"/>
    <n v="2"/>
    <s v="5-10 Miles"/>
    <x v="2"/>
    <n v="74"/>
    <x v="1"/>
    <s v="Yes"/>
    <n v="1"/>
  </r>
  <r>
    <n v="14507"/>
    <s v="Married"/>
    <s v="Male"/>
    <n v="100000"/>
    <x v="1"/>
    <n v="2"/>
    <x v="4"/>
    <s v="Management"/>
    <s v="Yes"/>
    <n v="3"/>
    <s v="1-2 Miles"/>
    <x v="2"/>
    <n v="65"/>
    <x v="1"/>
    <s v="No"/>
    <n v="0"/>
  </r>
  <r>
    <n v="25886"/>
    <s v="Married"/>
    <s v="Female"/>
    <n v="60000"/>
    <x v="0"/>
    <n v="2"/>
    <x v="1"/>
    <s v="Professional"/>
    <s v="Yes"/>
    <n v="2"/>
    <s v="2-5 Miles"/>
    <x v="2"/>
    <n v="56"/>
    <x v="0"/>
    <s v="Yes"/>
    <n v="1"/>
  </r>
  <r>
    <n v="21441"/>
    <s v="Married"/>
    <s v="Male"/>
    <n v="50000"/>
    <x v="0"/>
    <n v="4"/>
    <x v="0"/>
    <s v="Management"/>
    <s v="Yes"/>
    <n v="2"/>
    <s v="More than 10 Miles"/>
    <x v="2"/>
    <n v="64"/>
    <x v="1"/>
    <s v="No"/>
    <n v="0"/>
  </r>
  <r>
    <n v="21741"/>
    <s v="Married"/>
    <s v="Female"/>
    <n v="70000"/>
    <x v="1"/>
    <n v="3"/>
    <x v="1"/>
    <s v="Professional"/>
    <s v="Yes"/>
    <n v="2"/>
    <s v="5-10 Miles"/>
    <x v="2"/>
    <n v="50"/>
    <x v="0"/>
    <s v="Yes"/>
    <n v="1"/>
  </r>
  <r>
    <n v="14572"/>
    <s v="Married"/>
    <s v="Female"/>
    <n v="70000"/>
    <x v="1"/>
    <n v="3"/>
    <x v="4"/>
    <s v="Professional"/>
    <s v="Yes"/>
    <n v="0"/>
    <s v="2-5 Miles"/>
    <x v="2"/>
    <n v="35"/>
    <x v="2"/>
    <s v="Yes"/>
    <n v="1"/>
  </r>
  <r>
    <n v="23368"/>
    <s v="Married"/>
    <s v="Female"/>
    <n v="60000"/>
    <x v="0"/>
    <n v="5"/>
    <x v="0"/>
    <s v="Skilled Manual"/>
    <s v="Yes"/>
    <n v="3"/>
    <s v="More than 10 Miles"/>
    <x v="2"/>
    <n v="41"/>
    <x v="0"/>
    <s v="No"/>
    <n v="0"/>
  </r>
  <r>
    <n v="16217"/>
    <s v="Single"/>
    <s v="Female"/>
    <n v="60000"/>
    <x v="0"/>
    <n v="0"/>
    <x v="4"/>
    <s v="Skilled Manual"/>
    <s v="Yes"/>
    <n v="0"/>
    <s v="0-1 Miles"/>
    <x v="2"/>
    <n v="39"/>
    <x v="2"/>
    <s v="No"/>
    <n v="0"/>
  </r>
  <r>
    <n v="16247"/>
    <s v="Single"/>
    <s v="Female"/>
    <n v="60000"/>
    <x v="0"/>
    <n v="4"/>
    <x v="4"/>
    <s v="Skilled Manual"/>
    <s v="No"/>
    <n v="0"/>
    <s v="1-2 Miles"/>
    <x v="2"/>
    <n v="47"/>
    <x v="0"/>
    <s v="No"/>
    <n v="0"/>
  </r>
  <r>
    <n v="22010"/>
    <s v="Single"/>
    <s v="Male"/>
    <n v="40000"/>
    <x v="0"/>
    <n v="0"/>
    <x v="2"/>
    <s v="Skilled Manual"/>
    <s v="Yes"/>
    <n v="2"/>
    <s v="5-10 Miles"/>
    <x v="2"/>
    <n v="31"/>
    <x v="2"/>
    <s v="No"/>
    <n v="0"/>
  </r>
  <r>
    <n v="25872"/>
    <s v="Single"/>
    <s v="Female"/>
    <n v="70000"/>
    <x v="1"/>
    <n v="2"/>
    <x v="0"/>
    <s v="Management"/>
    <s v="No"/>
    <n v="1"/>
    <s v="2-5 Miles"/>
    <x v="2"/>
    <n v="58"/>
    <x v="0"/>
    <s v="Yes"/>
    <n v="1"/>
  </r>
  <r>
    <n v="19164"/>
    <s v="Single"/>
    <s v="Female"/>
    <n v="70000"/>
    <x v="1"/>
    <n v="0"/>
    <x v="0"/>
    <s v="Professional"/>
    <s v="No"/>
    <n v="1"/>
    <s v="2-5 Miles"/>
    <x v="2"/>
    <n v="38"/>
    <x v="2"/>
    <s v="Yes"/>
    <n v="1"/>
  </r>
  <r>
    <n v="18435"/>
    <s v="Single"/>
    <s v="Female"/>
    <n v="70000"/>
    <x v="1"/>
    <n v="5"/>
    <x v="4"/>
    <s v="Management"/>
    <s v="Yes"/>
    <n v="2"/>
    <s v="More than 10 Miles"/>
    <x v="2"/>
    <n v="67"/>
    <x v="1"/>
    <s v="Yes"/>
    <n v="1"/>
  </r>
  <r>
    <n v="14284"/>
    <s v="Single"/>
    <s v="Male"/>
    <n v="60000"/>
    <x v="0"/>
    <n v="0"/>
    <x v="1"/>
    <s v="Professional"/>
    <s v="No"/>
    <n v="2"/>
    <s v="1-2 Miles"/>
    <x v="2"/>
    <n v="32"/>
    <x v="2"/>
    <s v="Yes"/>
    <n v="1"/>
  </r>
  <r>
    <n v="11287"/>
    <s v="Married"/>
    <s v="Male"/>
    <n v="70000"/>
    <x v="1"/>
    <n v="5"/>
    <x v="1"/>
    <s v="Professional"/>
    <s v="No"/>
    <n v="3"/>
    <s v="5-10 Miles"/>
    <x v="2"/>
    <n v="45"/>
    <x v="0"/>
    <s v="No"/>
    <n v="0"/>
  </r>
  <r>
    <n v="13066"/>
    <s v="Single"/>
    <s v="Male"/>
    <n v="30000"/>
    <x v="0"/>
    <n v="0"/>
    <x v="2"/>
    <s v="Skilled Manual"/>
    <s v="No"/>
    <n v="2"/>
    <s v="1-2 Miles"/>
    <x v="2"/>
    <n v="31"/>
    <x v="2"/>
    <s v="Yes"/>
    <n v="1"/>
  </r>
  <r>
    <n v="29106"/>
    <s v="Single"/>
    <s v="Male"/>
    <n v="40000"/>
    <x v="0"/>
    <n v="0"/>
    <x v="2"/>
    <s v="Skilled Manual"/>
    <s v="No"/>
    <n v="2"/>
    <s v="1-2 Miles"/>
    <x v="2"/>
    <n v="31"/>
    <x v="2"/>
    <s v="Yes"/>
    <n v="1"/>
  </r>
  <r>
    <n v="26236"/>
    <s v="Married"/>
    <s v="Female"/>
    <n v="40000"/>
    <x v="0"/>
    <n v="3"/>
    <x v="1"/>
    <s v="Clerical"/>
    <s v="Yes"/>
    <n v="1"/>
    <s v="0-1 Miles"/>
    <x v="2"/>
    <n v="31"/>
    <x v="2"/>
    <s v="No"/>
    <n v="0"/>
  </r>
  <r>
    <n v="17531"/>
    <s v="Married"/>
    <s v="Male"/>
    <n v="60000"/>
    <x v="0"/>
    <n v="2"/>
    <x v="2"/>
    <s v="Professional"/>
    <s v="No"/>
    <n v="2"/>
    <s v="5-10 Miles"/>
    <x v="2"/>
    <n v="50"/>
    <x v="0"/>
    <s v="No"/>
    <n v="0"/>
  </r>
  <r>
    <n v="12964"/>
    <s v="Married"/>
    <s v="Male"/>
    <n v="70000"/>
    <x v="1"/>
    <n v="1"/>
    <x v="1"/>
    <s v="Skilled Manual"/>
    <s v="Yes"/>
    <n v="1"/>
    <s v="0-1 Miles"/>
    <x v="2"/>
    <n v="44"/>
    <x v="0"/>
    <s v="No"/>
    <n v="0"/>
  </r>
  <r>
    <n v="19133"/>
    <s v="Single"/>
    <s v="Male"/>
    <n v="50000"/>
    <x v="0"/>
    <n v="2"/>
    <x v="0"/>
    <s v="Skilled Manual"/>
    <s v="Yes"/>
    <n v="1"/>
    <s v="2-5 Miles"/>
    <x v="2"/>
    <n v="38"/>
    <x v="2"/>
    <s v="Yes"/>
    <n v="1"/>
  </r>
  <r>
    <n v="24643"/>
    <s v="Single"/>
    <s v="Female"/>
    <n v="60000"/>
    <x v="0"/>
    <n v="4"/>
    <x v="0"/>
    <s v="Management"/>
    <s v="Yes"/>
    <n v="2"/>
    <s v="More than 10 Miles"/>
    <x v="2"/>
    <n v="63"/>
    <x v="1"/>
    <s v="No"/>
    <n v="0"/>
  </r>
  <r>
    <n v="21599"/>
    <s v="Married"/>
    <s v="Female"/>
    <n v="60000"/>
    <x v="0"/>
    <n v="1"/>
    <x v="4"/>
    <s v="Professional"/>
    <s v="Yes"/>
    <n v="0"/>
    <s v="2-5 Miles"/>
    <x v="2"/>
    <n v="36"/>
    <x v="2"/>
    <s v="Yes"/>
    <n v="1"/>
  </r>
  <r>
    <n v="22976"/>
    <s v="Single"/>
    <s v="Male"/>
    <n v="40000"/>
    <x v="0"/>
    <n v="0"/>
    <x v="2"/>
    <s v="Skilled Manual"/>
    <s v="No"/>
    <n v="2"/>
    <s v="0-1 Miles"/>
    <x v="2"/>
    <n v="28"/>
    <x v="3"/>
    <s v="Yes"/>
    <n v="1"/>
  </r>
  <r>
    <n v="27637"/>
    <s v="Single"/>
    <s v="Female"/>
    <n v="100000"/>
    <x v="1"/>
    <n v="1"/>
    <x v="1"/>
    <s v="Professional"/>
    <s v="No"/>
    <n v="3"/>
    <s v="1-2 Miles"/>
    <x v="2"/>
    <n v="44"/>
    <x v="0"/>
    <s v="No"/>
    <n v="0"/>
  </r>
  <r>
    <n v="11890"/>
    <s v="Married"/>
    <s v="Female"/>
    <n v="70000"/>
    <x v="1"/>
    <n v="5"/>
    <x v="4"/>
    <s v="Professional"/>
    <s v="Yes"/>
    <n v="1"/>
    <s v="0-1 Miles"/>
    <x v="2"/>
    <n v="47"/>
    <x v="0"/>
    <s v="No"/>
    <n v="0"/>
  </r>
  <r>
    <n v="28580"/>
    <s v="Married"/>
    <s v="Female"/>
    <n v="80000"/>
    <x v="1"/>
    <n v="0"/>
    <x v="4"/>
    <s v="Skilled Manual"/>
    <s v="Yes"/>
    <n v="0"/>
    <s v="1-2 Miles"/>
    <x v="2"/>
    <n v="40"/>
    <x v="0"/>
    <s v="Yes"/>
    <n v="1"/>
  </r>
  <r>
    <n v="14443"/>
    <s v="Married"/>
    <s v="Male"/>
    <n v="130000"/>
    <x v="2"/>
    <n v="1"/>
    <x v="4"/>
    <s v="Management"/>
    <s v="Yes"/>
    <n v="4"/>
    <s v="0-1 Miles"/>
    <x v="2"/>
    <n v="40"/>
    <x v="0"/>
    <s v="No"/>
    <n v="0"/>
  </r>
  <r>
    <n v="17864"/>
    <s v="Married"/>
    <s v="Female"/>
    <n v="60000"/>
    <x v="0"/>
    <n v="1"/>
    <x v="1"/>
    <s v="Skilled Manual"/>
    <s v="Yes"/>
    <n v="1"/>
    <s v="2-5 Miles"/>
    <x v="2"/>
    <n v="46"/>
    <x v="0"/>
    <s v="Yes"/>
    <n v="1"/>
  </r>
  <r>
    <n v="20505"/>
    <s v="Married"/>
    <s v="Female"/>
    <n v="40000"/>
    <x v="0"/>
    <n v="5"/>
    <x v="2"/>
    <s v="Professional"/>
    <s v="No"/>
    <n v="2"/>
    <s v="More than 10 Miles"/>
    <x v="2"/>
    <n v="61"/>
    <x v="1"/>
    <s v="No"/>
    <n v="0"/>
  </r>
  <r>
    <n v="14592"/>
    <s v="Married"/>
    <s v="Female"/>
    <n v="60000"/>
    <x v="0"/>
    <n v="0"/>
    <x v="4"/>
    <s v="Professional"/>
    <s v="Yes"/>
    <n v="0"/>
    <s v="0-1 Miles"/>
    <x v="2"/>
    <n v="40"/>
    <x v="0"/>
    <s v="No"/>
    <n v="0"/>
  </r>
  <r>
    <n v="22227"/>
    <s v="Married"/>
    <s v="Female"/>
    <n v="60000"/>
    <x v="0"/>
    <n v="2"/>
    <x v="2"/>
    <s v="Professional"/>
    <s v="Yes"/>
    <n v="2"/>
    <s v="5-10 Miles"/>
    <x v="2"/>
    <n v="50"/>
    <x v="0"/>
    <s v="No"/>
    <n v="0"/>
  </r>
  <r>
    <n v="21471"/>
    <s v="Married"/>
    <s v="Male"/>
    <n v="70000"/>
    <x v="1"/>
    <n v="2"/>
    <x v="1"/>
    <s v="Professional"/>
    <s v="Yes"/>
    <n v="1"/>
    <s v="More than 10 Miles"/>
    <x v="2"/>
    <n v="59"/>
    <x v="0"/>
    <s v="No"/>
    <n v="0"/>
  </r>
  <r>
    <n v="22252"/>
    <s v="Single"/>
    <s v="Female"/>
    <n v="60000"/>
    <x v="0"/>
    <n v="1"/>
    <x v="4"/>
    <s v="Professional"/>
    <s v="Yes"/>
    <n v="0"/>
    <s v="2-5 Miles"/>
    <x v="2"/>
    <n v="36"/>
    <x v="2"/>
    <s v="Yes"/>
    <n v="1"/>
  </r>
  <r>
    <n v="21260"/>
    <s v="Single"/>
    <s v="Female"/>
    <n v="40000"/>
    <x v="0"/>
    <n v="0"/>
    <x v="2"/>
    <s v="Skilled Manual"/>
    <s v="Yes"/>
    <n v="2"/>
    <s v="5-10 Miles"/>
    <x v="2"/>
    <n v="30"/>
    <x v="2"/>
    <s v="No"/>
    <n v="0"/>
  </r>
  <r>
    <n v="11817"/>
    <s v="Single"/>
    <s v="Female"/>
    <n v="70000"/>
    <x v="1"/>
    <n v="4"/>
    <x v="4"/>
    <s v="Professional"/>
    <s v="Yes"/>
    <n v="0"/>
    <s v="2-5 Miles"/>
    <x v="2"/>
    <n v="35"/>
    <x v="2"/>
    <s v="Yes"/>
    <n v="1"/>
  </r>
  <r>
    <n v="19223"/>
    <s v="Married"/>
    <s v="Female"/>
    <n v="30000"/>
    <x v="0"/>
    <n v="2"/>
    <x v="2"/>
    <s v="Skilled Manual"/>
    <s v="Yes"/>
    <n v="2"/>
    <s v="1-2 Miles"/>
    <x v="2"/>
    <n v="48"/>
    <x v="0"/>
    <s v="No"/>
    <n v="0"/>
  </r>
  <r>
    <n v="18517"/>
    <s v="Married"/>
    <s v="Male"/>
    <n v="100000"/>
    <x v="1"/>
    <n v="3"/>
    <x v="0"/>
    <s v="Management"/>
    <s v="Yes"/>
    <n v="4"/>
    <s v="0-1 Miles"/>
    <x v="2"/>
    <n v="41"/>
    <x v="0"/>
    <s v="No"/>
    <n v="0"/>
  </r>
  <r>
    <n v="21717"/>
    <s v="Married"/>
    <s v="Male"/>
    <n v="40000"/>
    <x v="0"/>
    <n v="2"/>
    <x v="1"/>
    <s v="Clerical"/>
    <s v="Yes"/>
    <n v="1"/>
    <s v="0-1 Miles"/>
    <x v="2"/>
    <n v="47"/>
    <x v="0"/>
    <s v="No"/>
    <n v="0"/>
  </r>
  <r>
    <n v="13760"/>
    <s v="Married"/>
    <s v="Male"/>
    <n v="60000"/>
    <x v="0"/>
    <n v="4"/>
    <x v="4"/>
    <s v="Skilled Manual"/>
    <s v="No"/>
    <n v="0"/>
    <s v="0-1 Miles"/>
    <x v="2"/>
    <n v="47"/>
    <x v="0"/>
    <s v="No"/>
    <n v="0"/>
  </r>
  <r>
    <n v="18145"/>
    <s v="Married"/>
    <s v="Male"/>
    <n v="80000"/>
    <x v="1"/>
    <n v="5"/>
    <x v="0"/>
    <s v="Management"/>
    <s v="No"/>
    <n v="2"/>
    <s v="2-5 Miles"/>
    <x v="0"/>
    <n v="62"/>
    <x v="1"/>
    <s v="No"/>
    <n v="0"/>
  </r>
  <r>
    <n v="21770"/>
    <s v="Married"/>
    <s v="Male"/>
    <n v="60000"/>
    <x v="0"/>
    <n v="4"/>
    <x v="0"/>
    <s v="Management"/>
    <s v="Yes"/>
    <n v="2"/>
    <s v="More than 10 Miles"/>
    <x v="2"/>
    <n v="60"/>
    <x v="1"/>
    <s v="No"/>
    <n v="0"/>
  </r>
  <r>
    <n v="11165"/>
    <s v="Married"/>
    <s v="Female"/>
    <n v="60000"/>
    <x v="0"/>
    <n v="0"/>
    <x v="1"/>
    <s v="Skilled Manual"/>
    <s v="No"/>
    <n v="1"/>
    <s v="1-2 Miles"/>
    <x v="2"/>
    <n v="33"/>
    <x v="2"/>
    <s v="No"/>
    <n v="0"/>
  </r>
  <r>
    <n v="16377"/>
    <s v="Single"/>
    <s v="Female"/>
    <n v="80000"/>
    <x v="1"/>
    <n v="4"/>
    <x v="4"/>
    <s v="Skilled Manual"/>
    <s v="No"/>
    <n v="0"/>
    <s v="0-1 Miles"/>
    <x v="2"/>
    <n v="47"/>
    <x v="0"/>
    <s v="No"/>
    <n v="0"/>
  </r>
  <r>
    <n v="26248"/>
    <s v="Married"/>
    <s v="Male"/>
    <n v="20000"/>
    <x v="0"/>
    <n v="3"/>
    <x v="3"/>
    <s v="Clerical"/>
    <s v="No"/>
    <n v="2"/>
    <s v="0-1 Miles"/>
    <x v="2"/>
    <n v="52"/>
    <x v="0"/>
    <s v="No"/>
    <n v="0"/>
  </r>
  <r>
    <n v="23461"/>
    <s v="Married"/>
    <s v="Female"/>
    <n v="90000"/>
    <x v="1"/>
    <n v="5"/>
    <x v="1"/>
    <s v="Professional"/>
    <s v="Yes"/>
    <n v="3"/>
    <s v="2-5 Miles"/>
    <x v="2"/>
    <n v="40"/>
    <x v="0"/>
    <s v="No"/>
    <n v="0"/>
  </r>
  <r>
    <n v="29133"/>
    <s v="Single"/>
    <s v="Female"/>
    <n v="60000"/>
    <x v="0"/>
    <n v="4"/>
    <x v="0"/>
    <s v="Skilled Manual"/>
    <s v="No"/>
    <n v="2"/>
    <s v="0-1 Miles"/>
    <x v="2"/>
    <n v="42"/>
    <x v="0"/>
    <s v="No"/>
    <n v="0"/>
  </r>
  <r>
    <n v="27673"/>
    <s v="Single"/>
    <s v="Female"/>
    <n v="60000"/>
    <x v="0"/>
    <n v="3"/>
    <x v="4"/>
    <s v="Management"/>
    <s v="Yes"/>
    <n v="2"/>
    <s v="5-10 Miles"/>
    <x v="2"/>
    <n v="53"/>
    <x v="0"/>
    <s v="Yes"/>
    <n v="1"/>
  </r>
  <r>
    <n v="12774"/>
    <s v="Married"/>
    <s v="Female"/>
    <n v="40000"/>
    <x v="0"/>
    <n v="1"/>
    <x v="1"/>
    <s v="Clerical"/>
    <s v="Yes"/>
    <n v="1"/>
    <s v="1-2 Miles"/>
    <x v="2"/>
    <n v="51"/>
    <x v="0"/>
    <s v="Yes"/>
    <n v="1"/>
  </r>
  <r>
    <n v="18910"/>
    <s v="Single"/>
    <s v="Male"/>
    <n v="30000"/>
    <x v="0"/>
    <n v="0"/>
    <x v="1"/>
    <s v="Skilled Manual"/>
    <s v="Yes"/>
    <n v="2"/>
    <s v="5-10 Miles"/>
    <x v="2"/>
    <n v="30"/>
    <x v="2"/>
    <s v="No"/>
    <n v="0"/>
  </r>
  <r>
    <n v="11699"/>
    <s v="Single"/>
    <s v="Male"/>
    <n v="60000"/>
    <x v="0"/>
    <n v="0"/>
    <x v="0"/>
    <s v="Skilled Manual"/>
    <s v="No"/>
    <n v="2"/>
    <s v="0-1 Miles"/>
    <x v="2"/>
    <n v="30"/>
    <x v="2"/>
    <s v="No"/>
    <n v="0"/>
  </r>
  <r>
    <n v="16725"/>
    <s v="Married"/>
    <s v="Male"/>
    <n v="30000"/>
    <x v="0"/>
    <n v="0"/>
    <x v="2"/>
    <s v="Skilled Manual"/>
    <s v="Yes"/>
    <n v="2"/>
    <s v="5-10 Miles"/>
    <x v="2"/>
    <n v="26"/>
    <x v="3"/>
    <s v="No"/>
    <n v="0"/>
  </r>
  <r>
    <n v="28269"/>
    <s v="Single"/>
    <s v="Female"/>
    <n v="130000"/>
    <x v="2"/>
    <n v="1"/>
    <x v="0"/>
    <s v="Management"/>
    <s v="No"/>
    <n v="1"/>
    <s v="2-5 Miles"/>
    <x v="2"/>
    <n v="45"/>
    <x v="0"/>
    <s v="No"/>
    <n v="0"/>
  </r>
  <r>
    <n v="23144"/>
    <s v="Married"/>
    <s v="Male"/>
    <n v="50000"/>
    <x v="0"/>
    <n v="1"/>
    <x v="0"/>
    <s v="Skilled Manual"/>
    <s v="Yes"/>
    <n v="0"/>
    <s v="0-1 Miles"/>
    <x v="2"/>
    <n v="34"/>
    <x v="2"/>
    <s v="Yes"/>
    <n v="1"/>
  </r>
  <r>
    <n v="23376"/>
    <s v="Married"/>
    <s v="Male"/>
    <n v="70000"/>
    <x v="1"/>
    <n v="1"/>
    <x v="0"/>
    <s v="Professional"/>
    <s v="Yes"/>
    <n v="1"/>
    <s v="2-5 Miles"/>
    <x v="2"/>
    <n v="44"/>
    <x v="0"/>
    <s v="Yes"/>
    <n v="1"/>
  </r>
  <r>
    <n v="25970"/>
    <s v="Single"/>
    <s v="Female"/>
    <n v="60000"/>
    <x v="0"/>
    <n v="4"/>
    <x v="0"/>
    <s v="Skilled Manual"/>
    <s v="No"/>
    <n v="2"/>
    <s v="0-1 Miles"/>
    <x v="2"/>
    <n v="41"/>
    <x v="0"/>
    <s v="Yes"/>
    <n v="1"/>
  </r>
  <r>
    <n v="28068"/>
    <s v="Single"/>
    <s v="Female"/>
    <n v="80000"/>
    <x v="1"/>
    <n v="3"/>
    <x v="4"/>
    <s v="Professional"/>
    <s v="No"/>
    <n v="0"/>
    <s v="0-1 Miles"/>
    <x v="2"/>
    <n v="36"/>
    <x v="2"/>
    <s v="Yes"/>
    <n v="1"/>
  </r>
  <r>
    <n v="18390"/>
    <s v="Married"/>
    <s v="Male"/>
    <n v="80000"/>
    <x v="1"/>
    <n v="5"/>
    <x v="1"/>
    <s v="Professional"/>
    <s v="Yes"/>
    <n v="2"/>
    <s v="0-1 Miles"/>
    <x v="2"/>
    <n v="44"/>
    <x v="0"/>
    <s v="No"/>
    <n v="0"/>
  </r>
  <r>
    <n v="29112"/>
    <s v="Single"/>
    <s v="Male"/>
    <n v="60000"/>
    <x v="0"/>
    <n v="0"/>
    <x v="1"/>
    <s v="Professional"/>
    <s v="No"/>
    <n v="2"/>
    <s v="1-2 Miles"/>
    <x v="2"/>
    <n v="30"/>
    <x v="2"/>
    <s v="No"/>
    <n v="0"/>
  </r>
  <r>
    <n v="14090"/>
    <s v="Married"/>
    <s v="Female"/>
    <n v="30000"/>
    <x v="0"/>
    <n v="0"/>
    <x v="3"/>
    <s v="Clerical"/>
    <s v="No"/>
    <n v="2"/>
    <s v="0-1 Miles"/>
    <x v="2"/>
    <n v="28"/>
    <x v="3"/>
    <s v="No"/>
    <n v="0"/>
  </r>
  <r>
    <n v="27040"/>
    <s v="Married"/>
    <s v="Male"/>
    <n v="20000"/>
    <x v="0"/>
    <n v="2"/>
    <x v="3"/>
    <s v="Clerical"/>
    <s v="Yes"/>
    <n v="2"/>
    <s v="1-2 Miles"/>
    <x v="2"/>
    <n v="49"/>
    <x v="0"/>
    <s v="No"/>
    <n v="0"/>
  </r>
  <r>
    <n v="23479"/>
    <s v="Single"/>
    <s v="Male"/>
    <n v="90000"/>
    <x v="1"/>
    <n v="0"/>
    <x v="1"/>
    <s v="Professional"/>
    <s v="No"/>
    <n v="2"/>
    <s v="0-1 Miles"/>
    <x v="2"/>
    <n v="43"/>
    <x v="0"/>
    <s v="Yes"/>
    <n v="1"/>
  </r>
  <r>
    <n v="16795"/>
    <s v="Married"/>
    <s v="Female"/>
    <n v="70000"/>
    <x v="1"/>
    <n v="4"/>
    <x v="0"/>
    <s v="Management"/>
    <s v="Yes"/>
    <n v="1"/>
    <s v="1-2 Miles"/>
    <x v="2"/>
    <n v="59"/>
    <x v="0"/>
    <s v="No"/>
    <n v="0"/>
  </r>
  <r>
    <n v="22014"/>
    <s v="Single"/>
    <s v="Male"/>
    <n v="30000"/>
    <x v="0"/>
    <n v="0"/>
    <x v="2"/>
    <s v="Skilled Manual"/>
    <s v="Yes"/>
    <n v="2"/>
    <s v="5-10 Miles"/>
    <x v="2"/>
    <n v="26"/>
    <x v="3"/>
    <s v="No"/>
    <n v="0"/>
  </r>
  <r>
    <n v="13314"/>
    <s v="Married"/>
    <s v="Male"/>
    <n v="120000"/>
    <x v="1"/>
    <n v="1"/>
    <x v="2"/>
    <s v="Professional"/>
    <s v="Yes"/>
    <n v="4"/>
    <s v="5-10 Miles"/>
    <x v="2"/>
    <n v="46"/>
    <x v="0"/>
    <s v="Yes"/>
    <n v="1"/>
  </r>
  <r>
    <n v="11619"/>
    <s v="Single"/>
    <s v="Female"/>
    <n v="50000"/>
    <x v="0"/>
    <n v="0"/>
    <x v="4"/>
    <s v="Skilled Manual"/>
    <s v="Yes"/>
    <n v="0"/>
    <s v="1-2 Miles"/>
    <x v="2"/>
    <n v="33"/>
    <x v="2"/>
    <s v="No"/>
    <n v="0"/>
  </r>
  <r>
    <n v="29132"/>
    <s v="Single"/>
    <s v="Female"/>
    <n v="40000"/>
    <x v="0"/>
    <n v="0"/>
    <x v="0"/>
    <s v="Professional"/>
    <s v="Yes"/>
    <n v="1"/>
    <s v="2-5 Miles"/>
    <x v="2"/>
    <n v="42"/>
    <x v="0"/>
    <s v="Yes"/>
    <n v="1"/>
  </r>
  <r>
    <n v="11199"/>
    <s v="Married"/>
    <s v="Female"/>
    <n v="70000"/>
    <x v="1"/>
    <n v="4"/>
    <x v="0"/>
    <s v="Management"/>
    <s v="Yes"/>
    <n v="1"/>
    <s v="More than 10 Miles"/>
    <x v="2"/>
    <n v="59"/>
    <x v="0"/>
    <s v="No"/>
    <n v="0"/>
  </r>
  <r>
    <n v="20296"/>
    <s v="Single"/>
    <s v="Female"/>
    <n v="60000"/>
    <x v="0"/>
    <n v="0"/>
    <x v="1"/>
    <s v="Skilled Manual"/>
    <s v="No"/>
    <n v="1"/>
    <s v="1-2 Miles"/>
    <x v="2"/>
    <n v="33"/>
    <x v="2"/>
    <s v="Yes"/>
    <n v="1"/>
  </r>
  <r>
    <n v="17546"/>
    <s v="Married"/>
    <s v="Female"/>
    <n v="70000"/>
    <x v="1"/>
    <n v="1"/>
    <x v="1"/>
    <s v="Skilled Manual"/>
    <s v="Yes"/>
    <n v="1"/>
    <s v="0-1 Miles"/>
    <x v="2"/>
    <n v="44"/>
    <x v="0"/>
    <s v="Yes"/>
    <n v="1"/>
  </r>
  <r>
    <n v="18069"/>
    <s v="Married"/>
    <s v="Male"/>
    <n v="70000"/>
    <x v="1"/>
    <n v="5"/>
    <x v="0"/>
    <s v="Management"/>
    <s v="Yes"/>
    <n v="4"/>
    <s v="More than 10 Miles"/>
    <x v="2"/>
    <n v="60"/>
    <x v="1"/>
    <s v="No"/>
    <n v="0"/>
  </r>
  <r>
    <n v="23712"/>
    <s v="Single"/>
    <s v="Female"/>
    <n v="70000"/>
    <x v="1"/>
    <n v="2"/>
    <x v="0"/>
    <s v="Management"/>
    <s v="Yes"/>
    <n v="1"/>
    <s v="More than 10 Miles"/>
    <x v="2"/>
    <n v="59"/>
    <x v="0"/>
    <s v="No"/>
    <n v="0"/>
  </r>
  <r>
    <n v="23358"/>
    <s v="Married"/>
    <s v="Male"/>
    <n v="60000"/>
    <x v="0"/>
    <n v="0"/>
    <x v="2"/>
    <s v="Professional"/>
    <s v="Yes"/>
    <n v="2"/>
    <s v="5-10 Miles"/>
    <x v="2"/>
    <n v="32"/>
    <x v="2"/>
    <s v="Yes"/>
    <n v="1"/>
  </r>
  <r>
    <n v="20518"/>
    <s v="Married"/>
    <s v="Female"/>
    <n v="70000"/>
    <x v="1"/>
    <n v="2"/>
    <x v="1"/>
    <s v="Professional"/>
    <s v="Yes"/>
    <n v="1"/>
    <s v="More than 10 Miles"/>
    <x v="2"/>
    <n v="58"/>
    <x v="0"/>
    <s v="No"/>
    <n v="0"/>
  </r>
  <r>
    <n v="28026"/>
    <s v="Married"/>
    <s v="Female"/>
    <n v="40000"/>
    <x v="0"/>
    <n v="2"/>
    <x v="2"/>
    <s v="Professional"/>
    <s v="No"/>
    <n v="2"/>
    <s v="2-5 Miles"/>
    <x v="2"/>
    <n v="59"/>
    <x v="0"/>
    <s v="No"/>
    <n v="0"/>
  </r>
  <r>
    <n v="11669"/>
    <s v="Single"/>
    <s v="Female"/>
    <n v="70000"/>
    <x v="1"/>
    <n v="2"/>
    <x v="0"/>
    <s v="Skilled Manual"/>
    <s v="Yes"/>
    <n v="1"/>
    <s v="2-5 Miles"/>
    <x v="2"/>
    <n v="38"/>
    <x v="2"/>
    <s v="No"/>
    <n v="0"/>
  </r>
  <r>
    <n v="16020"/>
    <s v="Married"/>
    <s v="Male"/>
    <n v="40000"/>
    <x v="0"/>
    <n v="0"/>
    <x v="2"/>
    <s v="Skilled Manual"/>
    <s v="Yes"/>
    <n v="2"/>
    <s v="5-10 Miles"/>
    <x v="2"/>
    <n v="28"/>
    <x v="3"/>
    <s v="Yes"/>
    <n v="1"/>
  </r>
  <r>
    <n v="27090"/>
    <s v="Married"/>
    <s v="Female"/>
    <n v="60000"/>
    <x v="0"/>
    <n v="1"/>
    <x v="4"/>
    <s v="Professional"/>
    <s v="Yes"/>
    <n v="0"/>
    <s v="2-5 Miles"/>
    <x v="2"/>
    <n v="37"/>
    <x v="2"/>
    <s v="Yes"/>
    <n v="1"/>
  </r>
  <r>
    <n v="27198"/>
    <s v="Single"/>
    <s v="Female"/>
    <n v="80000"/>
    <x v="1"/>
    <n v="0"/>
    <x v="4"/>
    <s v="Skilled Manual"/>
    <s v="No"/>
    <n v="0"/>
    <s v="0-1 Miles"/>
    <x v="2"/>
    <n v="40"/>
    <x v="0"/>
    <s v="No"/>
    <n v="0"/>
  </r>
  <r>
    <n v="19661"/>
    <s v="Single"/>
    <s v="Male"/>
    <n v="90000"/>
    <x v="1"/>
    <n v="4"/>
    <x v="0"/>
    <s v="Management"/>
    <s v="Yes"/>
    <n v="1"/>
    <s v="1-2 Miles"/>
    <x v="2"/>
    <n v="38"/>
    <x v="2"/>
    <s v="Yes"/>
    <n v="1"/>
  </r>
  <r>
    <n v="26327"/>
    <s v="Married"/>
    <s v="Male"/>
    <n v="70000"/>
    <x v="1"/>
    <n v="4"/>
    <x v="4"/>
    <s v="Professional"/>
    <s v="Yes"/>
    <n v="0"/>
    <s v="2-5 Miles"/>
    <x v="2"/>
    <n v="36"/>
    <x v="2"/>
    <s v="Yes"/>
    <n v="1"/>
  </r>
  <r>
    <n v="26341"/>
    <s v="Married"/>
    <s v="Female"/>
    <n v="70000"/>
    <x v="1"/>
    <n v="5"/>
    <x v="4"/>
    <s v="Professional"/>
    <s v="Yes"/>
    <n v="2"/>
    <s v="0-1 Miles"/>
    <x v="2"/>
    <n v="37"/>
    <x v="2"/>
    <s v="No"/>
    <n v="0"/>
  </r>
  <r>
    <n v="24958"/>
    <s v="Single"/>
    <s v="Female"/>
    <n v="40000"/>
    <x v="0"/>
    <n v="5"/>
    <x v="2"/>
    <s v="Professional"/>
    <s v="No"/>
    <n v="3"/>
    <s v="2-5 Miles"/>
    <x v="2"/>
    <n v="60"/>
    <x v="1"/>
    <s v="Yes"/>
    <n v="1"/>
  </r>
  <r>
    <n v="13287"/>
    <s v="Single"/>
    <s v="Male"/>
    <n v="110000"/>
    <x v="1"/>
    <n v="4"/>
    <x v="0"/>
    <s v="Management"/>
    <s v="Yes"/>
    <n v="4"/>
    <s v="5-10 Miles"/>
    <x v="2"/>
    <n v="42"/>
    <x v="0"/>
    <s v="Yes"/>
    <n v="1"/>
  </r>
  <r>
    <n v="14493"/>
    <s v="Single"/>
    <s v="Female"/>
    <n v="70000"/>
    <x v="1"/>
    <n v="3"/>
    <x v="4"/>
    <s v="Management"/>
    <s v="No"/>
    <n v="2"/>
    <s v="1-2 Miles"/>
    <x v="2"/>
    <n v="53"/>
    <x v="0"/>
    <s v="No"/>
    <n v="0"/>
  </r>
  <r>
    <n v="26678"/>
    <s v="Single"/>
    <s v="Female"/>
    <n v="80000"/>
    <x v="1"/>
    <n v="2"/>
    <x v="3"/>
    <s v="Skilled Manual"/>
    <s v="Yes"/>
    <n v="2"/>
    <s v="5-10 Miles"/>
    <x v="2"/>
    <n v="49"/>
    <x v="0"/>
    <s v="No"/>
    <n v="0"/>
  </r>
  <r>
    <n v="23275"/>
    <s v="Married"/>
    <s v="Male"/>
    <n v="30000"/>
    <x v="0"/>
    <n v="2"/>
    <x v="2"/>
    <s v="Skilled Manual"/>
    <s v="Yes"/>
    <n v="2"/>
    <s v="1-2 Miles"/>
    <x v="2"/>
    <n v="49"/>
    <x v="0"/>
    <s v="No"/>
    <n v="0"/>
  </r>
  <r>
    <n v="11270"/>
    <s v="Married"/>
    <s v="Male"/>
    <n v="130000"/>
    <x v="2"/>
    <n v="2"/>
    <x v="4"/>
    <s v="Management"/>
    <s v="Yes"/>
    <n v="3"/>
    <s v="0-1 Miles"/>
    <x v="2"/>
    <n v="42"/>
    <x v="0"/>
    <s v="Yes"/>
    <n v="1"/>
  </r>
  <r>
    <n v="20084"/>
    <s v="Married"/>
    <s v="Male"/>
    <n v="20000"/>
    <x v="0"/>
    <n v="2"/>
    <x v="2"/>
    <s v="Manual"/>
    <s v="No"/>
    <n v="2"/>
    <s v="0-1 Miles"/>
    <x v="2"/>
    <n v="53"/>
    <x v="0"/>
    <s v="No"/>
    <n v="0"/>
  </r>
  <r>
    <n v="16144"/>
    <s v="Married"/>
    <s v="Male"/>
    <n v="70000"/>
    <x v="1"/>
    <n v="1"/>
    <x v="4"/>
    <s v="Professional"/>
    <s v="Yes"/>
    <n v="1"/>
    <s v="0-1 Miles"/>
    <x v="2"/>
    <n v="46"/>
    <x v="0"/>
    <s v="Yes"/>
    <n v="1"/>
  </r>
  <r>
    <n v="27731"/>
    <s v="Married"/>
    <s v="Male"/>
    <n v="40000"/>
    <x v="0"/>
    <n v="0"/>
    <x v="2"/>
    <s v="Skilled Manual"/>
    <s v="Yes"/>
    <n v="2"/>
    <s v="5-10 Miles"/>
    <x v="2"/>
    <n v="27"/>
    <x v="3"/>
    <s v="No"/>
    <n v="0"/>
  </r>
  <r>
    <n v="11886"/>
    <s v="Married"/>
    <s v="Female"/>
    <n v="60000"/>
    <x v="0"/>
    <n v="3"/>
    <x v="0"/>
    <s v="Professional"/>
    <s v="Yes"/>
    <n v="1"/>
    <s v="0-1 Miles"/>
    <x v="2"/>
    <n v="48"/>
    <x v="0"/>
    <s v="Yes"/>
    <n v="1"/>
  </r>
  <r>
    <n v="24324"/>
    <s v="Single"/>
    <s v="Female"/>
    <n v="60000"/>
    <x v="0"/>
    <n v="4"/>
    <x v="0"/>
    <s v="Skilled Manual"/>
    <s v="Yes"/>
    <n v="2"/>
    <s v="2-5 Miles"/>
    <x v="2"/>
    <n v="41"/>
    <x v="0"/>
    <s v="Yes"/>
    <n v="1"/>
  </r>
  <r>
    <n v="22220"/>
    <s v="Married"/>
    <s v="Male"/>
    <n v="60000"/>
    <x v="0"/>
    <n v="2"/>
    <x v="2"/>
    <s v="Professional"/>
    <s v="No"/>
    <n v="2"/>
    <s v="1-2 Miles"/>
    <x v="2"/>
    <n v="49"/>
    <x v="0"/>
    <s v="Yes"/>
    <n v="1"/>
  </r>
  <r>
    <n v="26625"/>
    <s v="Single"/>
    <s v="Female"/>
    <n v="60000"/>
    <x v="0"/>
    <n v="0"/>
    <x v="4"/>
    <s v="Professional"/>
    <s v="Yes"/>
    <n v="1"/>
    <s v="2-5 Miles"/>
    <x v="2"/>
    <n v="38"/>
    <x v="2"/>
    <s v="Yes"/>
    <n v="1"/>
  </r>
  <r>
    <n v="23027"/>
    <s v="Single"/>
    <s v="Male"/>
    <n v="130000"/>
    <x v="2"/>
    <n v="1"/>
    <x v="0"/>
    <s v="Management"/>
    <s v="No"/>
    <n v="4"/>
    <s v="0-1 Miles"/>
    <x v="2"/>
    <n v="44"/>
    <x v="0"/>
    <s v="No"/>
    <n v="0"/>
  </r>
  <r>
    <n v="16867"/>
    <s v="Single"/>
    <s v="Female"/>
    <n v="130000"/>
    <x v="2"/>
    <n v="1"/>
    <x v="0"/>
    <s v="Management"/>
    <s v="No"/>
    <n v="3"/>
    <s v="0-1 Miles"/>
    <x v="2"/>
    <n v="45"/>
    <x v="0"/>
    <s v="Yes"/>
    <n v="1"/>
  </r>
  <r>
    <n v="14514"/>
    <s v="Single"/>
    <s v="Female"/>
    <n v="30000"/>
    <x v="0"/>
    <n v="0"/>
    <x v="1"/>
    <s v="Skilled Manual"/>
    <s v="Yes"/>
    <n v="1"/>
    <s v="5-10 Miles"/>
    <x v="2"/>
    <n v="26"/>
    <x v="3"/>
    <s v="No"/>
    <n v="0"/>
  </r>
  <r>
    <n v="19634"/>
    <s v="Married"/>
    <s v="Male"/>
    <n v="40000"/>
    <x v="0"/>
    <n v="0"/>
    <x v="2"/>
    <s v="Skilled Manual"/>
    <s v="Yes"/>
    <n v="1"/>
    <s v="5-10 Miles"/>
    <x v="2"/>
    <n v="31"/>
    <x v="2"/>
    <s v="No"/>
    <n v="0"/>
  </r>
  <r>
    <n v="18504"/>
    <s v="Married"/>
    <s v="Male"/>
    <n v="70000"/>
    <x v="1"/>
    <n v="2"/>
    <x v="3"/>
    <s v="Skilled Manual"/>
    <s v="No"/>
    <n v="2"/>
    <s v="1-2 Miles"/>
    <x v="2"/>
    <n v="49"/>
    <x v="0"/>
    <s v="No"/>
    <n v="0"/>
  </r>
  <r>
    <n v="28799"/>
    <s v="Single"/>
    <s v="Female"/>
    <n v="40000"/>
    <x v="0"/>
    <n v="2"/>
    <x v="1"/>
    <s v="Clerical"/>
    <s v="No"/>
    <n v="1"/>
    <s v="1-2 Miles"/>
    <x v="2"/>
    <n v="47"/>
    <x v="0"/>
    <s v="Yes"/>
    <n v="1"/>
  </r>
  <r>
    <n v="11225"/>
    <s v="Married"/>
    <s v="Female"/>
    <n v="60000"/>
    <x v="0"/>
    <n v="2"/>
    <x v="1"/>
    <s v="Professional"/>
    <s v="Yes"/>
    <n v="1"/>
    <s v="More than 10 Miles"/>
    <x v="2"/>
    <n v="55"/>
    <x v="0"/>
    <s v="No"/>
    <n v="0"/>
  </r>
  <r>
    <n v="17657"/>
    <s v="Married"/>
    <s v="Male"/>
    <n v="40000"/>
    <x v="0"/>
    <n v="4"/>
    <x v="1"/>
    <s v="Clerical"/>
    <s v="No"/>
    <n v="0"/>
    <s v="0-1 Miles"/>
    <x v="2"/>
    <n v="30"/>
    <x v="2"/>
    <s v="No"/>
    <n v="0"/>
  </r>
  <r>
    <n v="14913"/>
    <s v="Married"/>
    <s v="Female"/>
    <n v="40000"/>
    <x v="0"/>
    <n v="1"/>
    <x v="1"/>
    <s v="Clerical"/>
    <s v="Yes"/>
    <n v="1"/>
    <s v="1-2 Miles"/>
    <x v="2"/>
    <n v="48"/>
    <x v="0"/>
    <s v="Yes"/>
    <n v="1"/>
  </r>
  <r>
    <n v="14077"/>
    <s v="Single"/>
    <s v="Male"/>
    <n v="30000"/>
    <x v="0"/>
    <n v="0"/>
    <x v="2"/>
    <s v="Skilled Manual"/>
    <s v="Yes"/>
    <n v="2"/>
    <s v="5-10 Miles"/>
    <x v="2"/>
    <n v="30"/>
    <x v="2"/>
    <s v="No"/>
    <n v="0"/>
  </r>
  <r>
    <n v="13296"/>
    <s v="Married"/>
    <s v="Male"/>
    <n v="110000"/>
    <x v="1"/>
    <n v="1"/>
    <x v="0"/>
    <s v="Management"/>
    <s v="Yes"/>
    <n v="3"/>
    <s v="5-10 Miles"/>
    <x v="2"/>
    <n v="45"/>
    <x v="0"/>
    <s v="No"/>
    <n v="0"/>
  </r>
  <r>
    <n v="20535"/>
    <s v="Married"/>
    <s v="Female"/>
    <n v="70000"/>
    <x v="1"/>
    <n v="4"/>
    <x v="1"/>
    <s v="Professional"/>
    <s v="Yes"/>
    <n v="1"/>
    <s v="More than 10 Miles"/>
    <x v="2"/>
    <n v="56"/>
    <x v="0"/>
    <s v="No"/>
    <n v="0"/>
  </r>
  <r>
    <n v="12452"/>
    <s v="Married"/>
    <s v="Male"/>
    <n v="60000"/>
    <x v="0"/>
    <n v="4"/>
    <x v="4"/>
    <s v="Skilled Manual"/>
    <s v="Yes"/>
    <n v="0"/>
    <s v="1-2 Miles"/>
    <x v="2"/>
    <n v="47"/>
    <x v="0"/>
    <s v="Yes"/>
    <n v="1"/>
  </r>
  <r>
    <n v="28043"/>
    <s v="Married"/>
    <s v="Female"/>
    <n v="60000"/>
    <x v="0"/>
    <n v="2"/>
    <x v="0"/>
    <s v="Management"/>
    <s v="Yes"/>
    <n v="0"/>
    <s v="More than 10 Miles"/>
    <x v="2"/>
    <n v="56"/>
    <x v="0"/>
    <s v="No"/>
    <n v="0"/>
  </r>
  <r>
    <n v="12957"/>
    <s v="Single"/>
    <s v="Female"/>
    <n v="70000"/>
    <x v="1"/>
    <n v="1"/>
    <x v="0"/>
    <s v="Professional"/>
    <s v="No"/>
    <n v="1"/>
    <s v="0-1 Miles"/>
    <x v="2"/>
    <n v="44"/>
    <x v="0"/>
    <s v="No"/>
    <n v="0"/>
  </r>
  <r>
    <n v="15412"/>
    <s v="Married"/>
    <s v="Male"/>
    <n v="130000"/>
    <x v="2"/>
    <n v="2"/>
    <x v="4"/>
    <s v="Management"/>
    <s v="Yes"/>
    <n v="3"/>
    <s v="2-5 Miles"/>
    <x v="2"/>
    <n v="69"/>
    <x v="1"/>
    <s v="No"/>
    <n v="0"/>
  </r>
  <r>
    <n v="20514"/>
    <s v="Married"/>
    <s v="Female"/>
    <n v="70000"/>
    <x v="1"/>
    <n v="2"/>
    <x v="1"/>
    <s v="Professional"/>
    <s v="Yes"/>
    <n v="1"/>
    <s v="2-5 Miles"/>
    <x v="2"/>
    <n v="59"/>
    <x v="0"/>
    <s v="No"/>
    <n v="0"/>
  </r>
  <r>
    <n v="20758"/>
    <s v="Married"/>
    <s v="Male"/>
    <n v="30000"/>
    <x v="0"/>
    <n v="2"/>
    <x v="2"/>
    <s v="Skilled Manual"/>
    <s v="Yes"/>
    <n v="2"/>
    <s v="1-2 Miles"/>
    <x v="2"/>
    <n v="50"/>
    <x v="0"/>
    <s v="No"/>
    <n v="0"/>
  </r>
  <r>
    <n v="11801"/>
    <s v="Married"/>
    <s v="Male"/>
    <n v="60000"/>
    <x v="0"/>
    <n v="1"/>
    <x v="4"/>
    <s v="Professional"/>
    <s v="Yes"/>
    <n v="0"/>
    <s v="2-5 Miles"/>
    <x v="2"/>
    <n v="36"/>
    <x v="2"/>
    <s v="No"/>
    <n v="0"/>
  </r>
  <r>
    <n v="22211"/>
    <s v="Married"/>
    <s v="Male"/>
    <n v="60000"/>
    <x v="0"/>
    <n v="0"/>
    <x v="1"/>
    <s v="Professional"/>
    <s v="Yes"/>
    <n v="2"/>
    <s v="5-10 Miles"/>
    <x v="2"/>
    <n v="32"/>
    <x v="2"/>
    <s v="No"/>
    <n v="0"/>
  </r>
  <r>
    <n v="28087"/>
    <s v="Single"/>
    <s v="Female"/>
    <n v="40000"/>
    <x v="0"/>
    <n v="0"/>
    <x v="1"/>
    <s v="Skilled Manual"/>
    <s v="No"/>
    <n v="1"/>
    <s v="1-2 Miles"/>
    <x v="2"/>
    <n v="27"/>
    <x v="3"/>
    <s v="No"/>
    <n v="0"/>
  </r>
  <r>
    <n v="23668"/>
    <s v="Married"/>
    <s v="Female"/>
    <n v="40000"/>
    <x v="0"/>
    <n v="4"/>
    <x v="2"/>
    <s v="Professional"/>
    <s v="Yes"/>
    <n v="2"/>
    <s v="5-10 Miles"/>
    <x v="2"/>
    <n v="59"/>
    <x v="0"/>
    <s v="Yes"/>
    <n v="1"/>
  </r>
  <r>
    <n v="27441"/>
    <s v="Married"/>
    <s v="Male"/>
    <n v="60000"/>
    <x v="0"/>
    <n v="3"/>
    <x v="2"/>
    <s v="Professional"/>
    <s v="No"/>
    <n v="2"/>
    <s v="2-5 Miles"/>
    <x v="2"/>
    <n v="53"/>
    <x v="0"/>
    <s v="No"/>
    <n v="0"/>
  </r>
  <r>
    <n v="27261"/>
    <s v="Married"/>
    <s v="Male"/>
    <n v="40000"/>
    <x v="0"/>
    <n v="1"/>
    <x v="0"/>
    <s v="Skilled Manual"/>
    <s v="No"/>
    <n v="1"/>
    <s v="0-1 Miles"/>
    <x v="2"/>
    <n v="36"/>
    <x v="2"/>
    <s v="Yes"/>
    <n v="1"/>
  </r>
  <r>
    <n v="18649"/>
    <s v="Single"/>
    <s v="Male"/>
    <n v="30000"/>
    <x v="0"/>
    <n v="1"/>
    <x v="2"/>
    <s v="Clerical"/>
    <s v="Yes"/>
    <n v="2"/>
    <s v="1-2 Miles"/>
    <x v="2"/>
    <n v="51"/>
    <x v="0"/>
    <s v="Yes"/>
    <n v="1"/>
  </r>
  <r>
    <n v="21714"/>
    <s v="Single"/>
    <s v="Female"/>
    <n v="80000"/>
    <x v="1"/>
    <n v="5"/>
    <x v="4"/>
    <s v="Skilled Manual"/>
    <s v="No"/>
    <n v="0"/>
    <s v="0-1 Miles"/>
    <x v="2"/>
    <n v="47"/>
    <x v="0"/>
    <s v="No"/>
    <n v="0"/>
  </r>
  <r>
    <n v="23217"/>
    <s v="Single"/>
    <s v="Female"/>
    <n v="60000"/>
    <x v="0"/>
    <n v="3"/>
    <x v="4"/>
    <s v="Professional"/>
    <s v="Yes"/>
    <n v="0"/>
    <s v="2-5 Miles"/>
    <x v="2"/>
    <n v="43"/>
    <x v="0"/>
    <s v="Yes"/>
    <n v="1"/>
  </r>
  <r>
    <n v="23797"/>
    <s v="Single"/>
    <s v="Male"/>
    <n v="20000"/>
    <x v="0"/>
    <n v="3"/>
    <x v="3"/>
    <s v="Clerical"/>
    <s v="No"/>
    <n v="2"/>
    <s v="0-1 Miles"/>
    <x v="2"/>
    <n v="50"/>
    <x v="0"/>
    <s v="No"/>
    <n v="0"/>
  </r>
  <r>
    <n v="13216"/>
    <s v="Married"/>
    <s v="Female"/>
    <n v="60000"/>
    <x v="0"/>
    <n v="5"/>
    <x v="0"/>
    <s v="Management"/>
    <s v="Yes"/>
    <n v="3"/>
    <s v="More than 10 Miles"/>
    <x v="2"/>
    <n v="59"/>
    <x v="0"/>
    <s v="No"/>
    <n v="0"/>
  </r>
  <r>
    <n v="20657"/>
    <s v="Single"/>
    <s v="Male"/>
    <n v="50000"/>
    <x v="0"/>
    <n v="2"/>
    <x v="0"/>
    <s v="Skilled Manual"/>
    <s v="Yes"/>
    <n v="0"/>
    <s v="2-5 Miles"/>
    <x v="2"/>
    <n v="37"/>
    <x v="2"/>
    <s v="Yes"/>
    <n v="1"/>
  </r>
  <r>
    <n v="12882"/>
    <s v="Married"/>
    <s v="Male"/>
    <n v="50000"/>
    <x v="0"/>
    <n v="1"/>
    <x v="4"/>
    <s v="Skilled Manual"/>
    <s v="Yes"/>
    <n v="0"/>
    <s v="0-1 Miles"/>
    <x v="2"/>
    <n v="33"/>
    <x v="2"/>
    <s v="Yes"/>
    <n v="1"/>
  </r>
  <r>
    <n v="25908"/>
    <s v="Married"/>
    <s v="Female"/>
    <n v="60000"/>
    <x v="0"/>
    <n v="0"/>
    <x v="1"/>
    <s v="Skilled Manual"/>
    <s v="No"/>
    <n v="1"/>
    <s v="1-2 Miles"/>
    <x v="2"/>
    <n v="27"/>
    <x v="3"/>
    <s v="No"/>
    <n v="0"/>
  </r>
  <r>
    <n v="16753"/>
    <s v="Single"/>
    <s v="Female"/>
    <n v="70000"/>
    <x v="1"/>
    <n v="0"/>
    <x v="1"/>
    <s v="Skilled Manual"/>
    <s v="Yes"/>
    <n v="2"/>
    <s v="5-10 Miles"/>
    <x v="2"/>
    <n v="34"/>
    <x v="2"/>
    <s v="Yes"/>
    <n v="1"/>
  </r>
  <r>
    <n v="14608"/>
    <s v="Married"/>
    <s v="Male"/>
    <n v="50000"/>
    <x v="0"/>
    <n v="4"/>
    <x v="0"/>
    <s v="Skilled Manual"/>
    <s v="Yes"/>
    <n v="3"/>
    <s v="More than 10 Miles"/>
    <x v="2"/>
    <n v="42"/>
    <x v="0"/>
    <s v="No"/>
    <n v="0"/>
  </r>
  <r>
    <n v="24979"/>
    <s v="Married"/>
    <s v="Female"/>
    <n v="60000"/>
    <x v="0"/>
    <n v="2"/>
    <x v="1"/>
    <s v="Professional"/>
    <s v="Yes"/>
    <n v="2"/>
    <s v="2-5 Miles"/>
    <x v="2"/>
    <n v="57"/>
    <x v="0"/>
    <s v="Yes"/>
    <n v="1"/>
  </r>
  <r>
    <n v="13313"/>
    <s v="Married"/>
    <s v="Female"/>
    <n v="120000"/>
    <x v="1"/>
    <n v="1"/>
    <x v="2"/>
    <s v="Professional"/>
    <s v="No"/>
    <n v="4"/>
    <s v="2-5 Miles"/>
    <x v="2"/>
    <n v="45"/>
    <x v="0"/>
    <s v="No"/>
    <n v="0"/>
  </r>
  <r>
    <n v="18952"/>
    <s v="Married"/>
    <s v="Female"/>
    <n v="100000"/>
    <x v="1"/>
    <n v="4"/>
    <x v="0"/>
    <s v="Management"/>
    <s v="Yes"/>
    <n v="4"/>
    <s v="0-1 Miles"/>
    <x v="2"/>
    <n v="40"/>
    <x v="0"/>
    <s v="No"/>
    <n v="0"/>
  </r>
  <r>
    <n v="17699"/>
    <s v="Married"/>
    <s v="Male"/>
    <n v="60000"/>
    <x v="0"/>
    <n v="1"/>
    <x v="4"/>
    <s v="Skilled Manual"/>
    <s v="No"/>
    <n v="0"/>
    <s v="0-1 Miles"/>
    <x v="2"/>
    <n v="55"/>
    <x v="0"/>
    <s v="No"/>
    <n v="0"/>
  </r>
  <r>
    <n v="14657"/>
    <s v="Married"/>
    <s v="Male"/>
    <n v="80000"/>
    <x v="1"/>
    <n v="1"/>
    <x v="1"/>
    <s v="Skilled Manual"/>
    <s v="No"/>
    <n v="1"/>
    <s v="0-1 Miles"/>
    <x v="2"/>
    <n v="47"/>
    <x v="0"/>
    <s v="Yes"/>
    <n v="1"/>
  </r>
  <r>
    <n v="11540"/>
    <s v="Single"/>
    <s v="Male"/>
    <n v="60000"/>
    <x v="0"/>
    <n v="4"/>
    <x v="4"/>
    <s v="Skilled Manual"/>
    <s v="Yes"/>
    <n v="0"/>
    <s v="1-2 Miles"/>
    <x v="2"/>
    <n v="47"/>
    <x v="0"/>
    <s v="Yes"/>
    <n v="1"/>
  </r>
  <r>
    <n v="11783"/>
    <s v="Married"/>
    <s v="Female"/>
    <n v="60000"/>
    <x v="0"/>
    <n v="1"/>
    <x v="4"/>
    <s v="Skilled Manual"/>
    <s v="Yes"/>
    <n v="0"/>
    <s v="0-1 Miles"/>
    <x v="2"/>
    <n v="34"/>
    <x v="2"/>
    <s v="No"/>
    <n v="0"/>
  </r>
  <r>
    <n v="14602"/>
    <s v="Married"/>
    <s v="Female"/>
    <n v="80000"/>
    <x v="1"/>
    <n v="3"/>
    <x v="4"/>
    <s v="Professional"/>
    <s v="Yes"/>
    <n v="0"/>
    <s v="0-1 Miles"/>
    <x v="2"/>
    <n v="36"/>
    <x v="2"/>
    <s v="Yes"/>
    <n v="1"/>
  </r>
  <r>
    <n v="29030"/>
    <s v="Married"/>
    <s v="Male"/>
    <n v="70000"/>
    <x v="1"/>
    <n v="2"/>
    <x v="3"/>
    <s v="Skilled Manual"/>
    <s v="Yes"/>
    <n v="2"/>
    <s v="More than 10 Miles"/>
    <x v="2"/>
    <n v="54"/>
    <x v="0"/>
    <s v="No"/>
    <n v="0"/>
  </r>
  <r>
    <n v="26490"/>
    <s v="Single"/>
    <s v="Male"/>
    <n v="70000"/>
    <x v="1"/>
    <n v="2"/>
    <x v="0"/>
    <s v="Management"/>
    <s v="No"/>
    <n v="1"/>
    <s v="2-5 Miles"/>
    <x v="2"/>
    <n v="59"/>
    <x v="0"/>
    <s v="Yes"/>
    <n v="1"/>
  </r>
  <r>
    <n v="13151"/>
    <s v="Single"/>
    <s v="Male"/>
    <n v="40000"/>
    <x v="0"/>
    <n v="0"/>
    <x v="2"/>
    <s v="Skilled Manual"/>
    <s v="Yes"/>
    <n v="2"/>
    <s v="5-10 Miles"/>
    <x v="2"/>
    <n v="27"/>
    <x v="3"/>
    <s v="No"/>
    <n v="0"/>
  </r>
  <r>
    <n v="17260"/>
    <s v="Married"/>
    <s v="Male"/>
    <n v="90000"/>
    <x v="1"/>
    <n v="5"/>
    <x v="1"/>
    <s v="Professional"/>
    <s v="Yes"/>
    <n v="3"/>
    <s v="0-1 Miles"/>
    <x v="2"/>
    <n v="41"/>
    <x v="0"/>
    <s v="No"/>
    <n v="0"/>
  </r>
  <r>
    <n v="15372"/>
    <s v="Married"/>
    <s v="Male"/>
    <n v="80000"/>
    <x v="1"/>
    <n v="3"/>
    <x v="1"/>
    <s v="Professional"/>
    <s v="No"/>
    <n v="2"/>
    <s v="2-5 Miles"/>
    <x v="2"/>
    <n v="50"/>
    <x v="0"/>
    <s v="Yes"/>
    <n v="1"/>
  </r>
  <r>
    <n v="18105"/>
    <s v="Married"/>
    <s v="Female"/>
    <n v="60000"/>
    <x v="0"/>
    <n v="2"/>
    <x v="1"/>
    <s v="Professional"/>
    <s v="Yes"/>
    <n v="1"/>
    <s v="More than 10 Miles"/>
    <x v="2"/>
    <n v="55"/>
    <x v="0"/>
    <s v="No"/>
    <n v="0"/>
  </r>
  <r>
    <n v="19660"/>
    <s v="Married"/>
    <s v="Male"/>
    <n v="80000"/>
    <x v="1"/>
    <n v="4"/>
    <x v="0"/>
    <s v="Management"/>
    <s v="Yes"/>
    <n v="0"/>
    <s v="0-1 Miles"/>
    <x v="2"/>
    <n v="43"/>
    <x v="0"/>
    <s v="No"/>
    <n v="0"/>
  </r>
  <r>
    <n v="16112"/>
    <s v="Single"/>
    <s v="Male"/>
    <n v="70000"/>
    <x v="1"/>
    <n v="4"/>
    <x v="0"/>
    <s v="Professional"/>
    <s v="Yes"/>
    <n v="2"/>
    <s v="2-5 Miles"/>
    <x v="2"/>
    <n v="43"/>
    <x v="0"/>
    <s v="Yes"/>
    <n v="1"/>
  </r>
  <r>
    <n v="20698"/>
    <s v="Married"/>
    <s v="Male"/>
    <n v="60000"/>
    <x v="0"/>
    <n v="4"/>
    <x v="0"/>
    <s v="Skilled Manual"/>
    <s v="Yes"/>
    <n v="3"/>
    <s v="5-10 Miles"/>
    <x v="2"/>
    <n v="42"/>
    <x v="0"/>
    <s v="No"/>
    <n v="0"/>
  </r>
  <r>
    <n v="20076"/>
    <s v="Single"/>
    <s v="Female"/>
    <n v="10000"/>
    <x v="0"/>
    <n v="2"/>
    <x v="2"/>
    <s v="Manual"/>
    <s v="Yes"/>
    <n v="2"/>
    <s v="1-2 Miles"/>
    <x v="2"/>
    <n v="53"/>
    <x v="0"/>
    <s v="Yes"/>
    <n v="1"/>
  </r>
  <r>
    <n v="24496"/>
    <s v="Single"/>
    <s v="Female"/>
    <n v="40000"/>
    <x v="0"/>
    <n v="0"/>
    <x v="2"/>
    <s v="Skilled Manual"/>
    <s v="No"/>
    <n v="2"/>
    <s v="0-1 Miles"/>
    <x v="2"/>
    <n v="28"/>
    <x v="3"/>
    <s v="Yes"/>
    <n v="1"/>
  </r>
  <r>
    <n v="15468"/>
    <s v="Married"/>
    <s v="Female"/>
    <n v="50000"/>
    <x v="0"/>
    <n v="1"/>
    <x v="0"/>
    <s v="Skilled Manual"/>
    <s v="Yes"/>
    <n v="1"/>
    <s v="0-1 Miles"/>
    <x v="2"/>
    <n v="35"/>
    <x v="2"/>
    <s v="No"/>
    <n v="0"/>
  </r>
  <r>
    <n v="28031"/>
    <s v="Single"/>
    <s v="Female"/>
    <n v="70000"/>
    <x v="1"/>
    <n v="2"/>
    <x v="0"/>
    <s v="Management"/>
    <s v="No"/>
    <n v="1"/>
    <s v="2-5 Miles"/>
    <x v="2"/>
    <n v="59"/>
    <x v="0"/>
    <s v="Yes"/>
    <n v="1"/>
  </r>
  <r>
    <n v="26270"/>
    <s v="Single"/>
    <s v="Female"/>
    <n v="20000"/>
    <x v="0"/>
    <n v="2"/>
    <x v="3"/>
    <s v="Clerical"/>
    <s v="Yes"/>
    <n v="2"/>
    <s v="1-2 Miles"/>
    <x v="2"/>
    <n v="49"/>
    <x v="0"/>
    <s v="No"/>
    <n v="0"/>
  </r>
  <r>
    <n v="22221"/>
    <s v="Married"/>
    <s v="Male"/>
    <n v="60000"/>
    <x v="0"/>
    <n v="2"/>
    <x v="2"/>
    <s v="Professional"/>
    <s v="No"/>
    <n v="2"/>
    <s v="1-2 Miles"/>
    <x v="2"/>
    <n v="48"/>
    <x v="0"/>
    <s v="Yes"/>
    <n v="1"/>
  </r>
  <r>
    <n v="28228"/>
    <s v="Single"/>
    <s v="Female"/>
    <n v="80000"/>
    <x v="1"/>
    <n v="2"/>
    <x v="3"/>
    <s v="Skilled Manual"/>
    <s v="No"/>
    <n v="2"/>
    <s v="1-2 Miles"/>
    <x v="2"/>
    <n v="50"/>
    <x v="0"/>
    <s v="No"/>
    <n v="0"/>
  </r>
  <r>
    <n v="18363"/>
    <s v="Married"/>
    <s v="Male"/>
    <n v="40000"/>
    <x v="0"/>
    <n v="0"/>
    <x v="2"/>
    <s v="Skilled Manual"/>
    <s v="Yes"/>
    <n v="2"/>
    <s v="5-10 Miles"/>
    <x v="2"/>
    <n v="28"/>
    <x v="3"/>
    <s v="Yes"/>
    <n v="1"/>
  </r>
  <r>
    <n v="23256"/>
    <s v="Single"/>
    <s v="Male"/>
    <n v="30000"/>
    <x v="0"/>
    <n v="1"/>
    <x v="2"/>
    <s v="Clerical"/>
    <s v="No"/>
    <n v="1"/>
    <s v="5-10 Miles"/>
    <x v="2"/>
    <n v="52"/>
    <x v="0"/>
    <s v="No"/>
    <n v="0"/>
  </r>
  <r>
    <n v="12768"/>
    <s v="Married"/>
    <s v="Male"/>
    <n v="30000"/>
    <x v="0"/>
    <n v="1"/>
    <x v="2"/>
    <s v="Clerical"/>
    <s v="Yes"/>
    <n v="1"/>
    <s v="2-5 Miles"/>
    <x v="2"/>
    <n v="52"/>
    <x v="0"/>
    <s v="Yes"/>
    <n v="1"/>
  </r>
  <r>
    <n v="20361"/>
    <s v="Married"/>
    <s v="Male"/>
    <n v="50000"/>
    <x v="0"/>
    <n v="2"/>
    <x v="4"/>
    <s v="Management"/>
    <s v="Yes"/>
    <n v="2"/>
    <s v="5-10 Miles"/>
    <x v="2"/>
    <n v="69"/>
    <x v="1"/>
    <s v="No"/>
    <n v="0"/>
  </r>
  <r>
    <n v="21306"/>
    <s v="Single"/>
    <s v="Male"/>
    <n v="60000"/>
    <x v="0"/>
    <n v="2"/>
    <x v="2"/>
    <s v="Professional"/>
    <s v="Yes"/>
    <n v="2"/>
    <s v="5-10 Miles"/>
    <x v="2"/>
    <n v="51"/>
    <x v="0"/>
    <s v="No"/>
    <n v="0"/>
  </r>
  <r>
    <n v="13382"/>
    <s v="Married"/>
    <s v="Male"/>
    <n v="70000"/>
    <x v="1"/>
    <n v="5"/>
    <x v="1"/>
    <s v="Professional"/>
    <s v="Yes"/>
    <n v="2"/>
    <s v="1-2 Miles"/>
    <x v="2"/>
    <n v="57"/>
    <x v="0"/>
    <s v="Yes"/>
    <n v="1"/>
  </r>
  <r>
    <n v="20310"/>
    <s v="Single"/>
    <s v="Male"/>
    <n v="60000"/>
    <x v="0"/>
    <n v="0"/>
    <x v="1"/>
    <s v="Skilled Manual"/>
    <s v="Yes"/>
    <n v="1"/>
    <s v="5-10 Miles"/>
    <x v="2"/>
    <n v="27"/>
    <x v="3"/>
    <s v="Yes"/>
    <n v="1"/>
  </r>
  <r>
    <n v="22971"/>
    <s v="Single"/>
    <s v="Female"/>
    <n v="30000"/>
    <x v="0"/>
    <n v="0"/>
    <x v="2"/>
    <s v="Skilled Manual"/>
    <s v="No"/>
    <n v="2"/>
    <s v="0-1 Miles"/>
    <x v="2"/>
    <n v="25"/>
    <x v="3"/>
    <s v="Yes"/>
    <n v="1"/>
  </r>
  <r>
    <n v="15287"/>
    <s v="Single"/>
    <s v="Female"/>
    <n v="50000"/>
    <x v="0"/>
    <n v="1"/>
    <x v="4"/>
    <s v="Skilled Manual"/>
    <s v="Yes"/>
    <n v="0"/>
    <s v="1-2 Miles"/>
    <x v="2"/>
    <n v="33"/>
    <x v="2"/>
    <s v="Yes"/>
    <n v="1"/>
  </r>
  <r>
    <n v="15532"/>
    <s v="Single"/>
    <s v="Male"/>
    <n v="60000"/>
    <x v="0"/>
    <n v="4"/>
    <x v="0"/>
    <s v="Professional"/>
    <s v="Yes"/>
    <n v="2"/>
    <s v="2-5 Miles"/>
    <x v="2"/>
    <n v="43"/>
    <x v="0"/>
    <s v="Yes"/>
    <n v="1"/>
  </r>
  <r>
    <n v="11255"/>
    <s v="Married"/>
    <s v="Male"/>
    <n v="70000"/>
    <x v="1"/>
    <n v="4"/>
    <x v="4"/>
    <s v="Management"/>
    <s v="Yes"/>
    <n v="2"/>
    <s v="5-10 Miles"/>
    <x v="2"/>
    <n v="73"/>
    <x v="1"/>
    <s v="No"/>
    <n v="0"/>
  </r>
  <r>
    <n v="28090"/>
    <s v="Married"/>
    <s v="Male"/>
    <n v="40000"/>
    <x v="0"/>
    <n v="0"/>
    <x v="1"/>
    <s v="Skilled Manual"/>
    <s v="Yes"/>
    <n v="1"/>
    <s v="5-10 Miles"/>
    <x v="2"/>
    <n v="27"/>
    <x v="3"/>
    <s v="No"/>
    <n v="0"/>
  </r>
  <r>
    <n v="15255"/>
    <s v="Married"/>
    <s v="Male"/>
    <n v="40000"/>
    <x v="0"/>
    <n v="0"/>
    <x v="2"/>
    <s v="Skilled Manual"/>
    <s v="Yes"/>
    <n v="2"/>
    <s v="5-10 Miles"/>
    <x v="2"/>
    <n v="28"/>
    <x v="3"/>
    <s v="Yes"/>
    <n v="1"/>
  </r>
  <r>
    <n v="13154"/>
    <s v="Married"/>
    <s v="Male"/>
    <n v="40000"/>
    <x v="0"/>
    <n v="0"/>
    <x v="2"/>
    <s v="Skilled Manual"/>
    <s v="No"/>
    <n v="2"/>
    <s v="0-1 Miles"/>
    <x v="2"/>
    <n v="27"/>
    <x v="3"/>
    <s v="Yes"/>
    <n v="1"/>
  </r>
  <r>
    <n v="26778"/>
    <s v="Single"/>
    <s v="Female"/>
    <n v="40000"/>
    <x v="0"/>
    <n v="0"/>
    <x v="2"/>
    <s v="Skilled Manual"/>
    <s v="Yes"/>
    <n v="2"/>
    <s v="5-10 Miles"/>
    <x v="2"/>
    <n v="31"/>
    <x v="2"/>
    <s v="No"/>
    <n v="0"/>
  </r>
  <r>
    <n v="23248"/>
    <s v="Married"/>
    <s v="Female"/>
    <n v="10000"/>
    <x v="0"/>
    <n v="2"/>
    <x v="2"/>
    <s v="Manual"/>
    <s v="Yes"/>
    <n v="2"/>
    <s v="1-2 Miles"/>
    <x v="2"/>
    <n v="53"/>
    <x v="0"/>
    <s v="No"/>
    <n v="0"/>
  </r>
  <r>
    <n v="21417"/>
    <s v="Single"/>
    <s v="Female"/>
    <n v="60000"/>
    <x v="0"/>
    <n v="0"/>
    <x v="1"/>
    <s v="Professional"/>
    <s v="No"/>
    <n v="2"/>
    <s v="1-2 Miles"/>
    <x v="2"/>
    <n v="32"/>
    <x v="2"/>
    <s v="Yes"/>
    <n v="1"/>
  </r>
  <r>
    <n v="17668"/>
    <s v="Single"/>
    <s v="Male"/>
    <n v="30000"/>
    <x v="0"/>
    <n v="2"/>
    <x v="2"/>
    <s v="Skilled Manual"/>
    <s v="Yes"/>
    <n v="2"/>
    <s v="1-2 Miles"/>
    <x v="2"/>
    <n v="50"/>
    <x v="0"/>
    <s v="Yes"/>
    <n v="1"/>
  </r>
  <r>
    <n v="27994"/>
    <s v="Married"/>
    <s v="Female"/>
    <n v="40000"/>
    <x v="0"/>
    <n v="4"/>
    <x v="2"/>
    <s v="Professional"/>
    <s v="Yes"/>
    <n v="2"/>
    <s v="5-10 Miles"/>
    <x v="2"/>
    <n v="69"/>
    <x v="1"/>
    <s v="No"/>
    <n v="0"/>
  </r>
  <r>
    <n v="20376"/>
    <s v="Single"/>
    <s v="Female"/>
    <n v="70000"/>
    <x v="1"/>
    <n v="3"/>
    <x v="4"/>
    <s v="Management"/>
    <s v="Yes"/>
    <n v="2"/>
    <s v="5-10 Miles"/>
    <x v="2"/>
    <n v="52"/>
    <x v="0"/>
    <s v="Yes"/>
    <n v="1"/>
  </r>
  <r>
    <n v="25954"/>
    <s v="Married"/>
    <s v="Male"/>
    <n v="60000"/>
    <x v="0"/>
    <n v="0"/>
    <x v="1"/>
    <s v="Skilled Manual"/>
    <s v="No"/>
    <n v="2"/>
    <s v="1-2 Miles"/>
    <x v="2"/>
    <n v="31"/>
    <x v="2"/>
    <s v="No"/>
    <n v="0"/>
  </r>
  <r>
    <n v="15749"/>
    <s v="Single"/>
    <s v="Female"/>
    <n v="70000"/>
    <x v="1"/>
    <n v="4"/>
    <x v="0"/>
    <s v="Management"/>
    <s v="Yes"/>
    <n v="2"/>
    <s v="More than 10 Miles"/>
    <x v="2"/>
    <n v="61"/>
    <x v="1"/>
    <s v="No"/>
    <n v="0"/>
  </r>
  <r>
    <n v="25899"/>
    <s v="Married"/>
    <s v="Female"/>
    <n v="70000"/>
    <x v="1"/>
    <n v="2"/>
    <x v="2"/>
    <s v="Professional"/>
    <s v="Yes"/>
    <n v="2"/>
    <s v="More than 10 Miles"/>
    <x v="2"/>
    <n v="53"/>
    <x v="0"/>
    <s v="No"/>
    <n v="0"/>
  </r>
  <r>
    <n v="13351"/>
    <s v="Single"/>
    <s v="Female"/>
    <n v="70000"/>
    <x v="1"/>
    <n v="4"/>
    <x v="0"/>
    <s v="Management"/>
    <s v="Yes"/>
    <n v="2"/>
    <s v="1-2 Miles"/>
    <x v="2"/>
    <n v="62"/>
    <x v="1"/>
    <s v="Yes"/>
    <n v="1"/>
  </r>
  <r>
    <n v="23333"/>
    <s v="Married"/>
    <s v="Male"/>
    <n v="40000"/>
    <x v="0"/>
    <n v="0"/>
    <x v="1"/>
    <s v="Skilled Manual"/>
    <s v="No"/>
    <n v="2"/>
    <s v="1-2 Miles"/>
    <x v="2"/>
    <n v="30"/>
    <x v="2"/>
    <s v="No"/>
    <n v="0"/>
  </r>
  <r>
    <n v="21660"/>
    <s v="Married"/>
    <s v="Female"/>
    <n v="60000"/>
    <x v="0"/>
    <n v="3"/>
    <x v="4"/>
    <s v="Professional"/>
    <s v="Yes"/>
    <n v="0"/>
    <s v="2-5 Miles"/>
    <x v="2"/>
    <n v="43"/>
    <x v="0"/>
    <s v="Yes"/>
    <n v="1"/>
  </r>
  <r>
    <n v="17012"/>
    <s v="Married"/>
    <s v="Female"/>
    <n v="60000"/>
    <x v="0"/>
    <n v="3"/>
    <x v="4"/>
    <s v="Professional"/>
    <s v="Yes"/>
    <n v="0"/>
    <s v="2-5 Miles"/>
    <x v="2"/>
    <n v="42"/>
    <x v="0"/>
    <s v="Yes"/>
    <n v="1"/>
  </r>
  <r>
    <n v="24514"/>
    <s v="Married"/>
    <s v="Male"/>
    <n v="40000"/>
    <x v="0"/>
    <n v="0"/>
    <x v="1"/>
    <s v="Skilled Manual"/>
    <s v="Yes"/>
    <n v="1"/>
    <s v="5-10 Miles"/>
    <x v="2"/>
    <n v="30"/>
    <x v="2"/>
    <s v="No"/>
    <n v="0"/>
  </r>
  <r>
    <n v="27505"/>
    <s v="Single"/>
    <s v="Female"/>
    <n v="40000"/>
    <x v="0"/>
    <n v="0"/>
    <x v="2"/>
    <s v="Skilled Manual"/>
    <s v="Yes"/>
    <n v="2"/>
    <s v="5-10 Miles"/>
    <x v="2"/>
    <n v="30"/>
    <x v="2"/>
    <s v="No"/>
    <n v="0"/>
  </r>
  <r>
    <n v="29243"/>
    <s v="Single"/>
    <s v="Male"/>
    <n v="110000"/>
    <x v="1"/>
    <n v="1"/>
    <x v="0"/>
    <s v="Management"/>
    <s v="Yes"/>
    <n v="1"/>
    <s v="5-10 Miles"/>
    <x v="2"/>
    <n v="43"/>
    <x v="0"/>
    <s v="No"/>
    <n v="0"/>
  </r>
  <r>
    <n v="26582"/>
    <s v="Married"/>
    <s v="Male"/>
    <n v="60000"/>
    <x v="0"/>
    <n v="0"/>
    <x v="1"/>
    <s v="Skilled Manual"/>
    <s v="Yes"/>
    <n v="2"/>
    <s v="5-10 Miles"/>
    <x v="2"/>
    <n v="33"/>
    <x v="2"/>
    <s v="Yes"/>
    <n v="1"/>
  </r>
  <r>
    <n v="14271"/>
    <s v="Married"/>
    <s v="Male"/>
    <n v="30000"/>
    <x v="0"/>
    <n v="0"/>
    <x v="2"/>
    <s v="Skilled Manual"/>
    <s v="Yes"/>
    <n v="2"/>
    <s v="5-10 Miles"/>
    <x v="2"/>
    <n v="32"/>
    <x v="2"/>
    <s v="No"/>
    <n v="0"/>
  </r>
  <r>
    <n v="23041"/>
    <s v="Single"/>
    <s v="Female"/>
    <n v="70000"/>
    <x v="1"/>
    <n v="4"/>
    <x v="2"/>
    <s v="Professional"/>
    <s v="Yes"/>
    <n v="0"/>
    <s v="5-10 Miles"/>
    <x v="2"/>
    <n v="50"/>
    <x v="0"/>
    <s v="Yes"/>
    <n v="1"/>
  </r>
  <r>
    <n v="29048"/>
    <s v="Single"/>
    <s v="Male"/>
    <n v="110000"/>
    <x v="1"/>
    <n v="2"/>
    <x v="0"/>
    <s v="Management"/>
    <s v="No"/>
    <n v="3"/>
    <s v="0-1 Miles"/>
    <x v="2"/>
    <n v="37"/>
    <x v="2"/>
    <s v="Yes"/>
    <n v="1"/>
  </r>
  <r>
    <n v="24433"/>
    <s v="Married"/>
    <s v="Male"/>
    <n v="70000"/>
    <x v="1"/>
    <n v="3"/>
    <x v="2"/>
    <s v="Professional"/>
    <s v="No"/>
    <n v="1"/>
    <s v="1-2 Miles"/>
    <x v="2"/>
    <n v="52"/>
    <x v="0"/>
    <s v="Yes"/>
    <n v="1"/>
  </r>
  <r>
    <n v="15501"/>
    <s v="Married"/>
    <s v="Male"/>
    <n v="70000"/>
    <x v="1"/>
    <n v="4"/>
    <x v="4"/>
    <s v="Professional"/>
    <s v="Yes"/>
    <n v="0"/>
    <s v="2-5 Miles"/>
    <x v="2"/>
    <n v="36"/>
    <x v="2"/>
    <s v="Yes"/>
    <n v="1"/>
  </r>
  <r>
    <n v="13911"/>
    <s v="Single"/>
    <s v="Female"/>
    <n v="80000"/>
    <x v="1"/>
    <n v="3"/>
    <x v="0"/>
    <s v="Skilled Manual"/>
    <s v="Yes"/>
    <n v="2"/>
    <s v="2-5 Miles"/>
    <x v="2"/>
    <n v="41"/>
    <x v="0"/>
    <s v="Yes"/>
    <n v="1"/>
  </r>
  <r>
    <n v="20421"/>
    <s v="Single"/>
    <s v="Female"/>
    <n v="40000"/>
    <x v="0"/>
    <n v="0"/>
    <x v="3"/>
    <s v="Clerical"/>
    <s v="Yes"/>
    <n v="2"/>
    <s v="5-10 Miles"/>
    <x v="2"/>
    <n v="26"/>
    <x v="3"/>
    <s v="No"/>
    <n v="0"/>
  </r>
  <r>
    <n v="16009"/>
    <s v="Single"/>
    <s v="Male"/>
    <n v="170000"/>
    <x v="2"/>
    <n v="1"/>
    <x v="4"/>
    <s v="Management"/>
    <s v="No"/>
    <n v="4"/>
    <s v="0-1 Miles"/>
    <x v="2"/>
    <n v="66"/>
    <x v="1"/>
    <s v="No"/>
    <n v="0"/>
  </r>
  <r>
    <n v="18411"/>
    <s v="Married"/>
    <s v="Male"/>
    <n v="60000"/>
    <x v="0"/>
    <n v="2"/>
    <x v="2"/>
    <s v="Professional"/>
    <s v="No"/>
    <n v="2"/>
    <s v="5-10 Miles"/>
    <x v="2"/>
    <n v="51"/>
    <x v="0"/>
    <s v="No"/>
    <n v="0"/>
  </r>
  <r>
    <n v="19163"/>
    <s v="Married"/>
    <s v="Female"/>
    <n v="70000"/>
    <x v="1"/>
    <n v="4"/>
    <x v="0"/>
    <s v="Professional"/>
    <s v="Yes"/>
    <n v="2"/>
    <s v="0-1 Miles"/>
    <x v="2"/>
    <n v="43"/>
    <x v="0"/>
    <s v="Yes"/>
    <n v="1"/>
  </r>
  <r>
    <n v="18572"/>
    <s v="Married"/>
    <s v="Female"/>
    <n v="60000"/>
    <x v="0"/>
    <n v="0"/>
    <x v="4"/>
    <s v="Professional"/>
    <s v="Yes"/>
    <n v="0"/>
    <s v="0-1 Miles"/>
    <x v="2"/>
    <n v="39"/>
    <x v="2"/>
    <s v="No"/>
    <n v="0"/>
  </r>
  <r>
    <n v="27540"/>
    <s v="Single"/>
    <s v="Female"/>
    <n v="70000"/>
    <x v="1"/>
    <n v="0"/>
    <x v="0"/>
    <s v="Professional"/>
    <s v="No"/>
    <n v="1"/>
    <s v="0-1 Miles"/>
    <x v="2"/>
    <n v="37"/>
    <x v="2"/>
    <s v="Yes"/>
    <n v="1"/>
  </r>
  <r>
    <n v="19889"/>
    <s v="Single"/>
    <s v="Female"/>
    <n v="70000"/>
    <x v="1"/>
    <n v="2"/>
    <x v="3"/>
    <s v="Skilled Manual"/>
    <s v="No"/>
    <n v="2"/>
    <s v="2-5 Miles"/>
    <x v="2"/>
    <n v="54"/>
    <x v="0"/>
    <s v="Yes"/>
    <n v="1"/>
  </r>
  <r>
    <n v="12922"/>
    <s v="Single"/>
    <s v="Female"/>
    <n v="60000"/>
    <x v="0"/>
    <n v="3"/>
    <x v="0"/>
    <s v="Skilled Manual"/>
    <s v="Yes"/>
    <n v="0"/>
    <s v="2-5 Miles"/>
    <x v="2"/>
    <n v="40"/>
    <x v="0"/>
    <s v="Yes"/>
    <n v="1"/>
  </r>
  <r>
    <n v="18891"/>
    <s v="Married"/>
    <s v="Female"/>
    <n v="40000"/>
    <x v="0"/>
    <n v="0"/>
    <x v="1"/>
    <s v="Skilled Manual"/>
    <s v="Yes"/>
    <n v="2"/>
    <s v="5-10 Miles"/>
    <x v="2"/>
    <n v="28"/>
    <x v="3"/>
    <s v="No"/>
    <n v="0"/>
  </r>
  <r>
    <n v="16773"/>
    <s v="Married"/>
    <s v="Male"/>
    <n v="60000"/>
    <x v="0"/>
    <n v="1"/>
    <x v="4"/>
    <s v="Skilled Manual"/>
    <s v="Yes"/>
    <n v="0"/>
    <s v="0-1 Miles"/>
    <x v="2"/>
    <n v="33"/>
    <x v="2"/>
    <s v="No"/>
    <n v="0"/>
  </r>
  <r>
    <n v="19143"/>
    <s v="Single"/>
    <s v="Female"/>
    <n v="80000"/>
    <x v="1"/>
    <n v="3"/>
    <x v="0"/>
    <s v="Skilled Manual"/>
    <s v="Yes"/>
    <n v="2"/>
    <s v="2-5 Miles"/>
    <x v="2"/>
    <n v="41"/>
    <x v="0"/>
    <s v="Yes"/>
    <n v="1"/>
  </r>
  <r>
    <n v="23882"/>
    <s v="Single"/>
    <s v="Female"/>
    <n v="80000"/>
    <x v="1"/>
    <n v="3"/>
    <x v="4"/>
    <s v="Professional"/>
    <s v="Yes"/>
    <n v="0"/>
    <s v="0-1 Miles"/>
    <x v="2"/>
    <n v="37"/>
    <x v="2"/>
    <s v="Yes"/>
    <n v="1"/>
  </r>
  <r>
    <n v="11233"/>
    <s v="Married"/>
    <s v="Male"/>
    <n v="70000"/>
    <x v="1"/>
    <n v="4"/>
    <x v="1"/>
    <s v="Professional"/>
    <s v="Yes"/>
    <n v="2"/>
    <s v="More than 10 Miles"/>
    <x v="2"/>
    <n v="53"/>
    <x v="0"/>
    <s v="No"/>
    <n v="0"/>
  </r>
  <r>
    <n v="12056"/>
    <s v="Married"/>
    <s v="Male"/>
    <n v="120000"/>
    <x v="1"/>
    <n v="2"/>
    <x v="4"/>
    <s v="Management"/>
    <s v="Yes"/>
    <n v="3"/>
    <s v="5-10 Miles"/>
    <x v="2"/>
    <n v="64"/>
    <x v="1"/>
    <s v="No"/>
    <n v="0"/>
  </r>
  <r>
    <n v="15555"/>
    <s v="Married"/>
    <s v="Female"/>
    <n v="60000"/>
    <x v="0"/>
    <n v="1"/>
    <x v="1"/>
    <s v="Skilled Manual"/>
    <s v="Yes"/>
    <n v="1"/>
    <s v="2-5 Miles"/>
    <x v="2"/>
    <n v="45"/>
    <x v="0"/>
    <s v="Yes"/>
    <n v="1"/>
  </r>
  <r>
    <n v="18423"/>
    <s v="Single"/>
    <s v="Male"/>
    <n v="80000"/>
    <x v="1"/>
    <n v="2"/>
    <x v="3"/>
    <s v="Skilled Manual"/>
    <s v="No"/>
    <n v="2"/>
    <s v="1-2 Miles"/>
    <x v="2"/>
    <n v="52"/>
    <x v="0"/>
    <s v="No"/>
    <n v="0"/>
  </r>
  <r>
    <n v="22743"/>
    <s v="Married"/>
    <s v="Female"/>
    <n v="40000"/>
    <x v="0"/>
    <n v="5"/>
    <x v="2"/>
    <s v="Professional"/>
    <s v="Yes"/>
    <n v="2"/>
    <s v="More than 10 Miles"/>
    <x v="2"/>
    <n v="60"/>
    <x v="1"/>
    <s v="No"/>
    <n v="0"/>
  </r>
  <r>
    <n v="25343"/>
    <s v="Single"/>
    <s v="Female"/>
    <n v="20000"/>
    <x v="0"/>
    <n v="3"/>
    <x v="3"/>
    <s v="Clerical"/>
    <s v="Yes"/>
    <n v="2"/>
    <s v="1-2 Miles"/>
    <x v="2"/>
    <n v="50"/>
    <x v="0"/>
    <s v="No"/>
    <n v="0"/>
  </r>
  <r>
    <n v="13390"/>
    <s v="Married"/>
    <s v="Female"/>
    <n v="70000"/>
    <x v="1"/>
    <n v="4"/>
    <x v="1"/>
    <s v="Professional"/>
    <s v="No"/>
    <n v="1"/>
    <s v="1-2 Miles"/>
    <x v="2"/>
    <n v="56"/>
    <x v="0"/>
    <s v="No"/>
    <n v="0"/>
  </r>
  <r>
    <n v="17482"/>
    <s v="Single"/>
    <s v="Female"/>
    <n v="40000"/>
    <x v="0"/>
    <n v="0"/>
    <x v="3"/>
    <s v="Clerical"/>
    <s v="Yes"/>
    <n v="2"/>
    <s v="5-10 Miles"/>
    <x v="2"/>
    <n v="29"/>
    <x v="3"/>
    <s v="No"/>
    <n v="0"/>
  </r>
  <r>
    <n v="13176"/>
    <s v="Single"/>
    <s v="Male"/>
    <n v="130000"/>
    <x v="2"/>
    <n v="0"/>
    <x v="4"/>
    <s v="Management"/>
    <s v="No"/>
    <n v="2"/>
    <s v="0-1 Miles"/>
    <x v="2"/>
    <n v="38"/>
    <x v="2"/>
    <s v="Yes"/>
    <n v="1"/>
  </r>
  <r>
    <n v="20504"/>
    <s v="Married"/>
    <s v="Female"/>
    <n v="40000"/>
    <x v="0"/>
    <n v="5"/>
    <x v="2"/>
    <s v="Professional"/>
    <s v="No"/>
    <n v="2"/>
    <s v="2-5 Miles"/>
    <x v="2"/>
    <n v="60"/>
    <x v="1"/>
    <s v="No"/>
    <n v="0"/>
  </r>
  <r>
    <n v="12205"/>
    <s v="Single"/>
    <s v="Female"/>
    <n v="130000"/>
    <x v="2"/>
    <n v="2"/>
    <x v="0"/>
    <s v="Management"/>
    <s v="No"/>
    <n v="4"/>
    <s v="0-1 Miles"/>
    <x v="2"/>
    <n v="67"/>
    <x v="1"/>
    <s v="No"/>
    <n v="0"/>
  </r>
  <r>
    <n v="16751"/>
    <s v="Married"/>
    <s v="Male"/>
    <n v="60000"/>
    <x v="0"/>
    <n v="0"/>
    <x v="1"/>
    <s v="Skilled Manual"/>
    <s v="Yes"/>
    <n v="1"/>
    <s v="5-10 Miles"/>
    <x v="2"/>
    <n v="32"/>
    <x v="2"/>
    <s v="Yes"/>
    <n v="1"/>
  </r>
  <r>
    <n v="21613"/>
    <s v="Single"/>
    <s v="Male"/>
    <n v="50000"/>
    <x v="0"/>
    <n v="2"/>
    <x v="0"/>
    <s v="Skilled Manual"/>
    <s v="No"/>
    <n v="1"/>
    <s v="0-1 Miles"/>
    <x v="2"/>
    <n v="39"/>
    <x v="2"/>
    <s v="Yes"/>
    <n v="1"/>
  </r>
  <r>
    <n v="24801"/>
    <s v="Single"/>
    <s v="Male"/>
    <n v="60000"/>
    <x v="0"/>
    <n v="1"/>
    <x v="4"/>
    <s v="Professional"/>
    <s v="Yes"/>
    <n v="0"/>
    <s v="2-5 Miles"/>
    <x v="2"/>
    <n v="35"/>
    <x v="2"/>
    <s v="Yes"/>
    <n v="1"/>
  </r>
  <r>
    <n v="17519"/>
    <s v="Married"/>
    <s v="Female"/>
    <n v="60000"/>
    <x v="0"/>
    <n v="0"/>
    <x v="1"/>
    <s v="Professional"/>
    <s v="Yes"/>
    <n v="2"/>
    <s v="5-10 Miles"/>
    <x v="2"/>
    <n v="32"/>
    <x v="2"/>
    <s v="No"/>
    <n v="0"/>
  </r>
  <r>
    <n v="18347"/>
    <s v="Single"/>
    <s v="Female"/>
    <n v="30000"/>
    <x v="0"/>
    <n v="0"/>
    <x v="1"/>
    <s v="Skilled Manual"/>
    <s v="No"/>
    <n v="1"/>
    <s v="1-2 Miles"/>
    <x v="2"/>
    <n v="31"/>
    <x v="2"/>
    <s v="No"/>
    <n v="0"/>
  </r>
  <r>
    <n v="29052"/>
    <s v="Single"/>
    <s v="Male"/>
    <n v="40000"/>
    <x v="0"/>
    <n v="0"/>
    <x v="1"/>
    <s v="Skilled Manual"/>
    <s v="Yes"/>
    <n v="1"/>
    <s v="5-10 Miles"/>
    <x v="2"/>
    <n v="27"/>
    <x v="3"/>
    <s v="No"/>
    <n v="0"/>
  </r>
  <r>
    <n v="11745"/>
    <s v="Married"/>
    <s v="Female"/>
    <n v="60000"/>
    <x v="0"/>
    <n v="1"/>
    <x v="0"/>
    <s v="Professional"/>
    <s v="Yes"/>
    <n v="1"/>
    <s v="0-1 Miles"/>
    <x v="2"/>
    <n v="47"/>
    <x v="0"/>
    <s v="Yes"/>
    <n v="1"/>
  </r>
  <r>
    <n v="19147"/>
    <s v="Married"/>
    <s v="Male"/>
    <n v="40000"/>
    <x v="0"/>
    <n v="0"/>
    <x v="0"/>
    <s v="Professional"/>
    <s v="No"/>
    <n v="1"/>
    <s v="0-1 Miles"/>
    <x v="2"/>
    <n v="42"/>
    <x v="0"/>
    <s v="No"/>
    <n v="0"/>
  </r>
  <r>
    <n v="19217"/>
    <s v="Married"/>
    <s v="Male"/>
    <n v="30000"/>
    <x v="0"/>
    <n v="2"/>
    <x v="2"/>
    <s v="Skilled Manual"/>
    <s v="Yes"/>
    <n v="2"/>
    <s v="1-2 Miles"/>
    <x v="2"/>
    <n v="49"/>
    <x v="0"/>
    <s v="No"/>
    <n v="0"/>
  </r>
  <r>
    <n v="15839"/>
    <s v="Single"/>
    <s v="Male"/>
    <n v="30000"/>
    <x v="0"/>
    <n v="0"/>
    <x v="1"/>
    <s v="Skilled Manual"/>
    <s v="Yes"/>
    <n v="1"/>
    <s v="5-10 Miles"/>
    <x v="2"/>
    <n v="32"/>
    <x v="2"/>
    <s v="No"/>
    <n v="0"/>
  </r>
  <r>
    <n v="13714"/>
    <s v="Married"/>
    <s v="Female"/>
    <n v="20000"/>
    <x v="0"/>
    <n v="2"/>
    <x v="2"/>
    <s v="Manual"/>
    <s v="No"/>
    <n v="2"/>
    <s v="1-2 Miles"/>
    <x v="2"/>
    <n v="53"/>
    <x v="0"/>
    <s v="Yes"/>
    <n v="1"/>
  </r>
  <r>
    <n v="22330"/>
    <s v="Married"/>
    <s v="Male"/>
    <n v="50000"/>
    <x v="0"/>
    <n v="0"/>
    <x v="4"/>
    <s v="Skilled Manual"/>
    <s v="Yes"/>
    <n v="0"/>
    <s v="1-2 Miles"/>
    <x v="2"/>
    <n v="32"/>
    <x v="2"/>
    <s v="Yes"/>
    <n v="1"/>
  </r>
  <r>
    <n v="18783"/>
    <s v="Single"/>
    <s v="Male"/>
    <n v="80000"/>
    <x v="1"/>
    <n v="0"/>
    <x v="0"/>
    <s v="Management"/>
    <s v="No"/>
    <n v="1"/>
    <s v="0-1 Miles"/>
    <x v="2"/>
    <n v="38"/>
    <x v="2"/>
    <s v="Yes"/>
    <n v="1"/>
  </r>
  <r>
    <n v="25041"/>
    <s v="Single"/>
    <s v="Male"/>
    <n v="40000"/>
    <x v="0"/>
    <n v="0"/>
    <x v="2"/>
    <s v="Skilled Manual"/>
    <s v="Yes"/>
    <n v="2"/>
    <s v="5-10 Miles"/>
    <x v="2"/>
    <n v="31"/>
    <x v="2"/>
    <s v="No"/>
    <n v="0"/>
  </r>
  <r>
    <n v="22046"/>
    <s v="Single"/>
    <s v="Female"/>
    <n v="80000"/>
    <x v="1"/>
    <n v="0"/>
    <x v="0"/>
    <s v="Management"/>
    <s v="No"/>
    <n v="1"/>
    <s v="0-1 Miles"/>
    <x v="2"/>
    <n v="38"/>
    <x v="2"/>
    <s v="Yes"/>
    <n v="1"/>
  </r>
  <r>
    <n v="28052"/>
    <s v="Married"/>
    <s v="Male"/>
    <n v="60000"/>
    <x v="0"/>
    <n v="2"/>
    <x v="2"/>
    <s v="Professional"/>
    <s v="Yes"/>
    <n v="2"/>
    <s v="More than 10 Miles"/>
    <x v="2"/>
    <n v="55"/>
    <x v="0"/>
    <s v="No"/>
    <n v="0"/>
  </r>
  <r>
    <n v="26693"/>
    <s v="Married"/>
    <s v="Male"/>
    <n v="70000"/>
    <x v="1"/>
    <n v="3"/>
    <x v="1"/>
    <s v="Professional"/>
    <s v="Yes"/>
    <n v="1"/>
    <s v="5-10 Miles"/>
    <x v="2"/>
    <n v="49"/>
    <x v="0"/>
    <s v="No"/>
    <n v="0"/>
  </r>
  <r>
    <n v="24955"/>
    <s v="Single"/>
    <s v="Male"/>
    <n v="30000"/>
    <x v="0"/>
    <n v="5"/>
    <x v="3"/>
    <s v="Skilled Manual"/>
    <s v="Yes"/>
    <n v="3"/>
    <s v="More than 10 Miles"/>
    <x v="2"/>
    <n v="60"/>
    <x v="1"/>
    <s v="Yes"/>
    <n v="1"/>
  </r>
  <r>
    <n v="26065"/>
    <s v="Single"/>
    <s v="Female"/>
    <n v="110000"/>
    <x v="1"/>
    <n v="3"/>
    <x v="0"/>
    <s v="Management"/>
    <s v="No"/>
    <n v="4"/>
    <s v="1-2 Miles"/>
    <x v="2"/>
    <n v="42"/>
    <x v="0"/>
    <s v="No"/>
    <n v="0"/>
  </r>
  <r>
    <n v="13942"/>
    <s v="Married"/>
    <s v="Male"/>
    <n v="60000"/>
    <x v="0"/>
    <n v="1"/>
    <x v="1"/>
    <s v="Skilled Manual"/>
    <s v="Yes"/>
    <n v="1"/>
    <s v="0-1 Miles"/>
    <x v="2"/>
    <n v="46"/>
    <x v="0"/>
    <s v="No"/>
    <n v="0"/>
  </r>
  <r>
    <n v="11219"/>
    <s v="Married"/>
    <s v="Male"/>
    <n v="60000"/>
    <x v="0"/>
    <n v="2"/>
    <x v="2"/>
    <s v="Professional"/>
    <s v="Yes"/>
    <n v="2"/>
    <s v="More than 10 Miles"/>
    <x v="2"/>
    <n v="55"/>
    <x v="0"/>
    <s v="No"/>
    <n v="0"/>
  </r>
  <r>
    <n v="22118"/>
    <s v="Single"/>
    <s v="Female"/>
    <n v="70000"/>
    <x v="1"/>
    <n v="3"/>
    <x v="4"/>
    <s v="Management"/>
    <s v="Yes"/>
    <n v="2"/>
    <s v="5-10 Miles"/>
    <x v="2"/>
    <n v="53"/>
    <x v="0"/>
    <s v="Yes"/>
    <n v="1"/>
  </r>
  <r>
    <n v="23197"/>
    <s v="Married"/>
    <s v="Male"/>
    <n v="50000"/>
    <x v="0"/>
    <n v="3"/>
    <x v="0"/>
    <s v="Skilled Manual"/>
    <s v="Yes"/>
    <n v="2"/>
    <s v="2-5 Miles"/>
    <x v="2"/>
    <n v="40"/>
    <x v="0"/>
    <s v="No"/>
    <n v="0"/>
  </r>
  <r>
    <n v="14883"/>
    <s v="Married"/>
    <s v="Female"/>
    <n v="30000"/>
    <x v="0"/>
    <n v="1"/>
    <x v="0"/>
    <s v="Skilled Manual"/>
    <s v="Yes"/>
    <n v="1"/>
    <s v="5-10 Miles"/>
    <x v="2"/>
    <n v="53"/>
    <x v="0"/>
    <s v="Yes"/>
    <n v="1"/>
  </r>
  <r>
    <n v="27279"/>
    <s v="Single"/>
    <s v="Female"/>
    <n v="70000"/>
    <x v="1"/>
    <n v="2"/>
    <x v="0"/>
    <s v="Skilled Manual"/>
    <s v="Yes"/>
    <n v="0"/>
    <s v="2-5 Miles"/>
    <x v="2"/>
    <n v="38"/>
    <x v="2"/>
    <s v="Yes"/>
    <n v="1"/>
  </r>
  <r>
    <n v="18322"/>
    <s v="Single"/>
    <s v="Male"/>
    <n v="30000"/>
    <x v="0"/>
    <n v="0"/>
    <x v="3"/>
    <s v="Clerical"/>
    <s v="No"/>
    <n v="2"/>
    <s v="0-1 Miles"/>
    <x v="2"/>
    <n v="26"/>
    <x v="3"/>
    <s v="No"/>
    <n v="0"/>
  </r>
  <r>
    <n v="15879"/>
    <s v="Married"/>
    <s v="Male"/>
    <n v="70000"/>
    <x v="1"/>
    <n v="5"/>
    <x v="0"/>
    <s v="Management"/>
    <s v="Yes"/>
    <n v="2"/>
    <s v="2-5 Miles"/>
    <x v="2"/>
    <n v="61"/>
    <x v="1"/>
    <s v="No"/>
    <n v="0"/>
  </r>
  <r>
    <n v="28278"/>
    <s v="Married"/>
    <s v="Male"/>
    <n v="50000"/>
    <x v="0"/>
    <n v="2"/>
    <x v="4"/>
    <s v="Management"/>
    <s v="Yes"/>
    <n v="2"/>
    <s v="5-10 Miles"/>
    <x v="2"/>
    <n v="71"/>
    <x v="1"/>
    <s v="No"/>
    <n v="0"/>
  </r>
  <r>
    <n v="24416"/>
    <s v="Married"/>
    <s v="Male"/>
    <n v="90000"/>
    <x v="1"/>
    <n v="4"/>
    <x v="2"/>
    <s v="Professional"/>
    <s v="Yes"/>
    <n v="2"/>
    <s v="1-2 Miles"/>
    <x v="2"/>
    <n v="45"/>
    <x v="0"/>
    <s v="No"/>
    <n v="0"/>
  </r>
  <r>
    <n v="28066"/>
    <s v="Married"/>
    <s v="Male"/>
    <n v="80000"/>
    <x v="1"/>
    <n v="2"/>
    <x v="4"/>
    <s v="Professional"/>
    <s v="Yes"/>
    <n v="0"/>
    <s v="0-1 Miles"/>
    <x v="2"/>
    <n v="37"/>
    <x v="2"/>
    <s v="Yes"/>
    <n v="1"/>
  </r>
  <r>
    <n v="11275"/>
    <s v="Married"/>
    <s v="Female"/>
    <n v="80000"/>
    <x v="1"/>
    <n v="4"/>
    <x v="4"/>
    <s v="Management"/>
    <s v="Yes"/>
    <n v="2"/>
    <s v="0-1 Miles"/>
    <x v="2"/>
    <n v="72"/>
    <x v="1"/>
    <s v="Yes"/>
    <n v="1"/>
  </r>
  <r>
    <n v="14872"/>
    <s v="Married"/>
    <s v="Male"/>
    <n v="30000"/>
    <x v="0"/>
    <n v="0"/>
    <x v="4"/>
    <s v="Skilled Manual"/>
    <s v="Yes"/>
    <n v="0"/>
    <s v="0-1 Miles"/>
    <x v="2"/>
    <n v="32"/>
    <x v="2"/>
    <s v="No"/>
    <n v="0"/>
  </r>
  <r>
    <n v="16151"/>
    <s v="Married"/>
    <s v="Female"/>
    <n v="60000"/>
    <x v="0"/>
    <n v="1"/>
    <x v="0"/>
    <s v="Professional"/>
    <s v="Yes"/>
    <n v="1"/>
    <s v="2-5 Miles"/>
    <x v="2"/>
    <n v="48"/>
    <x v="0"/>
    <s v="Yes"/>
    <n v="1"/>
  </r>
  <r>
    <n v="19731"/>
    <s v="Married"/>
    <s v="Male"/>
    <n v="80000"/>
    <x v="1"/>
    <n v="4"/>
    <x v="4"/>
    <s v="Management"/>
    <s v="Yes"/>
    <n v="2"/>
    <s v="5-10 Miles"/>
    <x v="2"/>
    <n v="68"/>
    <x v="1"/>
    <s v="No"/>
    <n v="0"/>
  </r>
  <r>
    <n v="23801"/>
    <s v="Married"/>
    <s v="Female"/>
    <n v="20000"/>
    <x v="0"/>
    <n v="2"/>
    <x v="3"/>
    <s v="Clerical"/>
    <s v="Yes"/>
    <n v="2"/>
    <s v="0-1 Miles"/>
    <x v="2"/>
    <n v="49"/>
    <x v="0"/>
    <s v="No"/>
    <n v="0"/>
  </r>
  <r>
    <n v="11807"/>
    <s v="Married"/>
    <s v="Male"/>
    <n v="70000"/>
    <x v="1"/>
    <n v="3"/>
    <x v="4"/>
    <s v="Professional"/>
    <s v="Yes"/>
    <n v="0"/>
    <s v="2-5 Miles"/>
    <x v="2"/>
    <n v="34"/>
    <x v="2"/>
    <s v="No"/>
    <n v="0"/>
  </r>
  <r>
    <n v="11622"/>
    <s v="Married"/>
    <s v="Male"/>
    <n v="50000"/>
    <x v="0"/>
    <n v="0"/>
    <x v="4"/>
    <s v="Skilled Manual"/>
    <s v="Yes"/>
    <n v="0"/>
    <s v="0-1 Miles"/>
    <x v="2"/>
    <n v="32"/>
    <x v="2"/>
    <s v="No"/>
    <n v="0"/>
  </r>
  <r>
    <n v="26597"/>
    <s v="Single"/>
    <s v="Female"/>
    <n v="60000"/>
    <x v="0"/>
    <n v="4"/>
    <x v="0"/>
    <s v="Skilled Manual"/>
    <s v="No"/>
    <n v="2"/>
    <s v="0-1 Miles"/>
    <x v="2"/>
    <n v="42"/>
    <x v="0"/>
    <s v="No"/>
    <n v="0"/>
  </r>
  <r>
    <n v="27074"/>
    <s v="Married"/>
    <s v="Female"/>
    <n v="70000"/>
    <x v="1"/>
    <n v="1"/>
    <x v="4"/>
    <s v="Skilled Manual"/>
    <s v="Yes"/>
    <n v="0"/>
    <s v="0-1 Miles"/>
    <x v="2"/>
    <n v="35"/>
    <x v="2"/>
    <s v="Yes"/>
    <n v="1"/>
  </r>
  <r>
    <n v="19228"/>
    <s v="Married"/>
    <s v="Female"/>
    <n v="40000"/>
    <x v="0"/>
    <n v="2"/>
    <x v="1"/>
    <s v="Clerical"/>
    <s v="Yes"/>
    <n v="1"/>
    <s v="0-1 Miles"/>
    <x v="2"/>
    <n v="48"/>
    <x v="0"/>
    <s v="No"/>
    <n v="0"/>
  </r>
  <r>
    <n v="13415"/>
    <s v="Single"/>
    <s v="Male"/>
    <n v="100000"/>
    <x v="1"/>
    <n v="1"/>
    <x v="4"/>
    <s v="Management"/>
    <s v="Yes"/>
    <n v="3"/>
    <s v="2-5 Miles"/>
    <x v="2"/>
    <n v="73"/>
    <x v="1"/>
    <s v="Yes"/>
    <n v="1"/>
  </r>
  <r>
    <n v="17000"/>
    <s v="Single"/>
    <s v="Female"/>
    <n v="70000"/>
    <x v="1"/>
    <n v="4"/>
    <x v="0"/>
    <s v="Skilled Manual"/>
    <s v="Yes"/>
    <n v="2"/>
    <s v="2-5 Miles"/>
    <x v="2"/>
    <n v="43"/>
    <x v="0"/>
    <s v="Yes"/>
    <n v="1"/>
  </r>
  <r>
    <n v="14569"/>
    <s v="Married"/>
    <s v="Male"/>
    <n v="60000"/>
    <x v="0"/>
    <n v="1"/>
    <x v="4"/>
    <s v="Professional"/>
    <s v="Yes"/>
    <n v="0"/>
    <s v="0-1 Miles"/>
    <x v="2"/>
    <n v="35"/>
    <x v="2"/>
    <s v="No"/>
    <n v="0"/>
  </r>
  <r>
    <n v="13873"/>
    <s v="Married"/>
    <s v="Male"/>
    <n v="70000"/>
    <x v="1"/>
    <n v="3"/>
    <x v="4"/>
    <s v="Professional"/>
    <s v="Yes"/>
    <n v="0"/>
    <s v="0-1 Miles"/>
    <x v="2"/>
    <n v="35"/>
    <x v="2"/>
    <s v="Yes"/>
    <n v="1"/>
  </r>
  <r>
    <n v="20401"/>
    <s v="Married"/>
    <s v="Female"/>
    <n v="50000"/>
    <x v="0"/>
    <n v="4"/>
    <x v="0"/>
    <s v="Management"/>
    <s v="Yes"/>
    <n v="2"/>
    <s v="1-2 Miles"/>
    <x v="2"/>
    <n v="64"/>
    <x v="1"/>
    <s v="Yes"/>
    <n v="1"/>
  </r>
  <r>
    <n v="21583"/>
    <s v="Married"/>
    <s v="Female"/>
    <n v="50000"/>
    <x v="0"/>
    <n v="1"/>
    <x v="0"/>
    <s v="Skilled Manual"/>
    <s v="Yes"/>
    <n v="0"/>
    <s v="0-1 Miles"/>
    <x v="2"/>
    <n v="34"/>
    <x v="2"/>
    <s v="Yes"/>
    <n v="1"/>
  </r>
  <r>
    <n v="12029"/>
    <s v="Married"/>
    <s v="Male"/>
    <n v="30000"/>
    <x v="0"/>
    <n v="0"/>
    <x v="3"/>
    <s v="Clerical"/>
    <s v="No"/>
    <n v="2"/>
    <s v="0-1 Miles"/>
    <x v="2"/>
    <n v="28"/>
    <x v="3"/>
    <s v="No"/>
    <n v="0"/>
  </r>
  <r>
    <n v="18066"/>
    <s v="Single"/>
    <s v="Male"/>
    <n v="70000"/>
    <x v="1"/>
    <n v="5"/>
    <x v="0"/>
    <s v="Management"/>
    <s v="Yes"/>
    <n v="3"/>
    <s v="More than 10 Miles"/>
    <x v="2"/>
    <n v="60"/>
    <x v="1"/>
    <s v="Yes"/>
    <n v="1"/>
  </r>
  <r>
    <n v="28192"/>
    <s v="Married"/>
    <s v="Female"/>
    <n v="70000"/>
    <x v="1"/>
    <n v="5"/>
    <x v="4"/>
    <s v="Professional"/>
    <s v="Yes"/>
    <n v="3"/>
    <s v="More than 10 Miles"/>
    <x v="2"/>
    <n v="46"/>
    <x v="0"/>
    <s v="No"/>
    <n v="0"/>
  </r>
  <r>
    <n v="16122"/>
    <s v="Married"/>
    <s v="Male"/>
    <n v="40000"/>
    <x v="0"/>
    <n v="4"/>
    <x v="2"/>
    <s v="Skilled Manual"/>
    <s v="Yes"/>
    <n v="2"/>
    <s v="0-1 Miles"/>
    <x v="2"/>
    <n v="44"/>
    <x v="0"/>
    <s v="Yes"/>
    <n v="1"/>
  </r>
  <r>
    <n v="18607"/>
    <s v="Single"/>
    <s v="Female"/>
    <n v="60000"/>
    <x v="0"/>
    <n v="4"/>
    <x v="0"/>
    <s v="Skilled Manual"/>
    <s v="Yes"/>
    <n v="2"/>
    <s v="2-5 Miles"/>
    <x v="2"/>
    <n v="42"/>
    <x v="0"/>
    <s v="Yes"/>
    <n v="1"/>
  </r>
  <r>
    <n v="28858"/>
    <s v="Single"/>
    <s v="Male"/>
    <n v="80000"/>
    <x v="1"/>
    <n v="3"/>
    <x v="0"/>
    <s v="Skilled Manual"/>
    <s v="Yes"/>
    <n v="0"/>
    <s v="2-5 Miles"/>
    <x v="2"/>
    <n v="40"/>
    <x v="0"/>
    <s v="No"/>
    <n v="0"/>
  </r>
  <r>
    <n v="14432"/>
    <s v="Single"/>
    <s v="Male"/>
    <n v="90000"/>
    <x v="1"/>
    <n v="4"/>
    <x v="4"/>
    <s v="Management"/>
    <s v="Yes"/>
    <n v="1"/>
    <s v="5-10 Miles"/>
    <x v="2"/>
    <n v="73"/>
    <x v="1"/>
    <s v="No"/>
    <n v="0"/>
  </r>
  <r>
    <n v="26305"/>
    <s v="Single"/>
    <s v="Female"/>
    <n v="60000"/>
    <x v="0"/>
    <n v="2"/>
    <x v="0"/>
    <s v="Skilled Manual"/>
    <s v="No"/>
    <n v="0"/>
    <s v="0-1 Miles"/>
    <x v="2"/>
    <n v="36"/>
    <x v="2"/>
    <s v="Yes"/>
    <n v="1"/>
  </r>
  <r>
    <n v="22050"/>
    <s v="Single"/>
    <s v="Male"/>
    <n v="90000"/>
    <x v="1"/>
    <n v="4"/>
    <x v="0"/>
    <s v="Management"/>
    <s v="Yes"/>
    <n v="1"/>
    <s v="1-2 Miles"/>
    <x v="2"/>
    <n v="38"/>
    <x v="2"/>
    <s v="Yes"/>
    <n v="1"/>
  </r>
  <r>
    <n v="25394"/>
    <s v="Married"/>
    <s v="Male"/>
    <n v="60000"/>
    <x v="0"/>
    <n v="1"/>
    <x v="4"/>
    <s v="Professional"/>
    <s v="Yes"/>
    <n v="0"/>
    <s v="2-5 Miles"/>
    <x v="2"/>
    <n v="34"/>
    <x v="2"/>
    <s v="Yes"/>
    <n v="1"/>
  </r>
  <r>
    <n v="19747"/>
    <s v="Married"/>
    <s v="Male"/>
    <n v="50000"/>
    <x v="0"/>
    <n v="4"/>
    <x v="0"/>
    <s v="Management"/>
    <s v="Yes"/>
    <n v="2"/>
    <s v="More than 10 Miles"/>
    <x v="2"/>
    <n v="63"/>
    <x v="1"/>
    <s v="No"/>
    <n v="0"/>
  </r>
  <r>
    <n v="23195"/>
    <s v="Single"/>
    <s v="Male"/>
    <n v="50000"/>
    <x v="0"/>
    <n v="3"/>
    <x v="0"/>
    <s v="Skilled Manual"/>
    <s v="Yes"/>
    <n v="2"/>
    <s v="2-5 Miles"/>
    <x v="2"/>
    <n v="41"/>
    <x v="0"/>
    <s v="Yes"/>
    <n v="1"/>
  </r>
  <r>
    <n v="21695"/>
    <s v="Married"/>
    <s v="Male"/>
    <n v="60000"/>
    <x v="0"/>
    <n v="0"/>
    <x v="4"/>
    <s v="Skilled Manual"/>
    <s v="Yes"/>
    <n v="0"/>
    <s v="1-2 Miles"/>
    <x v="2"/>
    <n v="39"/>
    <x v="2"/>
    <s v="Yes"/>
    <n v="1"/>
  </r>
  <r>
    <n v="13934"/>
    <s v="Married"/>
    <s v="Male"/>
    <n v="40000"/>
    <x v="0"/>
    <n v="4"/>
    <x v="2"/>
    <s v="Skilled Manual"/>
    <s v="Yes"/>
    <n v="2"/>
    <s v="2-5 Miles"/>
    <x v="2"/>
    <n v="46"/>
    <x v="0"/>
    <s v="No"/>
    <n v="0"/>
  </r>
  <r>
    <n v="13337"/>
    <s v="Married"/>
    <s v="Female"/>
    <n v="80000"/>
    <x v="1"/>
    <n v="5"/>
    <x v="0"/>
    <s v="Management"/>
    <s v="Yes"/>
    <n v="2"/>
    <s v="5-10 Miles"/>
    <x v="2"/>
    <n v="64"/>
    <x v="1"/>
    <s v="No"/>
    <n v="0"/>
  </r>
  <r>
    <n v="27190"/>
    <s v="Married"/>
    <s v="Female"/>
    <n v="40000"/>
    <x v="0"/>
    <n v="3"/>
    <x v="1"/>
    <s v="Clerical"/>
    <s v="Yes"/>
    <n v="1"/>
    <s v="1-2 Miles"/>
    <x v="2"/>
    <n v="32"/>
    <x v="2"/>
    <s v="No"/>
    <n v="0"/>
  </r>
  <r>
    <n v="28657"/>
    <s v="Single"/>
    <s v="Male"/>
    <n v="60000"/>
    <x v="0"/>
    <n v="2"/>
    <x v="0"/>
    <s v="Skilled Manual"/>
    <s v="Yes"/>
    <n v="0"/>
    <s v="2-5 Miles"/>
    <x v="2"/>
    <n v="36"/>
    <x v="2"/>
    <s v="Yes"/>
    <n v="1"/>
  </r>
  <r>
    <n v="21713"/>
    <s v="Single"/>
    <s v="Male"/>
    <n v="80000"/>
    <x v="1"/>
    <n v="5"/>
    <x v="4"/>
    <s v="Skilled Manual"/>
    <s v="No"/>
    <n v="0"/>
    <s v="0-1 Miles"/>
    <x v="2"/>
    <n v="47"/>
    <x v="0"/>
    <s v="No"/>
    <n v="0"/>
  </r>
  <r>
    <n v="21752"/>
    <s v="Married"/>
    <s v="Male"/>
    <n v="60000"/>
    <x v="0"/>
    <n v="3"/>
    <x v="4"/>
    <s v="Management"/>
    <s v="Yes"/>
    <n v="2"/>
    <s v="More than 10 Miles"/>
    <x v="2"/>
    <n v="64"/>
    <x v="1"/>
    <s v="No"/>
    <n v="0"/>
  </r>
  <r>
    <n v="27273"/>
    <s v="Single"/>
    <s v="Male"/>
    <n v="70000"/>
    <x v="1"/>
    <n v="3"/>
    <x v="4"/>
    <s v="Professional"/>
    <s v="No"/>
    <n v="0"/>
    <s v="0-1 Miles"/>
    <x v="2"/>
    <n v="35"/>
    <x v="2"/>
    <s v="Yes"/>
    <n v="1"/>
  </r>
  <r>
    <n v="22719"/>
    <s v="Single"/>
    <s v="Male"/>
    <n v="110000"/>
    <x v="1"/>
    <n v="3"/>
    <x v="0"/>
    <s v="Management"/>
    <s v="Yes"/>
    <n v="4"/>
    <s v="2-5 Miles"/>
    <x v="2"/>
    <n v="40"/>
    <x v="0"/>
    <s v="Yes"/>
    <n v="1"/>
  </r>
  <r>
    <n v="22042"/>
    <s v="Married"/>
    <s v="Female"/>
    <n v="70000"/>
    <x v="1"/>
    <n v="0"/>
    <x v="1"/>
    <s v="Skilled Manual"/>
    <s v="Yes"/>
    <n v="2"/>
    <s v="5-10 Miles"/>
    <x v="2"/>
    <n v="34"/>
    <x v="2"/>
    <s v="Yes"/>
    <n v="1"/>
  </r>
  <r>
    <n v="21451"/>
    <s v="Married"/>
    <s v="Female"/>
    <n v="40000"/>
    <x v="0"/>
    <n v="4"/>
    <x v="2"/>
    <s v="Professional"/>
    <s v="Yes"/>
    <n v="2"/>
    <s v="More than 10 Miles"/>
    <x v="2"/>
    <n v="61"/>
    <x v="1"/>
    <s v="No"/>
    <n v="0"/>
  </r>
  <r>
    <n v="20754"/>
    <s v="Married"/>
    <s v="Male"/>
    <n v="30000"/>
    <x v="0"/>
    <n v="2"/>
    <x v="2"/>
    <s v="Skilled Manual"/>
    <s v="Yes"/>
    <n v="2"/>
    <s v="1-2 Miles"/>
    <x v="2"/>
    <n v="51"/>
    <x v="0"/>
    <s v="No"/>
    <n v="0"/>
  </r>
  <r>
    <n v="12153"/>
    <s v="Single"/>
    <s v="Female"/>
    <n v="70000"/>
    <x v="1"/>
    <n v="3"/>
    <x v="1"/>
    <s v="Professional"/>
    <s v="Yes"/>
    <n v="1"/>
    <s v="5-10 Miles"/>
    <x v="2"/>
    <n v="49"/>
    <x v="0"/>
    <s v="Yes"/>
    <n v="1"/>
  </r>
  <r>
    <n v="16895"/>
    <s v="Married"/>
    <s v="Female"/>
    <n v="40000"/>
    <x v="0"/>
    <n v="3"/>
    <x v="1"/>
    <s v="Professional"/>
    <s v="No"/>
    <n v="2"/>
    <s v="1-2 Miles"/>
    <x v="2"/>
    <n v="54"/>
    <x v="0"/>
    <s v="Yes"/>
    <n v="1"/>
  </r>
  <r>
    <n v="26728"/>
    <s v="Single"/>
    <s v="Male"/>
    <n v="70000"/>
    <x v="1"/>
    <n v="3"/>
    <x v="4"/>
    <s v="Management"/>
    <s v="No"/>
    <n v="2"/>
    <s v="1-2 Miles"/>
    <x v="2"/>
    <n v="53"/>
    <x v="0"/>
    <s v="Yes"/>
    <n v="1"/>
  </r>
  <r>
    <n v="11090"/>
    <s v="Single"/>
    <s v="Male"/>
    <n v="90000"/>
    <x v="1"/>
    <n v="2"/>
    <x v="1"/>
    <s v="Professional"/>
    <s v="Yes"/>
    <n v="1"/>
    <s v="2-5 Miles"/>
    <x v="2"/>
    <n v="48"/>
    <x v="0"/>
    <s v="Yes"/>
    <n v="1"/>
  </r>
  <r>
    <n v="15862"/>
    <s v="Single"/>
    <s v="Female"/>
    <n v="50000"/>
    <x v="0"/>
    <n v="0"/>
    <x v="4"/>
    <s v="Skilled Manual"/>
    <s v="Yes"/>
    <n v="0"/>
    <s v="1-2 Miles"/>
    <x v="2"/>
    <n v="33"/>
    <x v="2"/>
    <s v="Yes"/>
    <n v="1"/>
  </r>
  <r>
    <n v="26495"/>
    <s v="Single"/>
    <s v="Female"/>
    <n v="40000"/>
    <x v="0"/>
    <n v="2"/>
    <x v="2"/>
    <s v="Professional"/>
    <s v="Yes"/>
    <n v="2"/>
    <s v="More than 10 Miles"/>
    <x v="2"/>
    <n v="57"/>
    <x v="0"/>
    <s v="No"/>
    <n v="0"/>
  </r>
  <r>
    <n v="11823"/>
    <s v="Married"/>
    <s v="Female"/>
    <n v="70000"/>
    <x v="1"/>
    <n v="0"/>
    <x v="4"/>
    <s v="Professional"/>
    <s v="Yes"/>
    <n v="0"/>
    <s v="2-5 Miles"/>
    <x v="2"/>
    <n v="39"/>
    <x v="2"/>
    <s v="No"/>
    <n v="0"/>
  </r>
  <r>
    <n v="23449"/>
    <s v="Married"/>
    <s v="Male"/>
    <n v="60000"/>
    <x v="0"/>
    <n v="2"/>
    <x v="2"/>
    <s v="Professional"/>
    <s v="Yes"/>
    <n v="2"/>
    <s v="5-10 Miles"/>
    <x v="2"/>
    <n v="48"/>
    <x v="0"/>
    <s v="No"/>
    <n v="0"/>
  </r>
  <r>
    <n v="23459"/>
    <s v="Married"/>
    <s v="Male"/>
    <n v="60000"/>
    <x v="0"/>
    <n v="2"/>
    <x v="2"/>
    <s v="Professional"/>
    <s v="Yes"/>
    <n v="2"/>
    <s v="5-10 Miles"/>
    <x v="2"/>
    <n v="50"/>
    <x v="0"/>
    <s v="No"/>
    <n v="0"/>
  </r>
  <r>
    <n v="19543"/>
    <s v="Married"/>
    <s v="Male"/>
    <n v="70000"/>
    <x v="1"/>
    <n v="5"/>
    <x v="4"/>
    <s v="Professional"/>
    <s v="No"/>
    <n v="3"/>
    <s v="More than 10 Miles"/>
    <x v="2"/>
    <n v="47"/>
    <x v="0"/>
    <s v="No"/>
    <n v="0"/>
  </r>
  <r>
    <n v="14914"/>
    <s v="Married"/>
    <s v="Female"/>
    <n v="40000"/>
    <x v="0"/>
    <n v="1"/>
    <x v="1"/>
    <s v="Clerical"/>
    <s v="Yes"/>
    <n v="1"/>
    <s v="1-2 Miles"/>
    <x v="2"/>
    <n v="49"/>
    <x v="0"/>
    <s v="Yes"/>
    <n v="1"/>
  </r>
  <r>
    <n v="12033"/>
    <s v="Single"/>
    <s v="Female"/>
    <n v="40000"/>
    <x v="0"/>
    <n v="0"/>
    <x v="2"/>
    <s v="Skilled Manual"/>
    <s v="No"/>
    <n v="2"/>
    <s v="0-1 Miles"/>
    <x v="2"/>
    <n v="27"/>
    <x v="3"/>
    <s v="Yes"/>
    <n v="1"/>
  </r>
  <r>
    <n v="11941"/>
    <s v="Single"/>
    <s v="Male"/>
    <n v="60000"/>
    <x v="0"/>
    <n v="0"/>
    <x v="1"/>
    <s v="Skilled Manual"/>
    <s v="Yes"/>
    <n v="0"/>
    <s v="5-10 Miles"/>
    <x v="2"/>
    <n v="29"/>
    <x v="3"/>
    <s v="No"/>
    <n v="0"/>
  </r>
  <r>
    <n v="14389"/>
    <s v="Married"/>
    <s v="Male"/>
    <n v="60000"/>
    <x v="0"/>
    <n v="2"/>
    <x v="0"/>
    <s v="Management"/>
    <s v="Yes"/>
    <n v="0"/>
    <s v="2-5 Miles"/>
    <x v="2"/>
    <n v="59"/>
    <x v="0"/>
    <s v="No"/>
    <n v="0"/>
  </r>
  <r>
    <n v="18050"/>
    <s v="Married"/>
    <s v="Female"/>
    <n v="60000"/>
    <x v="0"/>
    <n v="1"/>
    <x v="1"/>
    <s v="Skilled Manual"/>
    <s v="Yes"/>
    <n v="1"/>
    <s v="0-1 Miles"/>
    <x v="2"/>
    <n v="45"/>
    <x v="0"/>
    <s v="Yes"/>
    <n v="1"/>
  </r>
  <r>
    <n v="19856"/>
    <s v="Married"/>
    <s v="Female"/>
    <n v="60000"/>
    <x v="0"/>
    <n v="4"/>
    <x v="0"/>
    <s v="Management"/>
    <s v="Yes"/>
    <n v="2"/>
    <s v="2-5 Miles"/>
    <x v="2"/>
    <n v="60"/>
    <x v="1"/>
    <s v="No"/>
    <n v="0"/>
  </r>
  <r>
    <n v="11663"/>
    <s v="Married"/>
    <s v="Male"/>
    <n v="70000"/>
    <x v="1"/>
    <n v="4"/>
    <x v="4"/>
    <s v="Professional"/>
    <s v="Yes"/>
    <n v="0"/>
    <s v="0-1 Miles"/>
    <x v="2"/>
    <n v="36"/>
    <x v="2"/>
    <s v="Yes"/>
    <n v="1"/>
  </r>
  <r>
    <n v="27740"/>
    <s v="Married"/>
    <s v="Female"/>
    <n v="40000"/>
    <x v="0"/>
    <n v="0"/>
    <x v="2"/>
    <s v="Skilled Manual"/>
    <s v="Yes"/>
    <n v="2"/>
    <s v="5-10 Miles"/>
    <x v="2"/>
    <n v="27"/>
    <x v="3"/>
    <s v="No"/>
    <n v="0"/>
  </r>
  <r>
    <n v="23455"/>
    <s v="Single"/>
    <s v="Male"/>
    <n v="80000"/>
    <x v="1"/>
    <n v="2"/>
    <x v="3"/>
    <s v="Skilled Manual"/>
    <s v="No"/>
    <n v="2"/>
    <s v="1-2 Miles"/>
    <x v="2"/>
    <n v="50"/>
    <x v="0"/>
    <s v="No"/>
    <n v="0"/>
  </r>
  <r>
    <n v="15292"/>
    <s v="Single"/>
    <s v="Female"/>
    <n v="60000"/>
    <x v="0"/>
    <n v="1"/>
    <x v="4"/>
    <s v="Skilled Manual"/>
    <s v="Yes"/>
    <n v="0"/>
    <s v="1-2 Miles"/>
    <x v="2"/>
    <n v="35"/>
    <x v="2"/>
    <s v="No"/>
    <n v="0"/>
  </r>
  <r>
    <n v="21587"/>
    <s v="Married"/>
    <s v="Female"/>
    <n v="60000"/>
    <x v="0"/>
    <n v="1"/>
    <x v="4"/>
    <s v="Skilled Manual"/>
    <s v="Yes"/>
    <n v="0"/>
    <s v="2-5 Miles"/>
    <x v="2"/>
    <n v="34"/>
    <x v="2"/>
    <s v="Yes"/>
    <n v="1"/>
  </r>
  <r>
    <n v="23513"/>
    <s v="Married"/>
    <s v="Female"/>
    <n v="40000"/>
    <x v="0"/>
    <n v="3"/>
    <x v="1"/>
    <s v="Professional"/>
    <s v="Yes"/>
    <n v="2"/>
    <s v="5-10 Miles"/>
    <x v="2"/>
    <n v="54"/>
    <x v="0"/>
    <s v="No"/>
    <n v="0"/>
  </r>
  <r>
    <n v="24322"/>
    <s v="Married"/>
    <s v="Female"/>
    <n v="60000"/>
    <x v="0"/>
    <n v="4"/>
    <x v="0"/>
    <s v="Skilled Manual"/>
    <s v="No"/>
    <n v="2"/>
    <s v="0-1 Miles"/>
    <x v="2"/>
    <n v="42"/>
    <x v="0"/>
    <s v="No"/>
    <n v="0"/>
  </r>
  <r>
    <n v="26298"/>
    <s v="Married"/>
    <s v="Female"/>
    <n v="50000"/>
    <x v="0"/>
    <n v="1"/>
    <x v="0"/>
    <s v="Skilled Manual"/>
    <s v="Yes"/>
    <n v="0"/>
    <s v="2-5 Miles"/>
    <x v="2"/>
    <n v="34"/>
    <x v="2"/>
    <s v="Yes"/>
    <n v="1"/>
  </r>
  <r>
    <n v="25419"/>
    <s v="Single"/>
    <s v="Male"/>
    <n v="50000"/>
    <x v="0"/>
    <n v="2"/>
    <x v="0"/>
    <s v="Skilled Manual"/>
    <s v="No"/>
    <n v="1"/>
    <s v="0-1 Miles"/>
    <x v="2"/>
    <n v="38"/>
    <x v="2"/>
    <s v="Yes"/>
    <n v="1"/>
  </r>
  <r>
    <n v="13343"/>
    <s v="Married"/>
    <s v="Female"/>
    <n v="90000"/>
    <x v="1"/>
    <n v="5"/>
    <x v="0"/>
    <s v="Management"/>
    <s v="Yes"/>
    <n v="2"/>
    <s v="1-2 Miles"/>
    <x v="2"/>
    <n v="63"/>
    <x v="1"/>
    <s v="Yes"/>
    <n v="1"/>
  </r>
  <r>
    <n v="11303"/>
    <s v="Single"/>
    <s v="Female"/>
    <n v="90000"/>
    <x v="1"/>
    <n v="4"/>
    <x v="2"/>
    <s v="Professional"/>
    <s v="No"/>
    <n v="3"/>
    <s v="1-2 Miles"/>
    <x v="2"/>
    <n v="45"/>
    <x v="0"/>
    <s v="Yes"/>
    <n v="1"/>
  </r>
  <r>
    <n v="21693"/>
    <s v="Single"/>
    <s v="Female"/>
    <n v="60000"/>
    <x v="0"/>
    <n v="0"/>
    <x v="4"/>
    <s v="Skilled Manual"/>
    <s v="No"/>
    <n v="0"/>
    <s v="0-1 Miles"/>
    <x v="2"/>
    <n v="40"/>
    <x v="0"/>
    <s v="No"/>
    <n v="0"/>
  </r>
  <r>
    <n v="28056"/>
    <s v="Married"/>
    <s v="Male"/>
    <n v="70000"/>
    <x v="1"/>
    <n v="2"/>
    <x v="3"/>
    <s v="Skilled Manual"/>
    <s v="Yes"/>
    <n v="2"/>
    <s v="More than 10 Miles"/>
    <x v="2"/>
    <n v="53"/>
    <x v="0"/>
    <s v="No"/>
    <n v="0"/>
  </r>
  <r>
    <n v="11788"/>
    <s v="Single"/>
    <s v="Female"/>
    <n v="70000"/>
    <x v="1"/>
    <n v="1"/>
    <x v="4"/>
    <s v="Professional"/>
    <s v="Yes"/>
    <n v="0"/>
    <s v="2-5 Miles"/>
    <x v="2"/>
    <n v="34"/>
    <x v="2"/>
    <s v="No"/>
    <n v="0"/>
  </r>
  <r>
    <n v="22296"/>
    <s v="Married"/>
    <s v="Male"/>
    <n v="70000"/>
    <x v="1"/>
    <n v="0"/>
    <x v="0"/>
    <s v="Professional"/>
    <s v="No"/>
    <n v="1"/>
    <s v="0-1 Miles"/>
    <x v="2"/>
    <n v="38"/>
    <x v="2"/>
    <s v="No"/>
    <n v="0"/>
  </r>
  <r>
    <n v="15319"/>
    <s v="Married"/>
    <s v="Female"/>
    <n v="70000"/>
    <x v="1"/>
    <n v="4"/>
    <x v="0"/>
    <s v="Management"/>
    <s v="No"/>
    <n v="1"/>
    <s v="1-2 Miles"/>
    <x v="2"/>
    <n v="59"/>
    <x v="0"/>
    <s v="No"/>
    <n v="0"/>
  </r>
  <r>
    <n v="17654"/>
    <s v="Single"/>
    <s v="Female"/>
    <n v="40000"/>
    <x v="0"/>
    <n v="3"/>
    <x v="1"/>
    <s v="Clerical"/>
    <s v="Yes"/>
    <n v="1"/>
    <s v="1-2 Miles"/>
    <x v="2"/>
    <n v="30"/>
    <x v="2"/>
    <s v="Yes"/>
    <n v="1"/>
  </r>
  <r>
    <n v="14662"/>
    <s v="Married"/>
    <s v="Male"/>
    <n v="60000"/>
    <x v="0"/>
    <n v="1"/>
    <x v="0"/>
    <s v="Professional"/>
    <s v="Yes"/>
    <n v="1"/>
    <s v="0-1 Miles"/>
    <x v="2"/>
    <n v="48"/>
    <x v="0"/>
    <s v="Yes"/>
    <n v="1"/>
  </r>
  <r>
    <n v="17541"/>
    <s v="Married"/>
    <s v="Female"/>
    <n v="40000"/>
    <x v="0"/>
    <n v="4"/>
    <x v="2"/>
    <s v="Skilled Manual"/>
    <s v="Yes"/>
    <n v="2"/>
    <s v="2-5 Miles"/>
    <x v="2"/>
    <n v="43"/>
    <x v="0"/>
    <s v="No"/>
    <n v="0"/>
  </r>
  <r>
    <n v="13886"/>
    <s v="Married"/>
    <s v="Female"/>
    <n v="70000"/>
    <x v="1"/>
    <n v="4"/>
    <x v="4"/>
    <s v="Professional"/>
    <s v="Yes"/>
    <n v="0"/>
    <s v="2-5 Miles"/>
    <x v="2"/>
    <n v="35"/>
    <x v="2"/>
    <s v="Yes"/>
    <n v="1"/>
  </r>
  <r>
    <n v="13073"/>
    <s v="Married"/>
    <s v="Female"/>
    <n v="60000"/>
    <x v="0"/>
    <n v="0"/>
    <x v="1"/>
    <s v="Professional"/>
    <s v="Yes"/>
    <n v="2"/>
    <s v="5-10 Miles"/>
    <x v="2"/>
    <n v="30"/>
    <x v="2"/>
    <s v="No"/>
    <n v="0"/>
  </r>
  <r>
    <n v="21940"/>
    <s v="Married"/>
    <s v="Male"/>
    <n v="90000"/>
    <x v="1"/>
    <n v="5"/>
    <x v="4"/>
    <s v="Professional"/>
    <s v="Yes"/>
    <n v="0"/>
    <s v="0-1 Miles"/>
    <x v="2"/>
    <n v="47"/>
    <x v="0"/>
    <s v="Yes"/>
    <n v="1"/>
  </r>
  <r>
    <n v="20196"/>
    <s v="Married"/>
    <s v="Male"/>
    <n v="60000"/>
    <x v="0"/>
    <n v="1"/>
    <x v="1"/>
    <s v="Skilled Manual"/>
    <s v="Yes"/>
    <n v="1"/>
    <s v="2-5 Miles"/>
    <x v="2"/>
    <n v="45"/>
    <x v="0"/>
    <s v="Yes"/>
    <n v="1"/>
  </r>
  <r>
    <n v="23491"/>
    <s v="Single"/>
    <s v="Male"/>
    <n v="100000"/>
    <x v="1"/>
    <n v="0"/>
    <x v="1"/>
    <s v="Professional"/>
    <s v="No"/>
    <n v="4"/>
    <s v="1-2 Miles"/>
    <x v="2"/>
    <n v="45"/>
    <x v="0"/>
    <s v="No"/>
    <n v="0"/>
  </r>
  <r>
    <n v="16651"/>
    <s v="Married"/>
    <s v="Female"/>
    <n v="120000"/>
    <x v="1"/>
    <n v="2"/>
    <x v="0"/>
    <s v="Management"/>
    <s v="Yes"/>
    <n v="3"/>
    <s v="5-10 Miles"/>
    <x v="2"/>
    <n v="62"/>
    <x v="1"/>
    <s v="No"/>
    <n v="0"/>
  </r>
  <r>
    <n v="16813"/>
    <s v="Married"/>
    <s v="Male"/>
    <n v="60000"/>
    <x v="0"/>
    <n v="2"/>
    <x v="1"/>
    <s v="Professional"/>
    <s v="Yes"/>
    <n v="2"/>
    <s v="More than 10 Miles"/>
    <x v="2"/>
    <n v="55"/>
    <x v="0"/>
    <s v="No"/>
    <n v="0"/>
  </r>
  <r>
    <n v="16007"/>
    <s v="Married"/>
    <s v="Female"/>
    <n v="90000"/>
    <x v="1"/>
    <n v="5"/>
    <x v="0"/>
    <s v="Management"/>
    <s v="Yes"/>
    <n v="2"/>
    <s v="1-2 Miles"/>
    <x v="2"/>
    <n v="66"/>
    <x v="1"/>
    <s v="Yes"/>
    <n v="1"/>
  </r>
  <r>
    <n v="27434"/>
    <s v="Single"/>
    <s v="Male"/>
    <n v="70000"/>
    <x v="1"/>
    <n v="4"/>
    <x v="1"/>
    <s v="Professional"/>
    <s v="Yes"/>
    <n v="1"/>
    <s v="More than 10 Miles"/>
    <x v="2"/>
    <n v="56"/>
    <x v="0"/>
    <s v="No"/>
    <n v="0"/>
  </r>
  <r>
    <n v="27756"/>
    <s v="Single"/>
    <s v="Female"/>
    <n v="50000"/>
    <x v="0"/>
    <n v="3"/>
    <x v="0"/>
    <s v="Skilled Manual"/>
    <s v="No"/>
    <n v="1"/>
    <s v="0-1 Miles"/>
    <x v="2"/>
    <n v="40"/>
    <x v="0"/>
    <s v="No"/>
    <n v="0"/>
  </r>
  <r>
    <n v="23818"/>
    <s v="Married"/>
    <s v="Female"/>
    <n v="50000"/>
    <x v="0"/>
    <n v="0"/>
    <x v="4"/>
    <s v="Skilled Manual"/>
    <s v="Yes"/>
    <n v="0"/>
    <s v="1-2 Miles"/>
    <x v="2"/>
    <n v="33"/>
    <x v="2"/>
    <s v="Yes"/>
    <n v="1"/>
  </r>
  <r>
    <n v="19012"/>
    <s v="Married"/>
    <s v="Male"/>
    <n v="80000"/>
    <x v="1"/>
    <n v="3"/>
    <x v="0"/>
    <s v="Management"/>
    <s v="Yes"/>
    <n v="1"/>
    <s v="1-2 Miles"/>
    <x v="2"/>
    <n v="56"/>
    <x v="0"/>
    <s v="No"/>
    <n v="0"/>
  </r>
  <r>
    <n v="18329"/>
    <s v="Single"/>
    <s v="Male"/>
    <n v="30000"/>
    <x v="0"/>
    <n v="0"/>
    <x v="3"/>
    <s v="Clerical"/>
    <s v="No"/>
    <n v="2"/>
    <s v="5-10 Miles"/>
    <x v="2"/>
    <n v="27"/>
    <x v="3"/>
    <s v="No"/>
    <n v="0"/>
  </r>
  <r>
    <n v="29037"/>
    <s v="Married"/>
    <s v="Male"/>
    <n v="60000"/>
    <x v="0"/>
    <n v="0"/>
    <x v="4"/>
    <s v="Professional"/>
    <s v="No"/>
    <n v="0"/>
    <s v="0-1 Miles"/>
    <x v="2"/>
    <n v="39"/>
    <x v="2"/>
    <s v="No"/>
    <n v="0"/>
  </r>
  <r>
    <n v="26576"/>
    <s v="Married"/>
    <s v="Female"/>
    <n v="60000"/>
    <x v="0"/>
    <n v="0"/>
    <x v="1"/>
    <s v="Skilled Manual"/>
    <s v="Yes"/>
    <n v="2"/>
    <s v="5-10 Miles"/>
    <x v="2"/>
    <n v="31"/>
    <x v="2"/>
    <s v="No"/>
    <n v="0"/>
  </r>
  <r>
    <n v="12192"/>
    <s v="Single"/>
    <s v="Female"/>
    <n v="60000"/>
    <x v="0"/>
    <n v="2"/>
    <x v="3"/>
    <s v="Skilled Manual"/>
    <s v="No"/>
    <n v="2"/>
    <s v="1-2 Miles"/>
    <x v="2"/>
    <n v="51"/>
    <x v="0"/>
    <s v="No"/>
    <n v="0"/>
  </r>
  <r>
    <n v="14887"/>
    <s v="Married"/>
    <s v="Female"/>
    <n v="30000"/>
    <x v="0"/>
    <n v="1"/>
    <x v="2"/>
    <s v="Clerical"/>
    <s v="Yes"/>
    <n v="1"/>
    <s v="5-10 Miles"/>
    <x v="2"/>
    <n v="52"/>
    <x v="0"/>
    <s v="No"/>
    <n v="0"/>
  </r>
  <r>
    <n v="11734"/>
    <s v="Married"/>
    <s v="Male"/>
    <n v="60000"/>
    <x v="0"/>
    <n v="1"/>
    <x v="1"/>
    <s v="Skilled Manual"/>
    <s v="No"/>
    <n v="1"/>
    <s v="0-1 Miles"/>
    <x v="2"/>
    <n v="47"/>
    <x v="0"/>
    <s v="No"/>
    <n v="0"/>
  </r>
  <r>
    <n v="17462"/>
    <s v="Married"/>
    <s v="Male"/>
    <n v="70000"/>
    <x v="1"/>
    <n v="3"/>
    <x v="4"/>
    <s v="Management"/>
    <s v="Yes"/>
    <n v="2"/>
    <s v="5-10 Miles"/>
    <x v="2"/>
    <n v="53"/>
    <x v="0"/>
    <s v="Yes"/>
    <n v="1"/>
  </r>
  <r>
    <n v="20659"/>
    <s v="Married"/>
    <s v="Male"/>
    <n v="70000"/>
    <x v="1"/>
    <n v="3"/>
    <x v="4"/>
    <s v="Professional"/>
    <s v="Yes"/>
    <n v="0"/>
    <s v="0-1 Miles"/>
    <x v="2"/>
    <n v="35"/>
    <x v="2"/>
    <s v="Yes"/>
    <n v="1"/>
  </r>
  <r>
    <n v="28004"/>
    <s v="Married"/>
    <s v="Female"/>
    <n v="60000"/>
    <x v="0"/>
    <n v="3"/>
    <x v="0"/>
    <s v="Management"/>
    <s v="Yes"/>
    <n v="2"/>
    <s v="More than 10 Miles"/>
    <x v="2"/>
    <n v="66"/>
    <x v="1"/>
    <s v="No"/>
    <n v="0"/>
  </r>
  <r>
    <n v="19741"/>
    <s v="Single"/>
    <s v="Female"/>
    <n v="80000"/>
    <x v="1"/>
    <n v="4"/>
    <x v="4"/>
    <s v="Management"/>
    <s v="Yes"/>
    <n v="2"/>
    <s v="5-10 Miles"/>
    <x v="2"/>
    <n v="65"/>
    <x v="1"/>
    <s v="No"/>
    <n v="0"/>
  </r>
  <r>
    <n v="17450"/>
    <s v="Married"/>
    <s v="Male"/>
    <n v="80000"/>
    <x v="1"/>
    <n v="5"/>
    <x v="1"/>
    <s v="Professional"/>
    <s v="Yes"/>
    <n v="3"/>
    <s v="5-10 Miles"/>
    <x v="2"/>
    <n v="45"/>
    <x v="0"/>
    <s v="No"/>
    <n v="0"/>
  </r>
  <r>
    <n v="17337"/>
    <s v="Single"/>
    <s v="Male"/>
    <n v="40000"/>
    <x v="0"/>
    <n v="0"/>
    <x v="2"/>
    <s v="Skilled Manual"/>
    <s v="Yes"/>
    <n v="1"/>
    <s v="5-10 Miles"/>
    <x v="2"/>
    <n v="31"/>
    <x v="2"/>
    <s v="No"/>
    <n v="0"/>
  </r>
  <r>
    <n v="18594"/>
    <s v="Single"/>
    <s v="Female"/>
    <n v="80000"/>
    <x v="1"/>
    <n v="3"/>
    <x v="0"/>
    <s v="Skilled Manual"/>
    <s v="Yes"/>
    <n v="3"/>
    <s v="More than 10 Miles"/>
    <x v="2"/>
    <n v="40"/>
    <x v="0"/>
    <s v="Yes"/>
    <n v="1"/>
  </r>
  <r>
    <n v="15982"/>
    <s v="Married"/>
    <s v="Male"/>
    <n v="110000"/>
    <x v="1"/>
    <n v="5"/>
    <x v="1"/>
    <s v="Professional"/>
    <s v="Yes"/>
    <n v="4"/>
    <s v="2-5 Miles"/>
    <x v="2"/>
    <n v="46"/>
    <x v="0"/>
    <s v="No"/>
    <n v="0"/>
  </r>
  <r>
    <n v="28625"/>
    <s v="Single"/>
    <s v="Male"/>
    <n v="40000"/>
    <x v="0"/>
    <n v="2"/>
    <x v="1"/>
    <s v="Clerical"/>
    <s v="No"/>
    <n v="1"/>
    <s v="1-2 Miles"/>
    <x v="2"/>
    <n v="47"/>
    <x v="0"/>
    <s v="Yes"/>
    <n v="1"/>
  </r>
  <r>
    <n v="11269"/>
    <s v="Married"/>
    <s v="Male"/>
    <n v="130000"/>
    <x v="2"/>
    <n v="2"/>
    <x v="4"/>
    <s v="Management"/>
    <s v="Yes"/>
    <n v="2"/>
    <s v="0-1 Miles"/>
    <x v="2"/>
    <n v="41"/>
    <x v="0"/>
    <s v="No"/>
    <n v="0"/>
  </r>
  <r>
    <n v="25148"/>
    <s v="Married"/>
    <s v="Male"/>
    <n v="60000"/>
    <x v="0"/>
    <n v="2"/>
    <x v="2"/>
    <s v="Professional"/>
    <s v="No"/>
    <n v="2"/>
    <s v="1-2 Miles"/>
    <x v="2"/>
    <n v="48"/>
    <x v="0"/>
    <s v="Yes"/>
    <n v="1"/>
  </r>
  <r>
    <n v="13920"/>
    <s v="Single"/>
    <s v="Female"/>
    <n v="50000"/>
    <x v="0"/>
    <n v="4"/>
    <x v="0"/>
    <s v="Skilled Manual"/>
    <s v="Yes"/>
    <n v="2"/>
    <s v="0-1 Miles"/>
    <x v="2"/>
    <n v="42"/>
    <x v="0"/>
    <s v="No"/>
    <n v="0"/>
  </r>
  <r>
    <n v="23704"/>
    <s v="Single"/>
    <s v="Male"/>
    <n v="40000"/>
    <x v="0"/>
    <n v="5"/>
    <x v="2"/>
    <s v="Professional"/>
    <s v="Yes"/>
    <n v="4"/>
    <s v="More than 10 Miles"/>
    <x v="2"/>
    <n v="60"/>
    <x v="1"/>
    <s v="Yes"/>
    <n v="1"/>
  </r>
  <r>
    <n v="28972"/>
    <s v="Single"/>
    <s v="Female"/>
    <n v="60000"/>
    <x v="0"/>
    <n v="3"/>
    <x v="4"/>
    <s v="Management"/>
    <s v="Yes"/>
    <n v="2"/>
    <s v="More than 10 Miles"/>
    <x v="2"/>
    <n v="66"/>
    <x v="1"/>
    <s v="No"/>
    <n v="0"/>
  </r>
  <r>
    <n v="22730"/>
    <s v="Married"/>
    <s v="Male"/>
    <n v="70000"/>
    <x v="1"/>
    <n v="5"/>
    <x v="0"/>
    <s v="Management"/>
    <s v="Yes"/>
    <n v="2"/>
    <s v="More than 10 Miles"/>
    <x v="2"/>
    <n v="63"/>
    <x v="1"/>
    <s v="No"/>
    <n v="0"/>
  </r>
  <r>
    <n v="29134"/>
    <s v="Married"/>
    <s v="Male"/>
    <n v="60000"/>
    <x v="0"/>
    <n v="4"/>
    <x v="0"/>
    <s v="Skilled Manual"/>
    <s v="No"/>
    <n v="3"/>
    <s v="More than 10 Miles"/>
    <x v="2"/>
    <n v="42"/>
    <x v="0"/>
    <s v="No"/>
    <n v="0"/>
  </r>
  <r>
    <n v="14332"/>
    <s v="Single"/>
    <s v="Female"/>
    <n v="30000"/>
    <x v="0"/>
    <n v="0"/>
    <x v="2"/>
    <s v="Skilled Manual"/>
    <s v="No"/>
    <n v="2"/>
    <s v="5-10 Miles"/>
    <x v="2"/>
    <n v="26"/>
    <x v="3"/>
    <s v="No"/>
    <n v="0"/>
  </r>
  <r>
    <n v="19117"/>
    <s v="Single"/>
    <s v="Female"/>
    <n v="60000"/>
    <x v="0"/>
    <n v="1"/>
    <x v="4"/>
    <s v="Professional"/>
    <s v="Yes"/>
    <n v="0"/>
    <s v="2-5 Miles"/>
    <x v="2"/>
    <n v="36"/>
    <x v="2"/>
    <s v="Yes"/>
    <n v="1"/>
  </r>
  <r>
    <n v="22864"/>
    <s v="Married"/>
    <s v="Male"/>
    <n v="90000"/>
    <x v="1"/>
    <n v="2"/>
    <x v="1"/>
    <s v="Professional"/>
    <s v="No"/>
    <n v="0"/>
    <s v="5-10 Miles"/>
    <x v="2"/>
    <n v="49"/>
    <x v="0"/>
    <s v="Yes"/>
    <n v="1"/>
  </r>
  <r>
    <n v="11292"/>
    <s v="Single"/>
    <s v="Male"/>
    <n v="150000"/>
    <x v="2"/>
    <n v="1"/>
    <x v="1"/>
    <s v="Professional"/>
    <s v="No"/>
    <n v="3"/>
    <s v="0-1 Miles"/>
    <x v="2"/>
    <n v="44"/>
    <x v="0"/>
    <s v="Yes"/>
    <n v="1"/>
  </r>
  <r>
    <n v="13466"/>
    <s v="Married"/>
    <s v="Male"/>
    <n v="80000"/>
    <x v="1"/>
    <n v="5"/>
    <x v="1"/>
    <s v="Professional"/>
    <s v="Yes"/>
    <n v="3"/>
    <s v="1-2 Miles"/>
    <x v="2"/>
    <n v="46"/>
    <x v="0"/>
    <s v="No"/>
    <n v="0"/>
  </r>
  <r>
    <n v="23731"/>
    <s v="Married"/>
    <s v="Male"/>
    <n v="60000"/>
    <x v="0"/>
    <n v="2"/>
    <x v="2"/>
    <s v="Professional"/>
    <s v="Yes"/>
    <n v="2"/>
    <s v="2-5 Miles"/>
    <x v="2"/>
    <n v="54"/>
    <x v="0"/>
    <s v="Yes"/>
    <n v="1"/>
  </r>
  <r>
    <n v="28672"/>
    <s v="Single"/>
    <s v="Male"/>
    <n v="70000"/>
    <x v="1"/>
    <n v="4"/>
    <x v="4"/>
    <s v="Professional"/>
    <s v="Yes"/>
    <n v="0"/>
    <s v="2-5 Miles"/>
    <x v="2"/>
    <n v="35"/>
    <x v="2"/>
    <s v="Yes"/>
    <n v="1"/>
  </r>
  <r>
    <n v="11809"/>
    <s v="Married"/>
    <s v="Male"/>
    <n v="60000"/>
    <x v="0"/>
    <n v="2"/>
    <x v="0"/>
    <s v="Skilled Manual"/>
    <s v="Yes"/>
    <n v="0"/>
    <s v="0-1 Miles"/>
    <x v="2"/>
    <n v="38"/>
    <x v="2"/>
    <s v="Yes"/>
    <n v="1"/>
  </r>
  <r>
    <n v="19664"/>
    <s v="Single"/>
    <s v="Male"/>
    <n v="100000"/>
    <x v="1"/>
    <n v="3"/>
    <x v="0"/>
    <s v="Management"/>
    <s v="No"/>
    <n v="3"/>
    <s v="1-2 Miles"/>
    <x v="2"/>
    <n v="38"/>
    <x v="2"/>
    <s v="No"/>
    <n v="0"/>
  </r>
  <r>
    <n v="12121"/>
    <s v="Single"/>
    <s v="Male"/>
    <n v="60000"/>
    <x v="0"/>
    <n v="3"/>
    <x v="2"/>
    <s v="Professional"/>
    <s v="Yes"/>
    <n v="2"/>
    <s v="More than 10 Miles"/>
    <x v="2"/>
    <n v="53"/>
    <x v="0"/>
    <s v="Yes"/>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x v="0"/>
    <n v="1"/>
    <s v="Bachelors"/>
    <s v="Skilled Manual"/>
    <s v="Yes"/>
    <n v="0"/>
    <s v="0-1 Miles"/>
    <s v="Europe"/>
    <n v="42"/>
    <s v="Middle-Aged"/>
    <x v="0"/>
    <n v="0"/>
  </r>
  <r>
    <n v="24107"/>
    <s v="Married"/>
    <s v="Male"/>
    <n v="30000"/>
    <x v="0"/>
    <n v="3"/>
    <s v="Partial College"/>
    <s v="Clerical"/>
    <s v="Yes"/>
    <n v="1"/>
    <s v="0-1 Miles"/>
    <s v="Europe"/>
    <n v="43"/>
    <s v="Middle-Aged"/>
    <x v="0"/>
    <n v="0"/>
  </r>
  <r>
    <n v="14177"/>
    <s v="Married"/>
    <s v="Male"/>
    <n v="80000"/>
    <x v="1"/>
    <n v="5"/>
    <s v="Partial College"/>
    <s v="Professional"/>
    <s v="No"/>
    <n v="2"/>
    <s v="2-5 Miles"/>
    <s v="Europe"/>
    <n v="60"/>
    <s v="Seniors"/>
    <x v="0"/>
    <n v="0"/>
  </r>
  <r>
    <n v="24381"/>
    <s v="Single"/>
    <s v="Male"/>
    <n v="70000"/>
    <x v="1"/>
    <n v="0"/>
    <s v="Bachelors"/>
    <s v="Professional"/>
    <s v="Yes"/>
    <n v="1"/>
    <s v="5-10 Miles"/>
    <s v="Pacific"/>
    <n v="41"/>
    <s v="Middle-Aged"/>
    <x v="1"/>
    <n v="1"/>
  </r>
  <r>
    <n v="25597"/>
    <s v="Single"/>
    <s v="Male"/>
    <n v="30000"/>
    <x v="0"/>
    <n v="0"/>
    <s v="Bachelors"/>
    <s v="Clerical"/>
    <s v="No"/>
    <n v="0"/>
    <s v="0-1 Miles"/>
    <s v="Europe"/>
    <n v="36"/>
    <s v="Adults"/>
    <x v="1"/>
    <n v="1"/>
  </r>
  <r>
    <n v="13507"/>
    <s v="Married"/>
    <s v="Female"/>
    <n v="10000"/>
    <x v="0"/>
    <n v="2"/>
    <s v="Partial College"/>
    <s v="Manual"/>
    <s v="Yes"/>
    <n v="0"/>
    <s v="1-2 Miles"/>
    <s v="Europe"/>
    <n v="50"/>
    <s v="Middle-Aged"/>
    <x v="0"/>
    <n v="0"/>
  </r>
  <r>
    <n v="27974"/>
    <s v="Single"/>
    <s v="Male"/>
    <n v="160000"/>
    <x v="2"/>
    <n v="2"/>
    <s v="High School"/>
    <s v="Management"/>
    <s v="Yes"/>
    <n v="4"/>
    <s v="0-1 Miles"/>
    <s v="Pacific"/>
    <n v="33"/>
    <s v="Adults"/>
    <x v="1"/>
    <n v="1"/>
  </r>
  <r>
    <n v="19364"/>
    <s v="Married"/>
    <s v="Male"/>
    <n v="40000"/>
    <x v="0"/>
    <n v="1"/>
    <s v="Bachelors"/>
    <s v="Skilled Manual"/>
    <s v="Yes"/>
    <n v="0"/>
    <s v="0-1 Miles"/>
    <s v="Europe"/>
    <n v="43"/>
    <s v="Middle-Aged"/>
    <x v="1"/>
    <n v="1"/>
  </r>
  <r>
    <n v="22155"/>
    <s v="Married"/>
    <s v="Male"/>
    <n v="20000"/>
    <x v="0"/>
    <n v="2"/>
    <s v="Partial High School"/>
    <s v="Clerical"/>
    <s v="Yes"/>
    <n v="2"/>
    <s v="5-10 Miles"/>
    <s v="Pacific"/>
    <n v="58"/>
    <s v="Middle-Aged"/>
    <x v="0"/>
    <n v="0"/>
  </r>
  <r>
    <n v="19280"/>
    <s v="Married"/>
    <s v="Male"/>
    <n v="120000"/>
    <x v="1"/>
    <n v="2"/>
    <s v="Partial College"/>
    <s v="Manual"/>
    <s v="Yes"/>
    <n v="1"/>
    <s v="0-1 Miles"/>
    <s v="Europe"/>
    <n v="40"/>
    <s v="Middle-Aged"/>
    <x v="1"/>
    <n v="1"/>
  </r>
  <r>
    <n v="22173"/>
    <s v="Married"/>
    <s v="Female"/>
    <n v="30000"/>
    <x v="0"/>
    <n v="3"/>
    <s v="High School"/>
    <s v="Skilled Manual"/>
    <s v="No"/>
    <n v="2"/>
    <s v="1-2 Miles"/>
    <s v="Pacific"/>
    <n v="54"/>
    <s v="Middle-Aged"/>
    <x v="1"/>
    <n v="1"/>
  </r>
  <r>
    <n v="12697"/>
    <s v="Single"/>
    <s v="Female"/>
    <n v="90000"/>
    <x v="1"/>
    <n v="0"/>
    <s v="Bachelors"/>
    <s v="Professional"/>
    <s v="No"/>
    <n v="4"/>
    <s v="More than 10 Miles"/>
    <s v="Pacific"/>
    <n v="36"/>
    <s v="Adults"/>
    <x v="0"/>
    <n v="0"/>
  </r>
  <r>
    <n v="11434"/>
    <s v="Married"/>
    <s v="Male"/>
    <n v="170000"/>
    <x v="2"/>
    <n v="5"/>
    <s v="Partial College"/>
    <s v="Professional"/>
    <s v="Yes"/>
    <n v="0"/>
    <s v="0-1 Miles"/>
    <s v="Europe"/>
    <n v="55"/>
    <s v="Middle-Aged"/>
    <x v="0"/>
    <n v="0"/>
  </r>
  <r>
    <n v="25323"/>
    <s v="Married"/>
    <s v="Male"/>
    <n v="40000"/>
    <x v="0"/>
    <n v="2"/>
    <s v="Partial College"/>
    <s v="Clerical"/>
    <s v="Yes"/>
    <n v="1"/>
    <s v="1-2 Miles"/>
    <s v="Europe"/>
    <n v="35"/>
    <s v="Adults"/>
    <x v="1"/>
    <n v="1"/>
  </r>
  <r>
    <n v="23542"/>
    <s v="Single"/>
    <s v="Male"/>
    <n v="60000"/>
    <x v="0"/>
    <n v="1"/>
    <s v="Partial College"/>
    <s v="Skilled Manual"/>
    <s v="No"/>
    <n v="1"/>
    <s v="0-1 Miles"/>
    <s v="Pacific"/>
    <n v="45"/>
    <s v="Middle-Aged"/>
    <x v="1"/>
    <n v="1"/>
  </r>
  <r>
    <n v="20870"/>
    <s v="Single"/>
    <s v="Female"/>
    <n v="10000"/>
    <x v="0"/>
    <n v="2"/>
    <s v="High School"/>
    <s v="Manual"/>
    <s v="Yes"/>
    <n v="1"/>
    <s v="0-1 Miles"/>
    <s v="Europe"/>
    <n v="38"/>
    <s v="Adults"/>
    <x v="1"/>
    <n v="1"/>
  </r>
  <r>
    <n v="23316"/>
    <s v="Single"/>
    <s v="Male"/>
    <n v="30000"/>
    <x v="0"/>
    <n v="3"/>
    <s v="Partial College"/>
    <s v="Clerical"/>
    <s v="No"/>
    <n v="2"/>
    <s v="1-2 Miles"/>
    <s v="Pacific"/>
    <n v="59"/>
    <s v="Middle-Aged"/>
    <x v="1"/>
    <n v="1"/>
  </r>
  <r>
    <n v="12610"/>
    <s v="Married"/>
    <s v="Female"/>
    <n v="30000"/>
    <x v="0"/>
    <n v="1"/>
    <s v="Bachelors"/>
    <s v="Clerical"/>
    <s v="Yes"/>
    <n v="0"/>
    <s v="0-1 Miles"/>
    <s v="Europe"/>
    <n v="47"/>
    <s v="Middle-Aged"/>
    <x v="0"/>
    <n v="0"/>
  </r>
  <r>
    <n v="27183"/>
    <s v="Single"/>
    <s v="Male"/>
    <n v="40000"/>
    <x v="0"/>
    <n v="2"/>
    <s v="Partial College"/>
    <s v="Clerical"/>
    <s v="Yes"/>
    <n v="1"/>
    <s v="1-2 Miles"/>
    <s v="Europe"/>
    <n v="35"/>
    <s v="Adults"/>
    <x v="1"/>
    <n v="1"/>
  </r>
  <r>
    <n v="25940"/>
    <s v="Single"/>
    <s v="Male"/>
    <n v="20000"/>
    <x v="0"/>
    <n v="2"/>
    <s v="Partial High School"/>
    <s v="Clerical"/>
    <s v="Yes"/>
    <n v="2"/>
    <s v="5-10 Miles"/>
    <s v="Pacific"/>
    <n v="55"/>
    <s v="Middle-Aged"/>
    <x v="1"/>
    <n v="1"/>
  </r>
  <r>
    <n v="25598"/>
    <s v="Married"/>
    <s v="Female"/>
    <n v="40000"/>
    <x v="0"/>
    <n v="0"/>
    <s v="Graduate Degree"/>
    <s v="Clerical"/>
    <s v="Yes"/>
    <n v="0"/>
    <s v="0-1 Miles"/>
    <s v="Europe"/>
    <n v="36"/>
    <s v="Adults"/>
    <x v="1"/>
    <n v="1"/>
  </r>
  <r>
    <n v="21564"/>
    <s v="Single"/>
    <s v="Female"/>
    <n v="80000"/>
    <x v="1"/>
    <n v="0"/>
    <s v="Bachelors"/>
    <s v="Professional"/>
    <s v="Yes"/>
    <n v="4"/>
    <s v="More than 10 Miles"/>
    <s v="Pacific"/>
    <n v="35"/>
    <s v="Adults"/>
    <x v="0"/>
    <n v="0"/>
  </r>
  <r>
    <n v="19193"/>
    <s v="Single"/>
    <s v="Male"/>
    <n v="40000"/>
    <x v="0"/>
    <n v="2"/>
    <s v="Partial College"/>
    <s v="Clerical"/>
    <s v="Yes"/>
    <n v="0"/>
    <s v="1-2 Miles"/>
    <s v="Europe"/>
    <n v="35"/>
    <s v="Adults"/>
    <x v="1"/>
    <n v="1"/>
  </r>
  <r>
    <n v="26412"/>
    <s v="Married"/>
    <s v="Female"/>
    <n v="80000"/>
    <x v="1"/>
    <n v="5"/>
    <s v="High School"/>
    <s v="Management"/>
    <s v="No"/>
    <n v="3"/>
    <s v="5-10 Miles"/>
    <s v="Europe"/>
    <n v="56"/>
    <s v="Middle-Aged"/>
    <x v="0"/>
    <n v="0"/>
  </r>
  <r>
    <n v="27184"/>
    <s v="Single"/>
    <s v="Male"/>
    <n v="40000"/>
    <x v="0"/>
    <n v="2"/>
    <s v="Partial College"/>
    <s v="Clerical"/>
    <s v="No"/>
    <n v="1"/>
    <s v="0-1 Miles"/>
    <s v="Europe"/>
    <n v="34"/>
    <s v="Adults"/>
    <x v="0"/>
    <n v="0"/>
  </r>
  <r>
    <n v="12590"/>
    <s v="Single"/>
    <s v="Male"/>
    <n v="30000"/>
    <x v="0"/>
    <n v="1"/>
    <s v="Bachelors"/>
    <s v="Clerical"/>
    <s v="Yes"/>
    <n v="0"/>
    <s v="0-1 Miles"/>
    <s v="Europe"/>
    <n v="63"/>
    <s v="Seniors"/>
    <x v="0"/>
    <n v="0"/>
  </r>
  <r>
    <n v="17841"/>
    <s v="Single"/>
    <s v="Male"/>
    <n v="30000"/>
    <x v="0"/>
    <n v="0"/>
    <s v="Partial College"/>
    <s v="Clerical"/>
    <s v="No"/>
    <n v="1"/>
    <s v="0-1 Miles"/>
    <s v="Europe"/>
    <n v="29"/>
    <s v="Young Adults"/>
    <x v="1"/>
    <n v="1"/>
  </r>
  <r>
    <n v="18283"/>
    <s v="Single"/>
    <s v="Female"/>
    <n v="100000"/>
    <x v="1"/>
    <n v="0"/>
    <s v="Bachelors"/>
    <s v="Professional"/>
    <s v="No"/>
    <n v="1"/>
    <s v="5-10 Miles"/>
    <s v="Pacific"/>
    <n v="40"/>
    <s v="Middle-Aged"/>
    <x v="0"/>
    <n v="0"/>
  </r>
  <r>
    <n v="18299"/>
    <s v="Married"/>
    <s v="Male"/>
    <n v="70000"/>
    <x v="1"/>
    <n v="5"/>
    <s v="Partial College"/>
    <s v="Skilled Manual"/>
    <s v="Yes"/>
    <n v="2"/>
    <s v="5-10 Miles"/>
    <s v="Pacific"/>
    <n v="44"/>
    <s v="Middle-Aged"/>
    <x v="0"/>
    <n v="0"/>
  </r>
  <r>
    <n v="16466"/>
    <s v="Single"/>
    <s v="Female"/>
    <n v="20000"/>
    <x v="0"/>
    <n v="0"/>
    <s v="Partial High School"/>
    <s v="Manual"/>
    <s v="No"/>
    <n v="2"/>
    <s v="0-1 Miles"/>
    <s v="Europe"/>
    <n v="32"/>
    <s v="Adults"/>
    <x v="1"/>
    <n v="1"/>
  </r>
  <r>
    <n v="19273"/>
    <s v="Married"/>
    <s v="Female"/>
    <n v="20000"/>
    <x v="0"/>
    <n v="2"/>
    <s v="Partial College"/>
    <s v="Manual"/>
    <s v="Yes"/>
    <n v="0"/>
    <s v="0-1 Miles"/>
    <s v="Europe"/>
    <n v="63"/>
    <s v="Seniors"/>
    <x v="0"/>
    <n v="0"/>
  </r>
  <r>
    <n v="22400"/>
    <s v="Married"/>
    <s v="Male"/>
    <n v="10000"/>
    <x v="0"/>
    <n v="0"/>
    <s v="Partial College"/>
    <s v="Manual"/>
    <s v="No"/>
    <n v="1"/>
    <s v="0-1 Miles"/>
    <s v="Pacific"/>
    <n v="26"/>
    <s v="Young Adults"/>
    <x v="1"/>
    <n v="1"/>
  </r>
  <r>
    <n v="20942"/>
    <s v="Single"/>
    <s v="Female"/>
    <n v="20000"/>
    <x v="0"/>
    <n v="0"/>
    <s v="High School"/>
    <s v="Manual"/>
    <s v="No"/>
    <n v="1"/>
    <s v="5-10 Miles"/>
    <s v="Europe"/>
    <n v="31"/>
    <s v="Adults"/>
    <x v="0"/>
    <n v="0"/>
  </r>
  <r>
    <n v="18484"/>
    <s v="Single"/>
    <s v="Male"/>
    <n v="80000"/>
    <x v="1"/>
    <n v="2"/>
    <s v="High School"/>
    <s v="Skilled Manual"/>
    <s v="No"/>
    <n v="2"/>
    <s v="1-2 Miles"/>
    <s v="Pacific"/>
    <n v="50"/>
    <s v="Middle-Aged"/>
    <x v="1"/>
    <n v="1"/>
  </r>
  <r>
    <n v="12291"/>
    <s v="Single"/>
    <s v="Male"/>
    <n v="90000"/>
    <x v="1"/>
    <n v="5"/>
    <s v="Partial College"/>
    <s v="Professional"/>
    <s v="No"/>
    <n v="2"/>
    <s v="2-5 Miles"/>
    <s v="Europe"/>
    <n v="62"/>
    <s v="Seniors"/>
    <x v="1"/>
    <n v="1"/>
  </r>
  <r>
    <n v="28380"/>
    <s v="Single"/>
    <s v="Female"/>
    <n v="10000"/>
    <x v="0"/>
    <n v="5"/>
    <s v="Partial High School"/>
    <s v="Manual"/>
    <s v="No"/>
    <n v="2"/>
    <s v="0-1 Miles"/>
    <s v="Europe"/>
    <n v="41"/>
    <s v="Middle-Aged"/>
    <x v="0"/>
    <n v="0"/>
  </r>
  <r>
    <n v="17891"/>
    <s v="Married"/>
    <s v="Female"/>
    <n v="10000"/>
    <x v="0"/>
    <n v="2"/>
    <s v="Partial College"/>
    <s v="Manual"/>
    <s v="Yes"/>
    <n v="1"/>
    <s v="0-1 Miles"/>
    <s v="Europe"/>
    <n v="50"/>
    <s v="Middle-Aged"/>
    <x v="1"/>
    <n v="1"/>
  </r>
  <r>
    <n v="27832"/>
    <s v="Single"/>
    <s v="Female"/>
    <n v="30000"/>
    <x v="0"/>
    <n v="0"/>
    <s v="Partial College"/>
    <s v="Clerical"/>
    <s v="No"/>
    <n v="1"/>
    <s v="2-5 Miles"/>
    <s v="Europe"/>
    <n v="30"/>
    <s v="Adults"/>
    <x v="0"/>
    <n v="0"/>
  </r>
  <r>
    <n v="26863"/>
    <s v="Single"/>
    <s v="Male"/>
    <n v="20000"/>
    <x v="0"/>
    <n v="0"/>
    <s v="High School"/>
    <s v="Manual"/>
    <s v="No"/>
    <n v="1"/>
    <s v="2-5 Miles"/>
    <s v="Europe"/>
    <n v="28"/>
    <s v="Young Adults"/>
    <x v="0"/>
    <n v="0"/>
  </r>
  <r>
    <n v="16259"/>
    <s v="Single"/>
    <s v="Female"/>
    <n v="10000"/>
    <x v="0"/>
    <n v="4"/>
    <s v="Partial High School"/>
    <s v="Manual"/>
    <s v="Yes"/>
    <n v="2"/>
    <s v="0-1 Miles"/>
    <s v="Europe"/>
    <n v="40"/>
    <s v="Middle-Aged"/>
    <x v="1"/>
    <n v="1"/>
  </r>
  <r>
    <n v="27803"/>
    <s v="Single"/>
    <s v="Female"/>
    <n v="30000"/>
    <x v="0"/>
    <n v="2"/>
    <s v="Partial College"/>
    <s v="Clerical"/>
    <s v="No"/>
    <n v="0"/>
    <s v="0-1 Miles"/>
    <s v="Europe"/>
    <n v="43"/>
    <s v="Middle-Aged"/>
    <x v="0"/>
    <n v="0"/>
  </r>
  <r>
    <n v="14347"/>
    <s v="Single"/>
    <s v="Female"/>
    <n v="40000"/>
    <x v="0"/>
    <n v="2"/>
    <s v="Bachelors"/>
    <s v="Management"/>
    <s v="Yes"/>
    <n v="2"/>
    <s v="5-10 Miles"/>
    <s v="Pacific"/>
    <n v="65"/>
    <s v="Seniors"/>
    <x v="1"/>
    <n v="1"/>
  </r>
  <r>
    <n v="17703"/>
    <s v="Married"/>
    <s v="Female"/>
    <n v="10000"/>
    <x v="0"/>
    <n v="1"/>
    <s v="Graduate Degree"/>
    <s v="Manual"/>
    <s v="Yes"/>
    <n v="0"/>
    <s v="0-1 Miles"/>
    <s v="Europe"/>
    <n v="40"/>
    <s v="Middle-Aged"/>
    <x v="0"/>
    <n v="0"/>
  </r>
  <r>
    <n v="17185"/>
    <s v="Married"/>
    <s v="Female"/>
    <n v="170000"/>
    <x v="2"/>
    <n v="4"/>
    <s v="Partial College"/>
    <s v="Professional"/>
    <s v="No"/>
    <n v="3"/>
    <s v="5-10 Miles"/>
    <s v="Europe"/>
    <n v="48"/>
    <s v="Middle-Aged"/>
    <x v="1"/>
    <n v="1"/>
  </r>
  <r>
    <n v="29380"/>
    <s v="Married"/>
    <s v="Female"/>
    <n v="20000"/>
    <x v="0"/>
    <n v="3"/>
    <s v="High School"/>
    <s v="Manual"/>
    <s v="Yes"/>
    <n v="0"/>
    <s v="0-1 Miles"/>
    <s v="Europe"/>
    <n v="41"/>
    <s v="Middle-Aged"/>
    <x v="1"/>
    <n v="1"/>
  </r>
  <r>
    <n v="23986"/>
    <s v="Married"/>
    <s v="Female"/>
    <n v="20000"/>
    <x v="0"/>
    <n v="1"/>
    <s v="Bachelors"/>
    <s v="Clerical"/>
    <s v="Yes"/>
    <n v="0"/>
    <s v="0-1 Miles"/>
    <s v="Europe"/>
    <n v="66"/>
    <s v="Seniors"/>
    <x v="1"/>
    <n v="1"/>
  </r>
  <r>
    <n v="24466"/>
    <s v="Married"/>
    <s v="Female"/>
    <n v="60000"/>
    <x v="0"/>
    <n v="1"/>
    <s v="Partial College"/>
    <s v="Skilled Manual"/>
    <s v="Yes"/>
    <n v="1"/>
    <s v="5-10 Miles"/>
    <s v="Pacific"/>
    <n v="46"/>
    <s v="Middle-Aged"/>
    <x v="1"/>
    <n v="1"/>
  </r>
  <r>
    <n v="29097"/>
    <s v="Single"/>
    <s v="Female"/>
    <n v="40000"/>
    <x v="0"/>
    <n v="2"/>
    <s v="Partial College"/>
    <s v="Skilled Manual"/>
    <s v="Yes"/>
    <n v="2"/>
    <s v="5-10 Miles"/>
    <s v="Pacific"/>
    <n v="52"/>
    <s v="Middle-Aged"/>
    <x v="1"/>
    <n v="1"/>
  </r>
  <r>
    <n v="19487"/>
    <s v="Married"/>
    <s v="Male"/>
    <n v="30000"/>
    <x v="0"/>
    <n v="2"/>
    <s v="Partial College"/>
    <s v="Clerical"/>
    <s v="No"/>
    <n v="2"/>
    <s v="0-1 Miles"/>
    <s v="Europe"/>
    <n v="42"/>
    <s v="Middle-Aged"/>
    <x v="0"/>
    <n v="0"/>
  </r>
  <r>
    <n v="14939"/>
    <s v="Single"/>
    <s v="Male"/>
    <n v="40000"/>
    <x v="0"/>
    <n v="0"/>
    <s v="Bachelors"/>
    <s v="Clerical"/>
    <s v="Yes"/>
    <n v="0"/>
    <s v="0-1 Miles"/>
    <s v="Europe"/>
    <n v="39"/>
    <s v="Adults"/>
    <x v="1"/>
    <n v="1"/>
  </r>
  <r>
    <n v="13826"/>
    <s v="Single"/>
    <s v="Female"/>
    <n v="30000"/>
    <x v="0"/>
    <n v="0"/>
    <s v="Partial College"/>
    <s v="Clerical"/>
    <s v="No"/>
    <n v="1"/>
    <s v="0-1 Miles"/>
    <s v="Europe"/>
    <n v="28"/>
    <s v="Young Adults"/>
    <x v="0"/>
    <n v="0"/>
  </r>
  <r>
    <n v="20619"/>
    <s v="Single"/>
    <s v="Male"/>
    <n v="80000"/>
    <x v="1"/>
    <n v="0"/>
    <s v="Bachelors"/>
    <s v="Professional"/>
    <s v="No"/>
    <n v="4"/>
    <s v="More than 10 Miles"/>
    <s v="Pacific"/>
    <n v="35"/>
    <s v="Adults"/>
    <x v="0"/>
    <n v="0"/>
  </r>
  <r>
    <n v="12558"/>
    <s v="Married"/>
    <s v="Female"/>
    <n v="20000"/>
    <x v="0"/>
    <n v="1"/>
    <s v="Bachelors"/>
    <s v="Clerical"/>
    <s v="Yes"/>
    <n v="0"/>
    <s v="0-1 Miles"/>
    <s v="Europe"/>
    <n v="65"/>
    <s v="Seniors"/>
    <x v="0"/>
    <n v="0"/>
  </r>
  <r>
    <n v="24871"/>
    <s v="Single"/>
    <s v="Female"/>
    <n v="90000"/>
    <x v="1"/>
    <n v="4"/>
    <s v="High School"/>
    <s v="Management"/>
    <s v="No"/>
    <n v="3"/>
    <s v="5-10 Miles"/>
    <s v="Europe"/>
    <n v="56"/>
    <s v="Middle-Aged"/>
    <x v="0"/>
    <n v="0"/>
  </r>
  <r>
    <n v="17319"/>
    <s v="Single"/>
    <s v="Female"/>
    <n v="70000"/>
    <x v="1"/>
    <n v="0"/>
    <s v="Bachelors"/>
    <s v="Professional"/>
    <s v="No"/>
    <n v="1"/>
    <s v="5-10 Miles"/>
    <s v="Pacific"/>
    <n v="42"/>
    <s v="Middle-Aged"/>
    <x v="0"/>
    <n v="0"/>
  </r>
  <r>
    <n v="28906"/>
    <s v="Married"/>
    <s v="Male"/>
    <n v="80000"/>
    <x v="1"/>
    <n v="4"/>
    <s v="High School"/>
    <s v="Professional"/>
    <s v="Yes"/>
    <n v="2"/>
    <s v="More than 10 Miles"/>
    <s v="Europe"/>
    <n v="54"/>
    <s v="Middle-Aged"/>
    <x v="0"/>
    <n v="0"/>
  </r>
  <r>
    <n v="12808"/>
    <s v="Married"/>
    <s v="Male"/>
    <n v="40000"/>
    <x v="0"/>
    <n v="0"/>
    <s v="Bachelors"/>
    <s v="Clerical"/>
    <s v="Yes"/>
    <n v="0"/>
    <s v="0-1 Miles"/>
    <s v="Europe"/>
    <n v="38"/>
    <s v="Adults"/>
    <x v="1"/>
    <n v="1"/>
  </r>
  <r>
    <n v="20567"/>
    <s v="Married"/>
    <s v="Male"/>
    <n v="130000"/>
    <x v="2"/>
    <n v="4"/>
    <s v="Partial College"/>
    <s v="Professional"/>
    <s v="No"/>
    <n v="4"/>
    <s v="5-10 Miles"/>
    <s v="Europe"/>
    <n v="61"/>
    <s v="Seniors"/>
    <x v="1"/>
    <n v="1"/>
  </r>
  <r>
    <n v="25502"/>
    <s v="Married"/>
    <s v="Female"/>
    <n v="40000"/>
    <x v="0"/>
    <n v="1"/>
    <s v="Bachelors"/>
    <s v="Skilled Manual"/>
    <s v="Yes"/>
    <n v="0"/>
    <s v="0-1 Miles"/>
    <s v="Europe"/>
    <n v="43"/>
    <s v="Middle-Aged"/>
    <x v="1"/>
    <n v="1"/>
  </r>
  <r>
    <n v="15580"/>
    <s v="Married"/>
    <s v="Male"/>
    <n v="60000"/>
    <x v="0"/>
    <n v="2"/>
    <s v="Bachelors"/>
    <s v="Professional"/>
    <s v="Yes"/>
    <n v="1"/>
    <s v="2-5 Miles"/>
    <s v="Pacific"/>
    <n v="38"/>
    <s v="Adults"/>
    <x v="1"/>
    <n v="1"/>
  </r>
  <r>
    <n v="24185"/>
    <s v="Single"/>
    <s v="Female"/>
    <n v="10000"/>
    <x v="0"/>
    <n v="1"/>
    <s v="High School"/>
    <s v="Manual"/>
    <s v="No"/>
    <n v="1"/>
    <s v="1-2 Miles"/>
    <s v="Europe"/>
    <n v="45"/>
    <s v="Middle-Aged"/>
    <x v="0"/>
    <n v="0"/>
  </r>
  <r>
    <n v="19291"/>
    <s v="Single"/>
    <s v="Female"/>
    <n v="10000"/>
    <x v="0"/>
    <n v="2"/>
    <s v="High School"/>
    <s v="Manual"/>
    <s v="Yes"/>
    <n v="0"/>
    <s v="0-1 Miles"/>
    <s v="Europe"/>
    <n v="35"/>
    <s v="Adults"/>
    <x v="0"/>
    <n v="0"/>
  </r>
  <r>
    <n v="16713"/>
    <s v="Married"/>
    <s v="Male"/>
    <n v="40000"/>
    <x v="0"/>
    <n v="2"/>
    <s v="Bachelors"/>
    <s v="Management"/>
    <s v="Yes"/>
    <n v="1"/>
    <s v="0-1 Miles"/>
    <s v="Pacific"/>
    <n v="52"/>
    <s v="Middle-Aged"/>
    <x v="1"/>
    <n v="1"/>
  </r>
  <r>
    <n v="16185"/>
    <s v="Single"/>
    <s v="Male"/>
    <n v="60000"/>
    <x v="0"/>
    <n v="4"/>
    <s v="Bachelors"/>
    <s v="Professional"/>
    <s v="Yes"/>
    <n v="3"/>
    <s v="More than 10 Miles"/>
    <s v="Pacific"/>
    <n v="41"/>
    <s v="Middle-Aged"/>
    <x v="0"/>
    <n v="0"/>
  </r>
  <r>
    <n v="14927"/>
    <s v="Married"/>
    <s v="Female"/>
    <n v="30000"/>
    <x v="0"/>
    <n v="1"/>
    <s v="Bachelors"/>
    <s v="Clerical"/>
    <s v="Yes"/>
    <n v="0"/>
    <s v="0-1 Miles"/>
    <s v="Europe"/>
    <n v="37"/>
    <s v="Adults"/>
    <x v="1"/>
    <n v="1"/>
  </r>
  <r>
    <n v="29337"/>
    <s v="Single"/>
    <s v="Male"/>
    <n v="30000"/>
    <x v="0"/>
    <n v="2"/>
    <s v="Partial College"/>
    <s v="Clerical"/>
    <s v="Yes"/>
    <n v="2"/>
    <s v="5-10 Miles"/>
    <s v="Pacific"/>
    <n v="68"/>
    <s v="Seniors"/>
    <x v="0"/>
    <n v="0"/>
  </r>
  <r>
    <n v="29355"/>
    <s v="Married"/>
    <s v="Female"/>
    <n v="40000"/>
    <x v="0"/>
    <n v="0"/>
    <s v="Graduate Degree"/>
    <s v="Clerical"/>
    <s v="Yes"/>
    <n v="0"/>
    <s v="0-1 Miles"/>
    <s v="Europe"/>
    <n v="37"/>
    <s v="Adults"/>
    <x v="1"/>
    <n v="1"/>
  </r>
  <r>
    <n v="25303"/>
    <s v="Single"/>
    <s v="Male"/>
    <n v="30000"/>
    <x v="0"/>
    <n v="0"/>
    <s v="High School"/>
    <s v="Manual"/>
    <s v="Yes"/>
    <n v="1"/>
    <s v="2-5 Miles"/>
    <s v="Europe"/>
    <n v="33"/>
    <s v="Adults"/>
    <x v="1"/>
    <n v="1"/>
  </r>
  <r>
    <n v="14813"/>
    <s v="Single"/>
    <s v="Female"/>
    <n v="20000"/>
    <x v="0"/>
    <n v="4"/>
    <s v="High School"/>
    <s v="Manual"/>
    <s v="Yes"/>
    <n v="1"/>
    <s v="0-1 Miles"/>
    <s v="Europe"/>
    <n v="43"/>
    <s v="Middle-Aged"/>
    <x v="1"/>
    <n v="1"/>
  </r>
  <r>
    <n v="16438"/>
    <s v="Married"/>
    <s v="Female"/>
    <n v="10000"/>
    <x v="0"/>
    <n v="0"/>
    <s v="Partial High School"/>
    <s v="Manual"/>
    <s v="No"/>
    <n v="2"/>
    <s v="0-1 Miles"/>
    <s v="Europe"/>
    <n v="30"/>
    <s v="Adults"/>
    <x v="0"/>
    <n v="0"/>
  </r>
  <r>
    <n v="14238"/>
    <s v="Married"/>
    <s v="Male"/>
    <n v="120000"/>
    <x v="1"/>
    <n v="0"/>
    <s v="Partial High School"/>
    <s v="Professional"/>
    <s v="Yes"/>
    <n v="4"/>
    <s v="More than 10 Miles"/>
    <s v="Pacific"/>
    <n v="36"/>
    <s v="Adults"/>
    <x v="1"/>
    <n v="1"/>
  </r>
  <r>
    <n v="16200"/>
    <s v="Single"/>
    <s v="Female"/>
    <n v="10000"/>
    <x v="0"/>
    <n v="0"/>
    <s v="Partial High School"/>
    <s v="Manual"/>
    <s v="No"/>
    <n v="2"/>
    <s v="0-1 Miles"/>
    <s v="Europe"/>
    <n v="35"/>
    <s v="Adults"/>
    <x v="0"/>
    <n v="0"/>
  </r>
  <r>
    <n v="24857"/>
    <s v="Married"/>
    <s v="Female"/>
    <n v="130000"/>
    <x v="2"/>
    <n v="3"/>
    <s v="High School"/>
    <s v="Professional"/>
    <s v="Yes"/>
    <n v="4"/>
    <s v="0-1 Miles"/>
    <s v="Europe"/>
    <n v="52"/>
    <s v="Middle-Aged"/>
    <x v="0"/>
    <n v="0"/>
  </r>
  <r>
    <n v="26956"/>
    <s v="Single"/>
    <s v="Female"/>
    <n v="20000"/>
    <x v="0"/>
    <n v="0"/>
    <s v="Partial College"/>
    <s v="Manual"/>
    <s v="No"/>
    <n v="1"/>
    <s v="2-5 Miles"/>
    <s v="Europe"/>
    <n v="36"/>
    <s v="Adults"/>
    <x v="1"/>
    <n v="1"/>
  </r>
  <r>
    <n v="14517"/>
    <s v="Married"/>
    <s v="Female"/>
    <n v="20000"/>
    <x v="0"/>
    <n v="3"/>
    <s v="High School"/>
    <s v="Skilled Manual"/>
    <s v="No"/>
    <n v="2"/>
    <s v="1-2 Miles"/>
    <s v="Pacific"/>
    <n v="62"/>
    <s v="Seniors"/>
    <x v="0"/>
    <n v="0"/>
  </r>
  <r>
    <n v="12678"/>
    <s v="Single"/>
    <s v="Female"/>
    <n v="130000"/>
    <x v="2"/>
    <n v="4"/>
    <s v="High School"/>
    <s v="Management"/>
    <s v="Yes"/>
    <n v="4"/>
    <s v="0-1 Miles"/>
    <s v="Pacific"/>
    <n v="31"/>
    <s v="Adults"/>
    <x v="0"/>
    <n v="0"/>
  </r>
  <r>
    <n v="16188"/>
    <s v="Single"/>
    <s v="Female"/>
    <n v="20000"/>
    <x v="0"/>
    <n v="0"/>
    <s v="Partial High School"/>
    <s v="Manual"/>
    <s v="No"/>
    <n v="2"/>
    <s v="1-2 Miles"/>
    <s v="Europe"/>
    <n v="26"/>
    <s v="Young Adults"/>
    <x v="0"/>
    <n v="0"/>
  </r>
  <r>
    <n v="27969"/>
    <s v="Married"/>
    <s v="Male"/>
    <n v="80000"/>
    <x v="1"/>
    <n v="0"/>
    <s v="Bachelors"/>
    <s v="Professional"/>
    <s v="Yes"/>
    <n v="2"/>
    <s v="More than 10 Miles"/>
    <s v="Pacific"/>
    <n v="29"/>
    <s v="Young Adults"/>
    <x v="1"/>
    <n v="1"/>
  </r>
  <r>
    <n v="15752"/>
    <s v="Married"/>
    <s v="Male"/>
    <n v="80000"/>
    <x v="1"/>
    <n v="2"/>
    <s v="High School"/>
    <s v="Skilled Manual"/>
    <s v="No"/>
    <n v="2"/>
    <s v="1-2 Miles"/>
    <s v="Pacific"/>
    <n v="50"/>
    <s v="Middle-Aged"/>
    <x v="1"/>
    <n v="1"/>
  </r>
  <r>
    <n v="27745"/>
    <s v="Single"/>
    <s v="Male"/>
    <n v="40000"/>
    <x v="0"/>
    <n v="2"/>
    <s v="Bachelors"/>
    <s v="Management"/>
    <s v="Yes"/>
    <n v="2"/>
    <s v="5-10 Miles"/>
    <s v="Pacific"/>
    <n v="63"/>
    <s v="Seniors"/>
    <x v="1"/>
    <n v="1"/>
  </r>
  <r>
    <n v="20828"/>
    <s v="Married"/>
    <s v="Female"/>
    <n v="30000"/>
    <x v="0"/>
    <n v="4"/>
    <s v="Graduate Degree"/>
    <s v="Clerical"/>
    <s v="Yes"/>
    <n v="0"/>
    <s v="0-1 Miles"/>
    <s v="Europe"/>
    <n v="45"/>
    <s v="Middle-Aged"/>
    <x v="1"/>
    <n v="1"/>
  </r>
  <r>
    <n v="19461"/>
    <s v="Single"/>
    <s v="Female"/>
    <n v="10000"/>
    <x v="0"/>
    <n v="4"/>
    <s v="Partial High School"/>
    <s v="Manual"/>
    <s v="Yes"/>
    <n v="2"/>
    <s v="0-1 Miles"/>
    <s v="Europe"/>
    <n v="40"/>
    <s v="Middle-Aged"/>
    <x v="0"/>
    <n v="0"/>
  </r>
  <r>
    <n v="26941"/>
    <s v="Married"/>
    <s v="Male"/>
    <n v="30000"/>
    <x v="0"/>
    <n v="0"/>
    <s v="Bachelors"/>
    <s v="Clerical"/>
    <s v="Yes"/>
    <n v="0"/>
    <s v="0-1 Miles"/>
    <s v="Europe"/>
    <n v="47"/>
    <s v="Middle-Aged"/>
    <x v="1"/>
    <n v="1"/>
  </r>
  <r>
    <n v="28412"/>
    <s v="Single"/>
    <s v="Male"/>
    <n v="20000"/>
    <x v="0"/>
    <n v="0"/>
    <s v="High School"/>
    <s v="Manual"/>
    <s v="No"/>
    <n v="1"/>
    <s v="2-5 Miles"/>
    <s v="Europe"/>
    <n v="29"/>
    <s v="Young Adults"/>
    <x v="0"/>
    <n v="0"/>
  </r>
  <r>
    <n v="24485"/>
    <s v="Single"/>
    <s v="Male"/>
    <n v="40000"/>
    <x v="0"/>
    <n v="2"/>
    <s v="Bachelors"/>
    <s v="Management"/>
    <s v="No"/>
    <n v="1"/>
    <s v="5-10 Miles"/>
    <s v="Pacific"/>
    <n v="52"/>
    <s v="Middle-Aged"/>
    <x v="1"/>
    <n v="1"/>
  </r>
  <r>
    <n v="16514"/>
    <s v="Single"/>
    <s v="Male"/>
    <n v="10000"/>
    <x v="0"/>
    <n v="0"/>
    <s v="Partial College"/>
    <s v="Manual"/>
    <s v="Yes"/>
    <n v="1"/>
    <s v="1-2 Miles"/>
    <s v="Pacific"/>
    <n v="26"/>
    <s v="Young Adults"/>
    <x v="1"/>
    <n v="1"/>
  </r>
  <r>
    <n v="17191"/>
    <s v="Single"/>
    <s v="Male"/>
    <n v="130000"/>
    <x v="2"/>
    <n v="3"/>
    <s v="Partial College"/>
    <s v="Professional"/>
    <s v="No"/>
    <n v="3"/>
    <s v="0-1 Miles"/>
    <s v="Europe"/>
    <n v="51"/>
    <s v="Middle-Aged"/>
    <x v="1"/>
    <n v="1"/>
  </r>
  <r>
    <n v="19608"/>
    <s v="Married"/>
    <s v="Male"/>
    <n v="80000"/>
    <x v="1"/>
    <n v="5"/>
    <s v="Bachelors"/>
    <s v="Professional"/>
    <s v="Yes"/>
    <n v="4"/>
    <s v="1-2 Miles"/>
    <s v="Pacific"/>
    <n v="40"/>
    <s v="Middle-Aged"/>
    <x v="0"/>
    <n v="0"/>
  </r>
  <r>
    <n v="24119"/>
    <s v="Single"/>
    <s v="Male"/>
    <n v="30000"/>
    <x v="0"/>
    <n v="0"/>
    <s v="Partial College"/>
    <s v="Clerical"/>
    <s v="No"/>
    <n v="1"/>
    <s v="2-5 Miles"/>
    <s v="Europe"/>
    <n v="29"/>
    <s v="Young Adults"/>
    <x v="0"/>
    <n v="0"/>
  </r>
  <r>
    <n v="25458"/>
    <s v="Married"/>
    <s v="Male"/>
    <n v="20000"/>
    <x v="0"/>
    <n v="1"/>
    <s v="High School"/>
    <s v="Manual"/>
    <s v="No"/>
    <n v="1"/>
    <s v="1-2 Miles"/>
    <s v="Europe"/>
    <n v="40"/>
    <s v="Middle-Aged"/>
    <x v="1"/>
    <n v="1"/>
  </r>
  <r>
    <n v="26886"/>
    <s v="Single"/>
    <s v="Female"/>
    <n v="30000"/>
    <x v="0"/>
    <n v="0"/>
    <s v="Partial College"/>
    <s v="Clerical"/>
    <s v="No"/>
    <n v="1"/>
    <s v="0-1 Miles"/>
    <s v="Europe"/>
    <n v="29"/>
    <s v="Young Adults"/>
    <x v="1"/>
    <n v="1"/>
  </r>
  <r>
    <n v="28436"/>
    <s v="Single"/>
    <s v="Male"/>
    <n v="30000"/>
    <x v="0"/>
    <n v="0"/>
    <s v="Partial College"/>
    <s v="Clerical"/>
    <s v="No"/>
    <n v="1"/>
    <s v="0-1 Miles"/>
    <s v="Europe"/>
    <n v="30"/>
    <s v="Adults"/>
    <x v="1"/>
    <n v="1"/>
  </r>
  <r>
    <n v="19562"/>
    <s v="Single"/>
    <s v="Female"/>
    <n v="60000"/>
    <x v="0"/>
    <n v="2"/>
    <s v="Bachelors"/>
    <s v="Professional"/>
    <s v="Yes"/>
    <n v="1"/>
    <s v="2-5 Miles"/>
    <s v="Pacific"/>
    <n v="37"/>
    <s v="Adults"/>
    <x v="1"/>
    <n v="1"/>
  </r>
  <r>
    <n v="15608"/>
    <s v="Single"/>
    <s v="Female"/>
    <n v="30000"/>
    <x v="0"/>
    <n v="0"/>
    <s v="Partial College"/>
    <s v="Clerical"/>
    <s v="No"/>
    <n v="1"/>
    <s v="2-5 Miles"/>
    <s v="Europe"/>
    <n v="33"/>
    <s v="Adults"/>
    <x v="0"/>
    <n v="0"/>
  </r>
  <r>
    <n v="16487"/>
    <s v="Single"/>
    <s v="Female"/>
    <n v="30000"/>
    <x v="0"/>
    <n v="3"/>
    <s v="High School"/>
    <s v="Skilled Manual"/>
    <s v="Yes"/>
    <n v="2"/>
    <s v="5-10 Miles"/>
    <s v="Pacific"/>
    <n v="55"/>
    <s v="Middle-Aged"/>
    <x v="0"/>
    <n v="0"/>
  </r>
  <r>
    <n v="17197"/>
    <s v="Single"/>
    <s v="Female"/>
    <n v="90000"/>
    <x v="1"/>
    <n v="5"/>
    <s v="Partial College"/>
    <s v="Professional"/>
    <s v="Yes"/>
    <n v="2"/>
    <s v="More than 10 Miles"/>
    <s v="Europe"/>
    <n v="62"/>
    <s v="Seniors"/>
    <x v="0"/>
    <n v="0"/>
  </r>
  <r>
    <n v="12507"/>
    <s v="Married"/>
    <s v="Male"/>
    <n v="30000"/>
    <x v="0"/>
    <n v="1"/>
    <s v="Partial College"/>
    <s v="Clerical"/>
    <s v="Yes"/>
    <n v="1"/>
    <s v="0-1 Miles"/>
    <s v="Europe"/>
    <n v="43"/>
    <s v="Middle-Aged"/>
    <x v="0"/>
    <n v="0"/>
  </r>
  <r>
    <n v="23940"/>
    <s v="Married"/>
    <s v="Male"/>
    <n v="40000"/>
    <x v="0"/>
    <n v="1"/>
    <s v="Bachelors"/>
    <s v="Skilled Manual"/>
    <s v="Yes"/>
    <n v="1"/>
    <s v="0-1 Miles"/>
    <s v="Europe"/>
    <n v="44"/>
    <s v="Middle-Aged"/>
    <x v="1"/>
    <n v="1"/>
  </r>
  <r>
    <n v="19441"/>
    <s v="Married"/>
    <s v="Male"/>
    <n v="40000"/>
    <x v="0"/>
    <n v="0"/>
    <s v="Graduate Degree"/>
    <s v="Clerical"/>
    <s v="Yes"/>
    <n v="0"/>
    <s v="0-1 Miles"/>
    <s v="Europe"/>
    <n v="25"/>
    <s v="Young Adults"/>
    <x v="1"/>
    <n v="1"/>
  </r>
  <r>
    <n v="26852"/>
    <s v="Married"/>
    <s v="Female"/>
    <n v="20000"/>
    <x v="0"/>
    <n v="3"/>
    <s v="High School"/>
    <s v="Manual"/>
    <s v="Yes"/>
    <n v="2"/>
    <s v="0-1 Miles"/>
    <s v="Europe"/>
    <n v="43"/>
    <s v="Middle-Aged"/>
    <x v="0"/>
    <n v="0"/>
  </r>
  <r>
    <n v="12274"/>
    <s v="Single"/>
    <s v="Male"/>
    <n v="10000"/>
    <x v="0"/>
    <n v="2"/>
    <s v="High School"/>
    <s v="Manual"/>
    <s v="Yes"/>
    <n v="0"/>
    <s v="0-1 Miles"/>
    <s v="Europe"/>
    <n v="35"/>
    <s v="Adults"/>
    <x v="0"/>
    <n v="0"/>
  </r>
  <r>
    <n v="20236"/>
    <s v="Single"/>
    <s v="Male"/>
    <n v="60000"/>
    <x v="0"/>
    <n v="3"/>
    <s v="Bachelors"/>
    <s v="Professional"/>
    <s v="No"/>
    <n v="2"/>
    <s v="0-1 Miles"/>
    <s v="Pacific"/>
    <n v="43"/>
    <s v="Middle-Aged"/>
    <x v="1"/>
    <n v="1"/>
  </r>
  <r>
    <n v="24149"/>
    <s v="Married"/>
    <s v="Male"/>
    <n v="10000"/>
    <x v="0"/>
    <n v="2"/>
    <s v="Partial College"/>
    <s v="Manual"/>
    <s v="Yes"/>
    <n v="0"/>
    <s v="1-2 Miles"/>
    <s v="Europe"/>
    <n v="49"/>
    <s v="Middle-Aged"/>
    <x v="0"/>
    <n v="0"/>
  </r>
  <r>
    <n v="26139"/>
    <s v="Single"/>
    <s v="Male"/>
    <n v="60000"/>
    <x v="0"/>
    <n v="1"/>
    <s v="Partial College"/>
    <s v="Skilled Manual"/>
    <s v="Yes"/>
    <n v="1"/>
    <s v="5-10 Miles"/>
    <s v="Pacific"/>
    <n v="45"/>
    <s v="Middle-Aged"/>
    <x v="0"/>
    <n v="0"/>
  </r>
  <r>
    <n v="18491"/>
    <s v="Single"/>
    <s v="Female"/>
    <n v="70000"/>
    <x v="1"/>
    <n v="2"/>
    <s v="High School"/>
    <s v="Professional"/>
    <s v="Yes"/>
    <n v="2"/>
    <s v="5-10 Miles"/>
    <s v="Pacific"/>
    <n v="49"/>
    <s v="Middle-Aged"/>
    <x v="1"/>
    <n v="1"/>
  </r>
  <r>
    <n v="22707"/>
    <s v="Single"/>
    <s v="Female"/>
    <n v="30000"/>
    <x v="0"/>
    <n v="0"/>
    <s v="Partial College"/>
    <s v="Clerical"/>
    <s v="No"/>
    <n v="1"/>
    <s v="2-5 Miles"/>
    <s v="Europe"/>
    <n v="30"/>
    <s v="Adults"/>
    <x v="0"/>
    <n v="0"/>
  </r>
  <r>
    <n v="20430"/>
    <s v="Married"/>
    <s v="Male"/>
    <n v="70000"/>
    <x v="1"/>
    <n v="2"/>
    <s v="Partial College"/>
    <s v="Skilled Manual"/>
    <s v="Yes"/>
    <n v="2"/>
    <s v="5-10 Miles"/>
    <s v="Pacific"/>
    <n v="52"/>
    <s v="Middle-Aged"/>
    <x v="1"/>
    <n v="1"/>
  </r>
  <r>
    <n v="27494"/>
    <s v="Single"/>
    <s v="Female"/>
    <n v="40000"/>
    <x v="0"/>
    <n v="2"/>
    <s v="Partial College"/>
    <s v="Skilled Manual"/>
    <s v="No"/>
    <n v="2"/>
    <s v="1-2 Miles"/>
    <s v="Pacific"/>
    <n v="53"/>
    <s v="Middle-Aged"/>
    <x v="1"/>
    <n v="1"/>
  </r>
  <r>
    <n v="26829"/>
    <s v="Married"/>
    <s v="Female"/>
    <n v="40000"/>
    <x v="0"/>
    <n v="0"/>
    <s v="Bachelors"/>
    <s v="Clerical"/>
    <s v="Yes"/>
    <n v="0"/>
    <s v="0-1 Miles"/>
    <s v="Europe"/>
    <n v="38"/>
    <s v="Adults"/>
    <x v="1"/>
    <n v="1"/>
  </r>
  <r>
    <n v="28395"/>
    <s v="Single"/>
    <s v="Male"/>
    <n v="40000"/>
    <x v="0"/>
    <n v="0"/>
    <s v="Bachelors"/>
    <s v="Professional"/>
    <s v="No"/>
    <n v="0"/>
    <s v="0-1 Miles"/>
    <s v="Europe"/>
    <n v="39"/>
    <s v="Adults"/>
    <x v="1"/>
    <n v="1"/>
  </r>
  <r>
    <n v="21006"/>
    <s v="Single"/>
    <s v="Female"/>
    <n v="30000"/>
    <x v="0"/>
    <n v="1"/>
    <s v="Partial College"/>
    <s v="Manual"/>
    <s v="No"/>
    <n v="0"/>
    <s v="0-1 Miles"/>
    <s v="Europe"/>
    <n v="46"/>
    <s v="Middle-Aged"/>
    <x v="1"/>
    <n v="1"/>
  </r>
  <r>
    <n v="14682"/>
    <s v="Single"/>
    <s v="Female"/>
    <n v="70000"/>
    <x v="1"/>
    <n v="0"/>
    <s v="Bachelors"/>
    <s v="Professional"/>
    <s v="No"/>
    <n v="1"/>
    <s v="5-10 Miles"/>
    <s v="Pacific"/>
    <n v="38"/>
    <s v="Adults"/>
    <x v="0"/>
    <n v="0"/>
  </r>
  <r>
    <n v="17650"/>
    <s v="Single"/>
    <s v="Female"/>
    <n v="40000"/>
    <x v="0"/>
    <n v="2"/>
    <s v="Partial College"/>
    <s v="Clerical"/>
    <s v="Yes"/>
    <n v="2"/>
    <s v="1-2 Miles"/>
    <s v="Europe"/>
    <n v="35"/>
    <s v="Adults"/>
    <x v="0"/>
    <n v="0"/>
  </r>
  <r>
    <n v="29191"/>
    <s v="Single"/>
    <s v="Female"/>
    <n v="130000"/>
    <x v="2"/>
    <n v="1"/>
    <s v="Graduate Degree"/>
    <s v="Management"/>
    <s v="No"/>
    <n v="1"/>
    <s v="0-1 Miles"/>
    <s v="Pacific"/>
    <n v="36"/>
    <s v="Adults"/>
    <x v="1"/>
    <n v="1"/>
  </r>
  <r>
    <n v="15030"/>
    <s v="Married"/>
    <s v="Male"/>
    <n v="20000"/>
    <x v="0"/>
    <n v="0"/>
    <s v="Bachelors"/>
    <s v="Clerical"/>
    <s v="Yes"/>
    <n v="0"/>
    <s v="0-1 Miles"/>
    <s v="Pacific"/>
    <n v="26"/>
    <s v="Young Adults"/>
    <x v="1"/>
    <n v="1"/>
  </r>
  <r>
    <n v="24140"/>
    <s v="Single"/>
    <s v="Male"/>
    <n v="10000"/>
    <x v="0"/>
    <n v="0"/>
    <s v="Graduate Degree"/>
    <s v="Manual"/>
    <s v="No"/>
    <n v="0"/>
    <s v="0-1 Miles"/>
    <s v="Europe"/>
    <n v="30"/>
    <s v="Adults"/>
    <x v="1"/>
    <n v="1"/>
  </r>
  <r>
    <n v="22496"/>
    <s v="Married"/>
    <s v="Female"/>
    <n v="30000"/>
    <x v="0"/>
    <n v="1"/>
    <s v="Bachelors"/>
    <s v="Skilled Manual"/>
    <s v="Yes"/>
    <n v="2"/>
    <s v="0-1 Miles"/>
    <s v="Europe"/>
    <n v="42"/>
    <s v="Middle-Aged"/>
    <x v="0"/>
    <n v="0"/>
  </r>
  <r>
    <n v="24065"/>
    <s v="Single"/>
    <s v="Female"/>
    <n v="20000"/>
    <x v="0"/>
    <n v="0"/>
    <s v="High School"/>
    <s v="Manual"/>
    <s v="Yes"/>
    <n v="0"/>
    <s v="0-1 Miles"/>
    <s v="Europe"/>
    <n v="40"/>
    <s v="Middle-Aged"/>
    <x v="1"/>
    <n v="1"/>
  </r>
  <r>
    <n v="19914"/>
    <s v="Married"/>
    <s v="Male"/>
    <n v="80000"/>
    <x v="1"/>
    <n v="5"/>
    <s v="Bachelors"/>
    <s v="Management"/>
    <s v="Yes"/>
    <n v="2"/>
    <s v="2-5 Miles"/>
    <s v="Europe"/>
    <n v="62"/>
    <s v="Seniors"/>
    <x v="0"/>
    <n v="0"/>
  </r>
  <r>
    <n v="12871"/>
    <s v="Single"/>
    <s v="Female"/>
    <n v="30000"/>
    <x v="0"/>
    <n v="0"/>
    <s v="Partial College"/>
    <s v="Clerical"/>
    <s v="No"/>
    <n v="1"/>
    <s v="2-5 Miles"/>
    <s v="Europe"/>
    <n v="29"/>
    <s v="Young Adults"/>
    <x v="0"/>
    <n v="0"/>
  </r>
  <r>
    <n v="22988"/>
    <s v="Married"/>
    <s v="Female"/>
    <n v="40000"/>
    <x v="0"/>
    <n v="2"/>
    <s v="Bachelors"/>
    <s v="Management"/>
    <s v="Yes"/>
    <n v="2"/>
    <s v="5-10 Miles"/>
    <s v="Pacific"/>
    <n v="66"/>
    <s v="Seniors"/>
    <x v="1"/>
    <n v="1"/>
  </r>
  <r>
    <n v="15922"/>
    <s v="Married"/>
    <s v="Male"/>
    <n v="150000"/>
    <x v="2"/>
    <n v="2"/>
    <s v="High School"/>
    <s v="Professional"/>
    <s v="Yes"/>
    <n v="4"/>
    <s v="0-1 Miles"/>
    <s v="Europe"/>
    <n v="48"/>
    <s v="Middle-Aged"/>
    <x v="0"/>
    <n v="0"/>
  </r>
  <r>
    <n v="12344"/>
    <s v="Single"/>
    <s v="Female"/>
    <n v="80000"/>
    <x v="1"/>
    <n v="0"/>
    <s v="Bachelors"/>
    <s v="Professional"/>
    <s v="No"/>
    <n v="3"/>
    <s v="More than 10 Miles"/>
    <s v="Pacific"/>
    <n v="31"/>
    <s v="Adults"/>
    <x v="0"/>
    <n v="0"/>
  </r>
  <r>
    <n v="23627"/>
    <s v="Single"/>
    <s v="Female"/>
    <n v="100000"/>
    <x v="1"/>
    <n v="3"/>
    <s v="Partial College"/>
    <s v="Management"/>
    <s v="No"/>
    <n v="4"/>
    <s v="5-10 Miles"/>
    <s v="Europe"/>
    <n v="56"/>
    <s v="Middle-Aged"/>
    <x v="0"/>
    <n v="0"/>
  </r>
  <r>
    <n v="27775"/>
    <s v="Single"/>
    <s v="Female"/>
    <n v="40000"/>
    <x v="0"/>
    <n v="0"/>
    <s v="Bachelors"/>
    <s v="Clerical"/>
    <s v="No"/>
    <n v="0"/>
    <s v="0-1 Miles"/>
    <s v="Europe"/>
    <n v="38"/>
    <s v="Adults"/>
    <x v="1"/>
    <n v="1"/>
  </r>
  <r>
    <n v="29301"/>
    <s v="Married"/>
    <s v="Male"/>
    <n v="80000"/>
    <x v="1"/>
    <n v="5"/>
    <s v="Bachelors"/>
    <s v="Professional"/>
    <s v="Yes"/>
    <n v="4"/>
    <s v="1-2 Miles"/>
    <s v="Pacific"/>
    <n v="40"/>
    <s v="Middle-Aged"/>
    <x v="0"/>
    <n v="0"/>
  </r>
  <r>
    <n v="12716"/>
    <s v="Single"/>
    <s v="Male"/>
    <n v="30000"/>
    <x v="0"/>
    <n v="0"/>
    <s v="Partial College"/>
    <s v="Clerical"/>
    <s v="Yes"/>
    <n v="1"/>
    <s v="2-5 Miles"/>
    <s v="Europe"/>
    <n v="32"/>
    <s v="Adults"/>
    <x v="0"/>
    <n v="0"/>
  </r>
  <r>
    <n v="12472"/>
    <s v="Married"/>
    <s v="Male"/>
    <n v="30000"/>
    <x v="0"/>
    <n v="1"/>
    <s v="Bachelors"/>
    <s v="Clerical"/>
    <s v="Yes"/>
    <n v="1"/>
    <s v="2-5 Miles"/>
    <s v="Europe"/>
    <n v="39"/>
    <s v="Adults"/>
    <x v="0"/>
    <n v="0"/>
  </r>
  <r>
    <n v="20970"/>
    <s v="Single"/>
    <s v="Male"/>
    <n v="10000"/>
    <x v="0"/>
    <n v="2"/>
    <s v="Partial College"/>
    <s v="Manual"/>
    <s v="Yes"/>
    <n v="1"/>
    <s v="0-1 Miles"/>
    <s v="Europe"/>
    <n v="52"/>
    <s v="Middle-Aged"/>
    <x v="1"/>
    <n v="1"/>
  </r>
  <r>
    <n v="26818"/>
    <s v="Single"/>
    <s v="Male"/>
    <n v="10000"/>
    <x v="0"/>
    <n v="3"/>
    <s v="High School"/>
    <s v="Manual"/>
    <s v="Yes"/>
    <n v="1"/>
    <s v="0-1 Miles"/>
    <s v="Europe"/>
    <n v="39"/>
    <s v="Adults"/>
    <x v="1"/>
    <n v="1"/>
  </r>
  <r>
    <n v="12993"/>
    <s v="Married"/>
    <s v="Male"/>
    <n v="60000"/>
    <x v="0"/>
    <n v="2"/>
    <s v="Bachelors"/>
    <s v="Professional"/>
    <s v="Yes"/>
    <n v="1"/>
    <s v="2-5 Miles"/>
    <s v="Pacific"/>
    <n v="37"/>
    <s v="Adults"/>
    <x v="0"/>
    <n v="0"/>
  </r>
  <r>
    <n v="14192"/>
    <s v="Married"/>
    <s v="Male"/>
    <n v="90000"/>
    <x v="1"/>
    <n v="4"/>
    <s v="High School"/>
    <s v="Management"/>
    <s v="Yes"/>
    <n v="3"/>
    <s v="5-10 Miles"/>
    <s v="Europe"/>
    <n v="56"/>
    <s v="Middle-Aged"/>
    <x v="1"/>
    <n v="1"/>
  </r>
  <r>
    <n v="19477"/>
    <s v="Married"/>
    <s v="Male"/>
    <n v="40000"/>
    <x v="0"/>
    <n v="0"/>
    <s v="Bachelors"/>
    <s v="Professional"/>
    <s v="Yes"/>
    <n v="0"/>
    <s v="0-1 Miles"/>
    <s v="Europe"/>
    <n v="40"/>
    <s v="Middle-Aged"/>
    <x v="1"/>
    <n v="1"/>
  </r>
  <r>
    <n v="26796"/>
    <s v="Single"/>
    <s v="Male"/>
    <n v="40000"/>
    <x v="0"/>
    <n v="2"/>
    <s v="Bachelors"/>
    <s v="Management"/>
    <s v="Yes"/>
    <n v="2"/>
    <s v="5-10 Miles"/>
    <s v="Pacific"/>
    <n v="65"/>
    <s v="Seniors"/>
    <x v="1"/>
    <n v="1"/>
  </r>
  <r>
    <n v="21094"/>
    <s v="Single"/>
    <s v="Female"/>
    <n v="30000"/>
    <x v="0"/>
    <n v="2"/>
    <s v="Partial College"/>
    <s v="Clerical"/>
    <s v="Yes"/>
    <n v="2"/>
    <s v="0-1 Miles"/>
    <s v="Europe"/>
    <n v="42"/>
    <s v="Middle-Aged"/>
    <x v="0"/>
    <n v="0"/>
  </r>
  <r>
    <n v="12234"/>
    <s v="Married"/>
    <s v="Male"/>
    <n v="10000"/>
    <x v="0"/>
    <n v="2"/>
    <s v="Partial College"/>
    <s v="Manual"/>
    <s v="Yes"/>
    <n v="1"/>
    <s v="2-5 Miles"/>
    <s v="Europe"/>
    <n v="52"/>
    <s v="Middle-Aged"/>
    <x v="0"/>
    <n v="0"/>
  </r>
  <r>
    <n v="28683"/>
    <s v="Single"/>
    <s v="Female"/>
    <n v="10000"/>
    <x v="0"/>
    <n v="1"/>
    <s v="High School"/>
    <s v="Manual"/>
    <s v="No"/>
    <n v="1"/>
    <s v="5-10 Miles"/>
    <s v="Europe"/>
    <n v="35"/>
    <s v="Adults"/>
    <x v="1"/>
    <n v="1"/>
  </r>
  <r>
    <n v="17994"/>
    <s v="Single"/>
    <s v="Male"/>
    <n v="20000"/>
    <x v="0"/>
    <n v="2"/>
    <s v="High School"/>
    <s v="Manual"/>
    <s v="Yes"/>
    <n v="2"/>
    <s v="0-1 Miles"/>
    <s v="Europe"/>
    <n v="42"/>
    <s v="Middle-Aged"/>
    <x v="0"/>
    <n v="0"/>
  </r>
  <r>
    <n v="24273"/>
    <s v="Married"/>
    <s v="Female"/>
    <n v="20000"/>
    <x v="0"/>
    <n v="2"/>
    <s v="Partial High School"/>
    <s v="Clerical"/>
    <s v="Yes"/>
    <n v="2"/>
    <s v="5-10 Miles"/>
    <s v="Pacific"/>
    <n v="55"/>
    <s v="Middle-Aged"/>
    <x v="1"/>
    <n v="1"/>
  </r>
  <r>
    <n v="26547"/>
    <s v="Single"/>
    <s v="Female"/>
    <n v="30000"/>
    <x v="0"/>
    <n v="2"/>
    <s v="Partial College"/>
    <s v="Clerical"/>
    <s v="No"/>
    <n v="2"/>
    <s v="5-10 Miles"/>
    <s v="Pacific"/>
    <n v="60"/>
    <s v="Seniors"/>
    <x v="1"/>
    <n v="1"/>
  </r>
  <r>
    <n v="22500"/>
    <s v="Single"/>
    <s v="Male"/>
    <n v="40000"/>
    <x v="0"/>
    <n v="0"/>
    <s v="Bachelors"/>
    <s v="Professional"/>
    <s v="No"/>
    <n v="0"/>
    <s v="0-1 Miles"/>
    <s v="Europe"/>
    <n v="40"/>
    <s v="Middle-Aged"/>
    <x v="1"/>
    <n v="1"/>
  </r>
  <r>
    <n v="23993"/>
    <s v="Single"/>
    <s v="Female"/>
    <n v="10000"/>
    <x v="0"/>
    <n v="0"/>
    <s v="Partial College"/>
    <s v="Manual"/>
    <s v="No"/>
    <n v="1"/>
    <s v="0-1 Miles"/>
    <s v="Pacific"/>
    <n v="26"/>
    <s v="Young Adults"/>
    <x v="1"/>
    <n v="1"/>
  </r>
  <r>
    <n v="14832"/>
    <s v="Married"/>
    <s v="Male"/>
    <n v="40000"/>
    <x v="0"/>
    <n v="1"/>
    <s v="Bachelors"/>
    <s v="Skilled Manual"/>
    <s v="Yes"/>
    <n v="0"/>
    <s v="0-1 Miles"/>
    <s v="Europe"/>
    <n v="42"/>
    <s v="Middle-Aged"/>
    <x v="1"/>
    <n v="1"/>
  </r>
  <r>
    <n v="16614"/>
    <s v="Married"/>
    <s v="Female"/>
    <n v="80000"/>
    <x v="1"/>
    <n v="0"/>
    <s v="Bachelors"/>
    <s v="Professional"/>
    <s v="Yes"/>
    <n v="3"/>
    <s v="More than 10 Miles"/>
    <s v="Pacific"/>
    <n v="32"/>
    <s v="Adults"/>
    <x v="0"/>
    <n v="0"/>
  </r>
  <r>
    <n v="20877"/>
    <s v="Single"/>
    <s v="Male"/>
    <n v="30000"/>
    <x v="0"/>
    <n v="1"/>
    <s v="Bachelors"/>
    <s v="Clerical"/>
    <s v="Yes"/>
    <n v="0"/>
    <s v="1-2 Miles"/>
    <s v="Europe"/>
    <n v="37"/>
    <s v="Adults"/>
    <x v="1"/>
    <n v="1"/>
  </r>
  <r>
    <n v="20729"/>
    <s v="Married"/>
    <s v="Female"/>
    <n v="40000"/>
    <x v="0"/>
    <n v="2"/>
    <s v="Partial College"/>
    <s v="Clerical"/>
    <s v="No"/>
    <n v="1"/>
    <s v="0-1 Miles"/>
    <s v="Europe"/>
    <n v="34"/>
    <s v="Adults"/>
    <x v="0"/>
    <n v="0"/>
  </r>
  <r>
    <n v="22464"/>
    <s v="Married"/>
    <s v="Male"/>
    <n v="40000"/>
    <x v="0"/>
    <n v="0"/>
    <s v="Graduate Degree"/>
    <s v="Clerical"/>
    <s v="Yes"/>
    <n v="0"/>
    <s v="0-1 Miles"/>
    <s v="Europe"/>
    <n v="37"/>
    <s v="Adults"/>
    <x v="1"/>
    <n v="1"/>
  </r>
  <r>
    <n v="19475"/>
    <s v="Married"/>
    <s v="Female"/>
    <n v="40000"/>
    <x v="0"/>
    <n v="0"/>
    <s v="Bachelors"/>
    <s v="Professional"/>
    <s v="No"/>
    <n v="0"/>
    <s v="0-1 Miles"/>
    <s v="Europe"/>
    <n v="40"/>
    <s v="Middle-Aged"/>
    <x v="1"/>
    <n v="1"/>
  </r>
  <r>
    <n v="19675"/>
    <s v="Married"/>
    <s v="Male"/>
    <n v="20000"/>
    <x v="0"/>
    <n v="4"/>
    <s v="High School"/>
    <s v="Skilled Manual"/>
    <s v="Yes"/>
    <n v="2"/>
    <s v="5-10 Miles"/>
    <s v="Pacific"/>
    <n v="60"/>
    <s v="Seniors"/>
    <x v="0"/>
    <n v="0"/>
  </r>
  <r>
    <n v="12728"/>
    <s v="Single"/>
    <s v="Male"/>
    <n v="30000"/>
    <x v="0"/>
    <n v="0"/>
    <s v="Partial College"/>
    <s v="Clerical"/>
    <s v="No"/>
    <n v="1"/>
    <s v="1-2 Miles"/>
    <s v="Europe"/>
    <n v="27"/>
    <s v="Young Adults"/>
    <x v="0"/>
    <n v="0"/>
  </r>
  <r>
    <n v="26154"/>
    <s v="Married"/>
    <s v="Male"/>
    <n v="60000"/>
    <x v="0"/>
    <n v="1"/>
    <s v="Partial College"/>
    <s v="Skilled Manual"/>
    <s v="Yes"/>
    <n v="1"/>
    <s v="5-10 Miles"/>
    <s v="Pacific"/>
    <n v="43"/>
    <s v="Middle-Aged"/>
    <x v="1"/>
    <n v="1"/>
  </r>
  <r>
    <n v="29117"/>
    <s v="Single"/>
    <s v="Male"/>
    <n v="100000"/>
    <x v="1"/>
    <n v="1"/>
    <s v="Bachelors"/>
    <s v="Management"/>
    <s v="No"/>
    <n v="3"/>
    <s v="0-1 Miles"/>
    <s v="Pacific"/>
    <n v="48"/>
    <s v="Middle-Aged"/>
    <x v="0"/>
    <n v="0"/>
  </r>
  <r>
    <n v="17845"/>
    <s v="Single"/>
    <s v="Female"/>
    <n v="20000"/>
    <x v="0"/>
    <n v="0"/>
    <s v="Partial High School"/>
    <s v="Manual"/>
    <s v="No"/>
    <n v="2"/>
    <s v="1-2 Miles"/>
    <s v="Europe"/>
    <n v="32"/>
    <s v="Adults"/>
    <x v="0"/>
    <n v="0"/>
  </r>
  <r>
    <n v="25058"/>
    <s v="Married"/>
    <s v="Male"/>
    <n v="100000"/>
    <x v="1"/>
    <n v="1"/>
    <s v="Bachelors"/>
    <s v="Management"/>
    <s v="Yes"/>
    <n v="3"/>
    <s v="2-5 Miles"/>
    <s v="Pacific"/>
    <n v="47"/>
    <s v="Middle-Aged"/>
    <x v="0"/>
    <n v="0"/>
  </r>
  <r>
    <n v="23426"/>
    <s v="Single"/>
    <s v="Male"/>
    <n v="80000"/>
    <x v="1"/>
    <n v="5"/>
    <s v="Graduate Degree"/>
    <s v="Management"/>
    <s v="Yes"/>
    <n v="3"/>
    <s v="0-1 Miles"/>
    <s v="Pacific"/>
    <n v="40"/>
    <s v="Middle-Aged"/>
    <x v="0"/>
    <n v="0"/>
  </r>
  <r>
    <n v="14798"/>
    <s v="Single"/>
    <s v="Female"/>
    <n v="10000"/>
    <x v="0"/>
    <n v="4"/>
    <s v="Partial High School"/>
    <s v="Manual"/>
    <s v="Yes"/>
    <n v="2"/>
    <s v="0-1 Miles"/>
    <s v="Europe"/>
    <n v="41"/>
    <s v="Middle-Aged"/>
    <x v="1"/>
    <n v="1"/>
  </r>
  <r>
    <n v="12664"/>
    <s v="Married"/>
    <s v="Female"/>
    <n v="130000"/>
    <x v="2"/>
    <n v="5"/>
    <s v="Partial College"/>
    <s v="Professional"/>
    <s v="Yes"/>
    <n v="4"/>
    <s v="0-1 Miles"/>
    <s v="Europe"/>
    <n v="59"/>
    <s v="Middle-Aged"/>
    <x v="0"/>
    <n v="0"/>
  </r>
  <r>
    <n v="23979"/>
    <s v="Single"/>
    <s v="Male"/>
    <n v="10000"/>
    <x v="0"/>
    <n v="2"/>
    <s v="Partial College"/>
    <s v="Manual"/>
    <s v="No"/>
    <n v="0"/>
    <s v="0-1 Miles"/>
    <s v="Europe"/>
    <n v="50"/>
    <s v="Middle-Aged"/>
    <x v="0"/>
    <n v="0"/>
  </r>
  <r>
    <n v="25605"/>
    <s v="Single"/>
    <s v="Female"/>
    <n v="20000"/>
    <x v="0"/>
    <n v="2"/>
    <s v="Partial College"/>
    <s v="Manual"/>
    <s v="No"/>
    <n v="1"/>
    <s v="0-1 Miles"/>
    <s v="Europe"/>
    <n v="54"/>
    <s v="Middle-Aged"/>
    <x v="1"/>
    <n v="1"/>
  </r>
  <r>
    <n v="20797"/>
    <s v="Married"/>
    <s v="Female"/>
    <n v="10000"/>
    <x v="0"/>
    <n v="1"/>
    <s v="Bachelors"/>
    <s v="Manual"/>
    <s v="Yes"/>
    <n v="0"/>
    <s v="0-1 Miles"/>
    <s v="Europe"/>
    <n v="48"/>
    <s v="Middle-Aged"/>
    <x v="0"/>
    <n v="0"/>
  </r>
  <r>
    <n v="21980"/>
    <s v="Single"/>
    <s v="Female"/>
    <n v="60000"/>
    <x v="0"/>
    <n v="1"/>
    <s v="Bachelors"/>
    <s v="Professional"/>
    <s v="Yes"/>
    <n v="1"/>
    <s v="5-10 Miles"/>
    <s v="Pacific"/>
    <n v="44"/>
    <s v="Middle-Aged"/>
    <x v="1"/>
    <n v="1"/>
  </r>
  <r>
    <n v="25460"/>
    <s v="Married"/>
    <s v="Female"/>
    <n v="20000"/>
    <x v="0"/>
    <n v="2"/>
    <s v="High School"/>
    <s v="Manual"/>
    <s v="Yes"/>
    <n v="0"/>
    <s v="0-1 Miles"/>
    <s v="Europe"/>
    <n v="40"/>
    <s v="Middle-Aged"/>
    <x v="1"/>
    <n v="1"/>
  </r>
  <r>
    <n v="29181"/>
    <s v="Single"/>
    <s v="Female"/>
    <n v="60000"/>
    <x v="0"/>
    <n v="2"/>
    <s v="Bachelors"/>
    <s v="Professional"/>
    <s v="No"/>
    <n v="1"/>
    <s v="0-1 Miles"/>
    <s v="Pacific"/>
    <n v="38"/>
    <s v="Adults"/>
    <x v="1"/>
    <n v="1"/>
  </r>
  <r>
    <n v="24279"/>
    <s v="Single"/>
    <s v="Male"/>
    <n v="40000"/>
    <x v="0"/>
    <n v="2"/>
    <s v="Partial College"/>
    <s v="Skilled Manual"/>
    <s v="No"/>
    <n v="2"/>
    <s v="1-2 Miles"/>
    <s v="Pacific"/>
    <n v="52"/>
    <s v="Middle-Aged"/>
    <x v="0"/>
    <n v="0"/>
  </r>
  <r>
    <n v="22402"/>
    <s v="Married"/>
    <s v="Male"/>
    <n v="10000"/>
    <x v="0"/>
    <n v="0"/>
    <s v="Partial College"/>
    <s v="Manual"/>
    <s v="Yes"/>
    <n v="1"/>
    <s v="2-5 Miles"/>
    <s v="Pacific"/>
    <n v="25"/>
    <s v="Young Adults"/>
    <x v="1"/>
    <n v="1"/>
  </r>
  <r>
    <n v="15465"/>
    <s v="Married"/>
    <s v="Female"/>
    <n v="10000"/>
    <x v="0"/>
    <n v="0"/>
    <s v="Partial College"/>
    <s v="Manual"/>
    <s v="No"/>
    <n v="1"/>
    <s v="0-1 Miles"/>
    <s v="Pacific"/>
    <n v="25"/>
    <s v="Young Adults"/>
    <x v="0"/>
    <n v="0"/>
  </r>
  <r>
    <n v="26757"/>
    <s v="Single"/>
    <s v="Male"/>
    <n v="90000"/>
    <x v="1"/>
    <n v="1"/>
    <s v="Bachelors"/>
    <s v="Professional"/>
    <s v="Yes"/>
    <n v="1"/>
    <s v="2-5 Miles"/>
    <s v="Pacific"/>
    <n v="47"/>
    <s v="Middle-Aged"/>
    <x v="1"/>
    <n v="1"/>
  </r>
  <r>
    <n v="14233"/>
    <s v="Single"/>
    <s v="Male"/>
    <n v="100000"/>
    <x v="1"/>
    <n v="0"/>
    <s v="High School"/>
    <s v="Management"/>
    <s v="Yes"/>
    <n v="3"/>
    <s v="More than 10 Miles"/>
    <s v="Pacific"/>
    <n v="35"/>
    <s v="Adults"/>
    <x v="0"/>
    <n v="0"/>
  </r>
  <r>
    <n v="14058"/>
    <s v="Single"/>
    <s v="Male"/>
    <n v="70000"/>
    <x v="1"/>
    <n v="0"/>
    <s v="Bachelors"/>
    <s v="Professional"/>
    <s v="No"/>
    <n v="1"/>
    <s v="5-10 Miles"/>
    <s v="Pacific"/>
    <n v="41"/>
    <s v="Middle-Aged"/>
    <x v="1"/>
    <n v="1"/>
  </r>
  <r>
    <n v="12273"/>
    <s v="Married"/>
    <s v="Male"/>
    <n v="30000"/>
    <x v="0"/>
    <n v="1"/>
    <s v="Bachelors"/>
    <s v="Clerical"/>
    <s v="Yes"/>
    <n v="0"/>
    <s v="0-1 Miles"/>
    <s v="Europe"/>
    <n v="47"/>
    <s v="Middle-Aged"/>
    <x v="0"/>
    <n v="0"/>
  </r>
  <r>
    <n v="17203"/>
    <s v="Married"/>
    <s v="Female"/>
    <n v="130000"/>
    <x v="2"/>
    <n v="4"/>
    <s v="Partial College"/>
    <s v="Professional"/>
    <s v="Yes"/>
    <n v="4"/>
    <s v="5-10 Miles"/>
    <s v="Europe"/>
    <n v="61"/>
    <s v="Seniors"/>
    <x v="1"/>
    <n v="1"/>
  </r>
  <r>
    <n v="18144"/>
    <s v="Married"/>
    <s v="Female"/>
    <n v="80000"/>
    <x v="1"/>
    <n v="5"/>
    <s v="Bachelors"/>
    <s v="Management"/>
    <s v="Yes"/>
    <n v="2"/>
    <s v="2-5 Miles"/>
    <s v="Europe"/>
    <n v="61"/>
    <s v="Seniors"/>
    <x v="0"/>
    <n v="0"/>
  </r>
  <r>
    <n v="23963"/>
    <s v="Married"/>
    <s v="Male"/>
    <n v="10000"/>
    <x v="0"/>
    <n v="0"/>
    <s v="Partial High School"/>
    <s v="Manual"/>
    <s v="No"/>
    <n v="2"/>
    <s v="0-1 Miles"/>
    <s v="Europe"/>
    <n v="33"/>
    <s v="Adults"/>
    <x v="0"/>
    <n v="0"/>
  </r>
  <r>
    <n v="17907"/>
    <s v="Married"/>
    <s v="Female"/>
    <n v="10000"/>
    <x v="0"/>
    <n v="0"/>
    <s v="Partial College"/>
    <s v="Manual"/>
    <s v="Yes"/>
    <n v="1"/>
    <s v="2-5 Miles"/>
    <s v="Pacific"/>
    <n v="27"/>
    <s v="Young Adults"/>
    <x v="0"/>
    <n v="0"/>
  </r>
  <r>
    <n v="19442"/>
    <s v="Single"/>
    <s v="Male"/>
    <n v="50000"/>
    <x v="0"/>
    <n v="0"/>
    <s v="Graduate Degree"/>
    <s v="Skilled Manual"/>
    <s v="Yes"/>
    <n v="0"/>
    <s v="0-1 Miles"/>
    <s v="Europe"/>
    <n v="37"/>
    <s v="Adults"/>
    <x v="1"/>
    <n v="1"/>
  </r>
  <r>
    <n v="17504"/>
    <s v="Single"/>
    <s v="Female"/>
    <n v="80000"/>
    <x v="1"/>
    <n v="2"/>
    <s v="Partial College"/>
    <s v="Skilled Manual"/>
    <s v="Yes"/>
    <n v="2"/>
    <s v="5-10 Miles"/>
    <s v="Pacific"/>
    <n v="52"/>
    <s v="Middle-Aged"/>
    <x v="1"/>
    <n v="1"/>
  </r>
  <r>
    <n v="12253"/>
    <s v="Single"/>
    <s v="Female"/>
    <n v="20000"/>
    <x v="0"/>
    <n v="0"/>
    <s v="Partial College"/>
    <s v="Manual"/>
    <s v="Yes"/>
    <n v="0"/>
    <s v="0-1 Miles"/>
    <s v="Pacific"/>
    <n v="29"/>
    <s v="Young Adults"/>
    <x v="1"/>
    <n v="1"/>
  </r>
  <r>
    <n v="27304"/>
    <s v="Single"/>
    <s v="Female"/>
    <n v="110000"/>
    <x v="1"/>
    <n v="2"/>
    <s v="Partial College"/>
    <s v="Professional"/>
    <s v="No"/>
    <n v="3"/>
    <s v="5-10 Miles"/>
    <s v="Europe"/>
    <n v="48"/>
    <s v="Middle-Aged"/>
    <x v="0"/>
    <n v="0"/>
  </r>
  <r>
    <n v="14191"/>
    <s v="Married"/>
    <s v="Male"/>
    <n v="160000"/>
    <x v="2"/>
    <n v="4"/>
    <s v="Partial College"/>
    <s v="Professional"/>
    <s v="No"/>
    <n v="2"/>
    <s v="More than 10 Miles"/>
    <s v="Europe"/>
    <n v="55"/>
    <s v="Middle-Aged"/>
    <x v="1"/>
    <n v="1"/>
  </r>
  <r>
    <n v="12212"/>
    <s v="Married"/>
    <s v="Female"/>
    <n v="10000"/>
    <x v="0"/>
    <n v="0"/>
    <s v="Graduate Degree"/>
    <s v="Manual"/>
    <s v="Yes"/>
    <n v="0"/>
    <s v="0-1 Miles"/>
    <s v="Europe"/>
    <n v="37"/>
    <s v="Adults"/>
    <x v="1"/>
    <n v="1"/>
  </r>
  <r>
    <n v="25529"/>
    <s v="Single"/>
    <s v="Male"/>
    <n v="10000"/>
    <x v="0"/>
    <n v="1"/>
    <s v="Graduate Degree"/>
    <s v="Manual"/>
    <s v="Yes"/>
    <n v="0"/>
    <s v="0-1 Miles"/>
    <s v="Europe"/>
    <n v="44"/>
    <s v="Middle-Aged"/>
    <x v="0"/>
    <n v="0"/>
  </r>
  <r>
    <n v="22170"/>
    <s v="Married"/>
    <s v="Female"/>
    <n v="30000"/>
    <x v="0"/>
    <n v="3"/>
    <s v="Partial College"/>
    <s v="Clerical"/>
    <s v="No"/>
    <n v="2"/>
    <s v="1-2 Miles"/>
    <s v="Pacific"/>
    <n v="55"/>
    <s v="Middle-Aged"/>
    <x v="1"/>
    <n v="1"/>
  </r>
  <r>
    <n v="19445"/>
    <s v="Married"/>
    <s v="Female"/>
    <n v="10000"/>
    <x v="0"/>
    <n v="2"/>
    <s v="High School"/>
    <s v="Manual"/>
    <s v="No"/>
    <n v="1"/>
    <s v="0-1 Miles"/>
    <s v="Europe"/>
    <n v="38"/>
    <s v="Adults"/>
    <x v="0"/>
    <n v="0"/>
  </r>
  <r>
    <n v="15265"/>
    <s v="Single"/>
    <s v="Male"/>
    <n v="40000"/>
    <x v="0"/>
    <n v="2"/>
    <s v="Bachelors"/>
    <s v="Management"/>
    <s v="Yes"/>
    <n v="2"/>
    <s v="5-10 Miles"/>
    <s v="Pacific"/>
    <n v="66"/>
    <s v="Seniors"/>
    <x v="1"/>
    <n v="1"/>
  </r>
  <r>
    <n v="28918"/>
    <s v="Married"/>
    <s v="Female"/>
    <n v="130000"/>
    <x v="2"/>
    <n v="4"/>
    <s v="High School"/>
    <s v="Management"/>
    <s v="No"/>
    <n v="4"/>
    <s v="More than 10 Miles"/>
    <s v="Europe"/>
    <n v="58"/>
    <s v="Middle-Aged"/>
    <x v="0"/>
    <n v="0"/>
  </r>
  <r>
    <n v="15799"/>
    <s v="Married"/>
    <s v="Female"/>
    <n v="90000"/>
    <x v="1"/>
    <n v="1"/>
    <s v="Bachelors"/>
    <s v="Professional"/>
    <s v="Yes"/>
    <n v="1"/>
    <s v="2-5 Miles"/>
    <s v="Pacific"/>
    <n v="47"/>
    <s v="Middle-Aged"/>
    <x v="1"/>
    <n v="1"/>
  </r>
  <r>
    <n v="11047"/>
    <s v="Married"/>
    <s v="Female"/>
    <n v="30000"/>
    <x v="0"/>
    <n v="3"/>
    <s v="High School"/>
    <s v="Skilled Manual"/>
    <s v="No"/>
    <n v="2"/>
    <s v="1-2 Miles"/>
    <s v="Pacific"/>
    <n v="56"/>
    <s v="Middle-Aged"/>
    <x v="1"/>
    <n v="1"/>
  </r>
  <r>
    <n v="18151"/>
    <s v="Single"/>
    <s v="Male"/>
    <n v="80000"/>
    <x v="1"/>
    <n v="5"/>
    <s v="Partial College"/>
    <s v="Professional"/>
    <s v="No"/>
    <n v="2"/>
    <s v="More than 10 Miles"/>
    <s v="Europe"/>
    <n v="59"/>
    <s v="Middle-Aged"/>
    <x v="0"/>
    <n v="0"/>
  </r>
  <r>
    <n v="20606"/>
    <s v="Married"/>
    <s v="Female"/>
    <n v="70000"/>
    <x v="1"/>
    <n v="0"/>
    <s v="Bachelors"/>
    <s v="Professional"/>
    <s v="Yes"/>
    <n v="4"/>
    <s v="More than 10 Miles"/>
    <s v="Pacific"/>
    <n v="32"/>
    <s v="Adults"/>
    <x v="1"/>
    <n v="1"/>
  </r>
  <r>
    <n v="19482"/>
    <s v="Married"/>
    <s v="Male"/>
    <n v="30000"/>
    <x v="0"/>
    <n v="1"/>
    <s v="Partial College"/>
    <s v="Clerical"/>
    <s v="Yes"/>
    <n v="1"/>
    <s v="0-1 Miles"/>
    <s v="Europe"/>
    <n v="44"/>
    <s v="Middle-Aged"/>
    <x v="1"/>
    <n v="1"/>
  </r>
  <r>
    <n v="16489"/>
    <s v="Married"/>
    <s v="Male"/>
    <n v="30000"/>
    <x v="0"/>
    <n v="3"/>
    <s v="High School"/>
    <s v="Skilled Manual"/>
    <s v="Yes"/>
    <n v="2"/>
    <s v="5-10 Miles"/>
    <s v="Pacific"/>
    <n v="55"/>
    <s v="Middle-Aged"/>
    <x v="0"/>
    <n v="0"/>
  </r>
  <r>
    <n v="26944"/>
    <s v="Single"/>
    <s v="Male"/>
    <n v="90000"/>
    <x v="1"/>
    <n v="2"/>
    <s v="High School"/>
    <s v="Manual"/>
    <s v="Yes"/>
    <n v="0"/>
    <s v="0-1 Miles"/>
    <s v="Europe"/>
    <n v="36"/>
    <s v="Adults"/>
    <x v="1"/>
    <n v="1"/>
  </r>
  <r>
    <n v="15682"/>
    <s v="Single"/>
    <s v="Female"/>
    <n v="80000"/>
    <x v="1"/>
    <n v="5"/>
    <s v="Bachelors"/>
    <s v="Management"/>
    <s v="Yes"/>
    <n v="2"/>
    <s v="More than 10 Miles"/>
    <s v="Europe"/>
    <n v="62"/>
    <s v="Seniors"/>
    <x v="0"/>
    <n v="0"/>
  </r>
  <r>
    <n v="26032"/>
    <s v="Married"/>
    <s v="Female"/>
    <n v="70000"/>
    <x v="1"/>
    <n v="5"/>
    <s v="Bachelors"/>
    <s v="Professional"/>
    <s v="Yes"/>
    <n v="4"/>
    <s v="More than 10 Miles"/>
    <s v="Pacific"/>
    <n v="41"/>
    <s v="Middle-Aged"/>
    <x v="0"/>
    <n v="0"/>
  </r>
  <r>
    <n v="17843"/>
    <s v="Single"/>
    <s v="Female"/>
    <n v="10000"/>
    <x v="0"/>
    <n v="0"/>
    <s v="Partial High School"/>
    <s v="Manual"/>
    <s v="No"/>
    <n v="2"/>
    <s v="0-1 Miles"/>
    <s v="Europe"/>
    <n v="32"/>
    <s v="Adults"/>
    <x v="0"/>
    <n v="0"/>
  </r>
  <r>
    <n v="25559"/>
    <s v="Single"/>
    <s v="Male"/>
    <n v="20000"/>
    <x v="0"/>
    <n v="0"/>
    <s v="Bachelors"/>
    <s v="Clerical"/>
    <s v="Yes"/>
    <n v="0"/>
    <s v="0-1 Miles"/>
    <s v="Pacific"/>
    <n v="25"/>
    <s v="Young Adults"/>
    <x v="1"/>
    <n v="1"/>
  </r>
  <r>
    <n v="16209"/>
    <s v="Single"/>
    <s v="Female"/>
    <n v="50000"/>
    <x v="0"/>
    <n v="0"/>
    <s v="Graduate Degree"/>
    <s v="Skilled Manual"/>
    <s v="Yes"/>
    <n v="0"/>
    <s v="1-2 Miles"/>
    <s v="Europe"/>
    <n v="36"/>
    <s v="Adults"/>
    <x v="0"/>
    <n v="0"/>
  </r>
  <r>
    <n v="11147"/>
    <s v="Married"/>
    <s v="Male"/>
    <n v="60000"/>
    <x v="0"/>
    <n v="2"/>
    <s v="Graduate Degree"/>
    <s v="Management"/>
    <s v="Yes"/>
    <n v="1"/>
    <s v="0-1 Miles"/>
    <s v="Pacific"/>
    <n v="67"/>
    <s v="Seniors"/>
    <x v="1"/>
    <n v="1"/>
  </r>
  <r>
    <n v="15214"/>
    <s v="Single"/>
    <s v="Female"/>
    <n v="100000"/>
    <x v="1"/>
    <n v="0"/>
    <s v="Graduate Degree"/>
    <s v="Management"/>
    <s v="No"/>
    <n v="1"/>
    <s v="1-2 Miles"/>
    <s v="Pacific"/>
    <n v="39"/>
    <s v="Adults"/>
    <x v="1"/>
    <n v="1"/>
  </r>
  <r>
    <n v="11453"/>
    <s v="Single"/>
    <s v="Male"/>
    <n v="80000"/>
    <x v="1"/>
    <n v="0"/>
    <s v="Bachelors"/>
    <s v="Professional"/>
    <s v="No"/>
    <n v="3"/>
    <s v="More than 10 Miles"/>
    <s v="Pacific"/>
    <n v="33"/>
    <s v="Adults"/>
    <x v="1"/>
    <n v="1"/>
  </r>
  <r>
    <n v="24584"/>
    <s v="Single"/>
    <s v="Male"/>
    <n v="60000"/>
    <x v="0"/>
    <n v="0"/>
    <s v="Bachelors"/>
    <s v="Professional"/>
    <s v="No"/>
    <n v="3"/>
    <s v="2-5 Miles"/>
    <s v="Pacific"/>
    <n v="31"/>
    <s v="Adults"/>
    <x v="0"/>
    <n v="0"/>
  </r>
  <r>
    <n v="12585"/>
    <s v="Married"/>
    <s v="Male"/>
    <n v="10000"/>
    <x v="0"/>
    <n v="1"/>
    <s v="High School"/>
    <s v="Manual"/>
    <s v="Yes"/>
    <n v="0"/>
    <s v="2-5 Miles"/>
    <s v="Pacific"/>
    <n v="27"/>
    <s v="Young Adults"/>
    <x v="1"/>
    <n v="1"/>
  </r>
  <r>
    <n v="18626"/>
    <s v="Single"/>
    <s v="Male"/>
    <n v="40000"/>
    <x v="0"/>
    <n v="2"/>
    <s v="Partial College"/>
    <s v="Clerical"/>
    <s v="Yes"/>
    <n v="0"/>
    <s v="1-2 Miles"/>
    <s v="Europe"/>
    <n v="33"/>
    <s v="Adults"/>
    <x v="1"/>
    <n v="1"/>
  </r>
  <r>
    <n v="29298"/>
    <s v="Single"/>
    <s v="Female"/>
    <n v="60000"/>
    <x v="0"/>
    <n v="1"/>
    <s v="Partial College"/>
    <s v="Skilled Manual"/>
    <s v="Yes"/>
    <n v="1"/>
    <s v="5-10 Miles"/>
    <s v="Pacific"/>
    <n v="46"/>
    <s v="Middle-Aged"/>
    <x v="1"/>
    <n v="1"/>
  </r>
  <r>
    <n v="24842"/>
    <s v="Single"/>
    <s v="Female"/>
    <n v="90000"/>
    <x v="1"/>
    <n v="3"/>
    <s v="High School"/>
    <s v="Professional"/>
    <s v="No"/>
    <n v="1"/>
    <s v="2-5 Miles"/>
    <s v="Europe"/>
    <n v="51"/>
    <s v="Middle-Aged"/>
    <x v="0"/>
    <n v="0"/>
  </r>
  <r>
    <n v="15657"/>
    <s v="Married"/>
    <s v="Male"/>
    <n v="30000"/>
    <x v="0"/>
    <n v="3"/>
    <s v="Graduate Degree"/>
    <s v="Clerical"/>
    <s v="Yes"/>
    <n v="0"/>
    <s v="0-1 Miles"/>
    <s v="Europe"/>
    <n v="46"/>
    <s v="Middle-Aged"/>
    <x v="1"/>
    <n v="1"/>
  </r>
  <r>
    <n v="11415"/>
    <s v="Single"/>
    <s v="Male"/>
    <n v="90000"/>
    <x v="1"/>
    <n v="5"/>
    <s v="Partial College"/>
    <s v="Professional"/>
    <s v="No"/>
    <n v="2"/>
    <s v="More than 10 Miles"/>
    <s v="Europe"/>
    <n v="62"/>
    <s v="Seniors"/>
    <x v="0"/>
    <n v="0"/>
  </r>
  <r>
    <n v="28729"/>
    <s v="Single"/>
    <s v="Female"/>
    <n v="20000"/>
    <x v="0"/>
    <n v="0"/>
    <s v="Partial High School"/>
    <s v="Manual"/>
    <s v="Yes"/>
    <n v="2"/>
    <s v="1-2 Miles"/>
    <s v="Europe"/>
    <n v="26"/>
    <s v="Young Adults"/>
    <x v="1"/>
    <n v="1"/>
  </r>
  <r>
    <n v="22633"/>
    <s v="Single"/>
    <s v="Female"/>
    <n v="40000"/>
    <x v="0"/>
    <n v="0"/>
    <s v="Graduate Degree"/>
    <s v="Clerical"/>
    <s v="Yes"/>
    <n v="0"/>
    <s v="0-1 Miles"/>
    <s v="Europe"/>
    <n v="37"/>
    <s v="Adults"/>
    <x v="1"/>
    <n v="1"/>
  </r>
  <r>
    <n v="25649"/>
    <s v="Single"/>
    <s v="Female"/>
    <n v="30000"/>
    <x v="0"/>
    <n v="3"/>
    <s v="Partial College"/>
    <s v="Clerical"/>
    <s v="Yes"/>
    <n v="0"/>
    <s v="0-1 Miles"/>
    <s v="Europe"/>
    <n v="42"/>
    <s v="Middle-Aged"/>
    <x v="1"/>
    <n v="1"/>
  </r>
  <r>
    <n v="14669"/>
    <s v="Married"/>
    <s v="Female"/>
    <n v="80000"/>
    <x v="1"/>
    <n v="4"/>
    <s v="Graduate Degree"/>
    <s v="Management"/>
    <s v="Yes"/>
    <n v="1"/>
    <s v="0-1 Miles"/>
    <s v="Pacific"/>
    <n v="36"/>
    <s v="Adults"/>
    <x v="0"/>
    <n v="0"/>
  </r>
  <r>
    <n v="19299"/>
    <s v="Married"/>
    <s v="Female"/>
    <n v="50000"/>
    <x v="0"/>
    <n v="0"/>
    <s v="Graduate Degree"/>
    <s v="Skilled Manual"/>
    <s v="Yes"/>
    <n v="0"/>
    <s v="0-1 Miles"/>
    <s v="Europe"/>
    <n v="36"/>
    <s v="Adults"/>
    <x v="1"/>
    <n v="1"/>
  </r>
  <r>
    <n v="20946"/>
    <s v="Single"/>
    <s v="Female"/>
    <n v="30000"/>
    <x v="0"/>
    <n v="0"/>
    <s v="Partial College"/>
    <s v="Clerical"/>
    <s v="No"/>
    <n v="1"/>
    <s v="2-5 Miles"/>
    <s v="Europe"/>
    <n v="30"/>
    <s v="Adults"/>
    <x v="0"/>
    <n v="0"/>
  </r>
  <r>
    <n v="11451"/>
    <s v="Single"/>
    <s v="Male"/>
    <n v="70000"/>
    <x v="1"/>
    <n v="0"/>
    <s v="Bachelors"/>
    <s v="Professional"/>
    <s v="No"/>
    <n v="4"/>
    <s v="More than 10 Miles"/>
    <s v="Pacific"/>
    <n v="31"/>
    <s v="Adults"/>
    <x v="1"/>
    <n v="1"/>
  </r>
  <r>
    <n v="25553"/>
    <s v="Married"/>
    <s v="Male"/>
    <n v="30000"/>
    <x v="0"/>
    <n v="1"/>
    <s v="Bachelors"/>
    <s v="Clerical"/>
    <s v="Yes"/>
    <n v="0"/>
    <s v="0-1 Miles"/>
    <s v="Europe"/>
    <n v="65"/>
    <s v="Seniors"/>
    <x v="1"/>
    <n v="1"/>
  </r>
  <r>
    <n v="27951"/>
    <s v="Single"/>
    <s v="Male"/>
    <n v="80000"/>
    <x v="1"/>
    <n v="4"/>
    <s v="Partial College"/>
    <s v="Professional"/>
    <s v="No"/>
    <n v="2"/>
    <s v="2-5 Miles"/>
    <s v="Europe"/>
    <n v="54"/>
    <s v="Middle-Aged"/>
    <x v="1"/>
    <n v="1"/>
  </r>
  <r>
    <n v="25026"/>
    <s v="Married"/>
    <s v="Male"/>
    <n v="20000"/>
    <x v="0"/>
    <n v="2"/>
    <s v="Partial High School"/>
    <s v="Clerical"/>
    <s v="Yes"/>
    <n v="3"/>
    <s v="5-10 Miles"/>
    <s v="Pacific"/>
    <n v="54"/>
    <s v="Middle-Aged"/>
    <x v="0"/>
    <n v="0"/>
  </r>
  <r>
    <n v="13673"/>
    <s v="Single"/>
    <s v="Female"/>
    <n v="20000"/>
    <x v="0"/>
    <n v="0"/>
    <s v="Partial High School"/>
    <s v="Manual"/>
    <s v="No"/>
    <n v="2"/>
    <s v="0-1 Miles"/>
    <s v="Europe"/>
    <n v="25"/>
    <s v="Young Adults"/>
    <x v="0"/>
    <n v="0"/>
  </r>
  <r>
    <n v="16043"/>
    <s v="Single"/>
    <s v="Male"/>
    <n v="10000"/>
    <x v="0"/>
    <n v="1"/>
    <s v="Bachelors"/>
    <s v="Manual"/>
    <s v="Yes"/>
    <n v="0"/>
    <s v="0-1 Miles"/>
    <s v="Europe"/>
    <n v="48"/>
    <s v="Middle-Aged"/>
    <x v="0"/>
    <n v="0"/>
  </r>
  <r>
    <n v="22399"/>
    <s v="Single"/>
    <s v="Male"/>
    <n v="10000"/>
    <x v="0"/>
    <n v="0"/>
    <s v="Partial College"/>
    <s v="Manual"/>
    <s v="Yes"/>
    <n v="1"/>
    <s v="1-2 Miles"/>
    <s v="Pacific"/>
    <n v="26"/>
    <s v="Young Adults"/>
    <x v="1"/>
    <n v="1"/>
  </r>
  <r>
    <n v="27696"/>
    <s v="Married"/>
    <s v="Male"/>
    <n v="60000"/>
    <x v="0"/>
    <n v="1"/>
    <s v="Bachelors"/>
    <s v="Professional"/>
    <s v="Yes"/>
    <n v="1"/>
    <s v="5-10 Miles"/>
    <s v="Pacific"/>
    <n v="43"/>
    <s v="Middle-Aged"/>
    <x v="1"/>
    <n v="1"/>
  </r>
  <r>
    <n v="25313"/>
    <s v="Single"/>
    <s v="Male"/>
    <n v="10000"/>
    <x v="0"/>
    <n v="0"/>
    <s v="Partial High School"/>
    <s v="Manual"/>
    <s v="No"/>
    <n v="2"/>
    <s v="1-2 Miles"/>
    <s v="Europe"/>
    <n v="35"/>
    <s v="Adults"/>
    <x v="0"/>
    <n v="0"/>
  </r>
  <r>
    <n v="13813"/>
    <s v="Married"/>
    <s v="Female"/>
    <n v="30000"/>
    <x v="0"/>
    <n v="3"/>
    <s v="Partial College"/>
    <s v="Clerical"/>
    <s v="No"/>
    <n v="0"/>
    <s v="0-1 Miles"/>
    <s v="Europe"/>
    <n v="42"/>
    <s v="Middle-Aged"/>
    <x v="0"/>
    <n v="0"/>
  </r>
  <r>
    <n v="18711"/>
    <s v="Single"/>
    <s v="Female"/>
    <n v="70000"/>
    <x v="1"/>
    <n v="5"/>
    <s v="Bachelors"/>
    <s v="Professional"/>
    <s v="Yes"/>
    <n v="4"/>
    <s v="More than 10 Miles"/>
    <s v="Pacific"/>
    <n v="39"/>
    <s v="Adults"/>
    <x v="0"/>
    <n v="0"/>
  </r>
  <r>
    <n v="19650"/>
    <s v="Married"/>
    <s v="Female"/>
    <n v="30000"/>
    <x v="0"/>
    <n v="2"/>
    <s v="Partial College"/>
    <s v="Clerical"/>
    <s v="No"/>
    <n v="2"/>
    <s v="0-1 Miles"/>
    <s v="Pacific"/>
    <n v="67"/>
    <s v="Seniors"/>
    <x v="0"/>
    <n v="0"/>
  </r>
  <r>
    <n v="14135"/>
    <s v="Married"/>
    <s v="Male"/>
    <n v="20000"/>
    <x v="0"/>
    <n v="1"/>
    <s v="Partial College"/>
    <s v="Manual"/>
    <s v="Yes"/>
    <n v="0"/>
    <s v="1-2 Miles"/>
    <s v="Europe"/>
    <n v="35"/>
    <s v="Adults"/>
    <x v="0"/>
    <n v="0"/>
  </r>
  <r>
    <n v="12833"/>
    <s v="Single"/>
    <s v="Female"/>
    <n v="20000"/>
    <x v="0"/>
    <n v="3"/>
    <s v="High School"/>
    <s v="Manual"/>
    <s v="Yes"/>
    <n v="1"/>
    <s v="0-1 Miles"/>
    <s v="Europe"/>
    <n v="42"/>
    <s v="Middle-Aged"/>
    <x v="1"/>
    <n v="1"/>
  </r>
  <r>
    <n v="26849"/>
    <s v="Married"/>
    <s v="Male"/>
    <n v="10000"/>
    <x v="0"/>
    <n v="3"/>
    <s v="Partial High School"/>
    <s v="Manual"/>
    <s v="Yes"/>
    <n v="2"/>
    <s v="0-1 Miles"/>
    <s v="Europe"/>
    <n v="43"/>
    <s v="Middle-Aged"/>
    <x v="0"/>
    <n v="0"/>
  </r>
  <r>
    <n v="20962"/>
    <s v="Married"/>
    <s v="Female"/>
    <n v="20000"/>
    <x v="0"/>
    <n v="1"/>
    <s v="Graduate Degree"/>
    <s v="Clerical"/>
    <s v="Yes"/>
    <n v="0"/>
    <s v="0-1 Miles"/>
    <s v="Europe"/>
    <n v="45"/>
    <s v="Middle-Aged"/>
    <x v="0"/>
    <n v="0"/>
  </r>
  <r>
    <n v="28915"/>
    <s v="Single"/>
    <s v="Male"/>
    <n v="80000"/>
    <x v="1"/>
    <n v="5"/>
    <s v="High School"/>
    <s v="Management"/>
    <s v="Yes"/>
    <n v="3"/>
    <s v="More than 10 Miles"/>
    <s v="Europe"/>
    <n v="57"/>
    <s v="Middle-Aged"/>
    <x v="0"/>
    <n v="0"/>
  </r>
  <r>
    <n v="22830"/>
    <s v="Married"/>
    <s v="Male"/>
    <n v="120000"/>
    <x v="1"/>
    <n v="4"/>
    <s v="Partial College"/>
    <s v="Management"/>
    <s v="Yes"/>
    <n v="3"/>
    <s v="More than 10 Miles"/>
    <s v="Europe"/>
    <n v="56"/>
    <s v="Middle-Aged"/>
    <x v="0"/>
    <n v="0"/>
  </r>
  <r>
    <n v="14777"/>
    <s v="Married"/>
    <s v="Female"/>
    <n v="40000"/>
    <x v="0"/>
    <n v="0"/>
    <s v="Bachelors"/>
    <s v="Clerical"/>
    <s v="Yes"/>
    <n v="0"/>
    <s v="0-1 Miles"/>
    <s v="Europe"/>
    <n v="38"/>
    <s v="Adults"/>
    <x v="1"/>
    <n v="1"/>
  </r>
  <r>
    <n v="12591"/>
    <s v="Married"/>
    <s v="Female"/>
    <n v="30000"/>
    <x v="0"/>
    <n v="4"/>
    <s v="Graduate Degree"/>
    <s v="Clerical"/>
    <s v="Yes"/>
    <n v="0"/>
    <s v="0-1 Miles"/>
    <s v="Europe"/>
    <n v="45"/>
    <s v="Middle-Aged"/>
    <x v="0"/>
    <n v="0"/>
  </r>
  <r>
    <n v="24174"/>
    <s v="Married"/>
    <s v="Male"/>
    <n v="20000"/>
    <x v="0"/>
    <n v="0"/>
    <s v="Bachelors"/>
    <s v="Clerical"/>
    <s v="Yes"/>
    <n v="0"/>
    <s v="0-1 Miles"/>
    <s v="Pacific"/>
    <n v="27"/>
    <s v="Young Adults"/>
    <x v="1"/>
    <n v="1"/>
  </r>
  <r>
    <n v="24611"/>
    <s v="Single"/>
    <s v="Male"/>
    <n v="90000"/>
    <x v="1"/>
    <n v="0"/>
    <s v="Bachelors"/>
    <s v="Professional"/>
    <s v="No"/>
    <n v="4"/>
    <s v="More than 10 Miles"/>
    <s v="Pacific"/>
    <n v="35"/>
    <s v="Adults"/>
    <x v="1"/>
    <n v="1"/>
  </r>
  <r>
    <n v="11340"/>
    <s v="Married"/>
    <s v="Female"/>
    <n v="10000"/>
    <x v="0"/>
    <n v="1"/>
    <s v="Graduate Degree"/>
    <s v="Clerical"/>
    <s v="Yes"/>
    <n v="0"/>
    <s v="0-1 Miles"/>
    <s v="Europe"/>
    <n v="70"/>
    <s v="Seniors"/>
    <x v="1"/>
    <n v="1"/>
  </r>
  <r>
    <n v="25693"/>
    <s v="Single"/>
    <s v="Female"/>
    <n v="30000"/>
    <x v="0"/>
    <n v="5"/>
    <s v="Graduate Degree"/>
    <s v="Clerical"/>
    <s v="Yes"/>
    <n v="0"/>
    <s v="0-1 Miles"/>
    <s v="Europe"/>
    <n v="44"/>
    <s v="Middle-Aged"/>
    <x v="1"/>
    <n v="1"/>
  </r>
  <r>
    <n v="25555"/>
    <s v="Married"/>
    <s v="Female"/>
    <n v="10000"/>
    <x v="0"/>
    <n v="0"/>
    <s v="Partial College"/>
    <s v="Manual"/>
    <s v="No"/>
    <n v="1"/>
    <s v="0-1 Miles"/>
    <s v="Pacific"/>
    <n v="26"/>
    <s v="Young Adults"/>
    <x v="1"/>
    <n v="1"/>
  </r>
  <r>
    <n v="22006"/>
    <s v="Married"/>
    <s v="Male"/>
    <n v="70000"/>
    <x v="1"/>
    <n v="5"/>
    <s v="Partial College"/>
    <s v="Skilled Manual"/>
    <s v="Yes"/>
    <n v="3"/>
    <s v="5-10 Miles"/>
    <s v="Pacific"/>
    <n v="46"/>
    <s v="Middle-Aged"/>
    <x v="0"/>
    <n v="0"/>
  </r>
  <r>
    <n v="20060"/>
    <s v="Single"/>
    <s v="Female"/>
    <n v="30000"/>
    <x v="0"/>
    <n v="0"/>
    <s v="High School"/>
    <s v="Manual"/>
    <s v="No"/>
    <n v="1"/>
    <s v="2-5 Miles"/>
    <s v="Europe"/>
    <n v="34"/>
    <s v="Adults"/>
    <x v="1"/>
    <n v="1"/>
  </r>
  <r>
    <n v="17702"/>
    <s v="Married"/>
    <s v="Male"/>
    <n v="10000"/>
    <x v="0"/>
    <n v="1"/>
    <s v="Graduate Degree"/>
    <s v="Manual"/>
    <s v="Yes"/>
    <n v="0"/>
    <s v="0-1 Miles"/>
    <s v="Europe"/>
    <n v="37"/>
    <s v="Adults"/>
    <x v="0"/>
    <n v="0"/>
  </r>
  <r>
    <n v="12503"/>
    <s v="Single"/>
    <s v="Female"/>
    <n v="30000"/>
    <x v="0"/>
    <n v="3"/>
    <s v="Partial College"/>
    <s v="Clerical"/>
    <s v="Yes"/>
    <n v="2"/>
    <s v="0-1 Miles"/>
    <s v="Europe"/>
    <n v="27"/>
    <s v="Young Adults"/>
    <x v="0"/>
    <n v="0"/>
  </r>
  <r>
    <n v="23908"/>
    <s v="Single"/>
    <s v="Male"/>
    <n v="30000"/>
    <x v="0"/>
    <n v="1"/>
    <s v="Bachelors"/>
    <s v="Clerical"/>
    <s v="No"/>
    <n v="1"/>
    <s v="0-1 Miles"/>
    <s v="Europe"/>
    <n v="39"/>
    <s v="Adults"/>
    <x v="1"/>
    <n v="1"/>
  </r>
  <r>
    <n v="22527"/>
    <s v="Single"/>
    <s v="Female"/>
    <n v="20000"/>
    <x v="0"/>
    <n v="0"/>
    <s v="High School"/>
    <s v="Manual"/>
    <s v="No"/>
    <n v="1"/>
    <s v="2-5 Miles"/>
    <s v="Europe"/>
    <n v="29"/>
    <s v="Young Adults"/>
    <x v="0"/>
    <n v="0"/>
  </r>
  <r>
    <n v="19057"/>
    <s v="Married"/>
    <s v="Female"/>
    <n v="120000"/>
    <x v="1"/>
    <n v="3"/>
    <s v="Bachelors"/>
    <s v="Management"/>
    <s v="No"/>
    <n v="2"/>
    <s v="More than 10 Miles"/>
    <s v="Europe"/>
    <n v="52"/>
    <s v="Middle-Aged"/>
    <x v="1"/>
    <n v="1"/>
  </r>
  <r>
    <n v="18494"/>
    <s v="Married"/>
    <s v="Male"/>
    <n v="110000"/>
    <x v="1"/>
    <n v="5"/>
    <s v="Bachelors"/>
    <s v="Management"/>
    <s v="Yes"/>
    <n v="4"/>
    <s v="2-5 Miles"/>
    <s v="Pacific"/>
    <n v="48"/>
    <s v="Middle-Aged"/>
    <x v="1"/>
    <n v="1"/>
  </r>
  <r>
    <n v="11249"/>
    <s v="Married"/>
    <s v="Female"/>
    <n v="130000"/>
    <x v="2"/>
    <n v="3"/>
    <s v="Partial College"/>
    <s v="Professional"/>
    <s v="Yes"/>
    <n v="3"/>
    <s v="0-1 Miles"/>
    <s v="Europe"/>
    <n v="51"/>
    <s v="Middle-Aged"/>
    <x v="1"/>
    <n v="1"/>
  </r>
  <r>
    <n v="21568"/>
    <s v="Married"/>
    <s v="Female"/>
    <n v="100000"/>
    <x v="1"/>
    <n v="0"/>
    <s v="High School"/>
    <s v="Management"/>
    <s v="Yes"/>
    <n v="4"/>
    <s v="More than 10 Miles"/>
    <s v="Pacific"/>
    <n v="34"/>
    <s v="Adults"/>
    <x v="1"/>
    <n v="1"/>
  </r>
  <r>
    <n v="13981"/>
    <s v="Married"/>
    <s v="Female"/>
    <n v="10000"/>
    <x v="0"/>
    <n v="5"/>
    <s v="High School"/>
    <s v="Skilled Manual"/>
    <s v="No"/>
    <n v="3"/>
    <s v="1-2 Miles"/>
    <s v="Pacific"/>
    <n v="62"/>
    <s v="Seniors"/>
    <x v="0"/>
    <n v="0"/>
  </r>
  <r>
    <n v="23432"/>
    <s v="Single"/>
    <s v="Male"/>
    <n v="70000"/>
    <x v="1"/>
    <n v="0"/>
    <s v="Bachelors"/>
    <s v="Professional"/>
    <s v="Yes"/>
    <n v="1"/>
    <s v="5-10 Miles"/>
    <s v="Pacific"/>
    <n v="37"/>
    <s v="Adults"/>
    <x v="1"/>
    <n v="1"/>
  </r>
  <r>
    <n v="22931"/>
    <s v="Married"/>
    <s v="Male"/>
    <n v="100000"/>
    <x v="1"/>
    <n v="5"/>
    <s v="Graduate Degree"/>
    <s v="Management"/>
    <s v="No"/>
    <n v="1"/>
    <s v="1-2 Miles"/>
    <s v="Pacific"/>
    <n v="78"/>
    <s v="Seniors"/>
    <x v="1"/>
    <n v="1"/>
  </r>
  <r>
    <n v="18172"/>
    <s v="Married"/>
    <s v="Male"/>
    <n v="130000"/>
    <x v="2"/>
    <n v="4"/>
    <s v="High School"/>
    <s v="Professional"/>
    <s v="Yes"/>
    <n v="3"/>
    <s v="0-1 Miles"/>
    <s v="Europe"/>
    <n v="55"/>
    <s v="Middle-Aged"/>
    <x v="0"/>
    <n v="0"/>
  </r>
  <r>
    <n v="12666"/>
    <s v="Single"/>
    <s v="Male"/>
    <n v="60000"/>
    <x v="0"/>
    <n v="0"/>
    <s v="Bachelors"/>
    <s v="Professional"/>
    <s v="No"/>
    <n v="4"/>
    <s v="2-5 Miles"/>
    <s v="Pacific"/>
    <n v="31"/>
    <s v="Adults"/>
    <x v="0"/>
    <n v="0"/>
  </r>
  <r>
    <n v="20598"/>
    <s v="Married"/>
    <s v="Male"/>
    <n v="100000"/>
    <x v="1"/>
    <n v="3"/>
    <s v="Partial High School"/>
    <s v="Professional"/>
    <s v="Yes"/>
    <n v="0"/>
    <s v="More than 10 Miles"/>
    <s v="Europe"/>
    <n v="59"/>
    <s v="Middle-Aged"/>
    <x v="1"/>
    <n v="1"/>
  </r>
  <r>
    <n v="21375"/>
    <s v="Single"/>
    <s v="Male"/>
    <n v="20000"/>
    <x v="0"/>
    <n v="2"/>
    <s v="Partial High School"/>
    <s v="Clerical"/>
    <s v="Yes"/>
    <n v="2"/>
    <s v="5-10 Miles"/>
    <s v="Pacific"/>
    <n v="57"/>
    <s v="Middle-Aged"/>
    <x v="0"/>
    <n v="0"/>
  </r>
  <r>
    <n v="20839"/>
    <s v="Single"/>
    <s v="Female"/>
    <n v="30000"/>
    <x v="0"/>
    <n v="3"/>
    <s v="Graduate Degree"/>
    <s v="Clerical"/>
    <s v="Yes"/>
    <n v="0"/>
    <s v="0-1 Miles"/>
    <s v="Europe"/>
    <n v="47"/>
    <s v="Middle-Aged"/>
    <x v="1"/>
    <n v="1"/>
  </r>
  <r>
    <n v="21738"/>
    <s v="Married"/>
    <s v="Male"/>
    <n v="20000"/>
    <x v="0"/>
    <n v="1"/>
    <s v="Graduate Degree"/>
    <s v="Clerical"/>
    <s v="Yes"/>
    <n v="0"/>
    <s v="0-1 Miles"/>
    <s v="Europe"/>
    <n v="43"/>
    <s v="Middle-Aged"/>
    <x v="0"/>
    <n v="0"/>
  </r>
  <r>
    <n v="14164"/>
    <s v="Single"/>
    <s v="Female"/>
    <n v="50000"/>
    <x v="0"/>
    <n v="0"/>
    <s v="Graduate Degree"/>
    <s v="Skilled Manual"/>
    <s v="Yes"/>
    <n v="0"/>
    <s v="0-1 Miles"/>
    <s v="Europe"/>
    <n v="36"/>
    <s v="Adults"/>
    <x v="1"/>
    <n v="1"/>
  </r>
  <r>
    <n v="14193"/>
    <s v="Single"/>
    <s v="Female"/>
    <n v="100000"/>
    <x v="1"/>
    <n v="3"/>
    <s v="Partial College"/>
    <s v="Management"/>
    <s v="Yes"/>
    <n v="4"/>
    <s v="More than 10 Miles"/>
    <s v="Europe"/>
    <n v="56"/>
    <s v="Middle-Aged"/>
    <x v="0"/>
    <n v="0"/>
  </r>
  <r>
    <n v="12705"/>
    <s v="Married"/>
    <s v="Male"/>
    <n v="150000"/>
    <x v="2"/>
    <n v="0"/>
    <s v="Bachelors"/>
    <s v="Management"/>
    <s v="Yes"/>
    <n v="4"/>
    <s v="0-1 Miles"/>
    <s v="Pacific"/>
    <n v="37"/>
    <s v="Adults"/>
    <x v="1"/>
    <n v="1"/>
  </r>
  <r>
    <n v="22672"/>
    <s v="Single"/>
    <s v="Female"/>
    <n v="30000"/>
    <x v="0"/>
    <n v="2"/>
    <s v="Partial College"/>
    <s v="Clerical"/>
    <s v="Yes"/>
    <n v="0"/>
    <s v="0-1 Miles"/>
    <s v="Europe"/>
    <n v="43"/>
    <s v="Middle-Aged"/>
    <x v="0"/>
    <n v="0"/>
  </r>
  <r>
    <n v="26219"/>
    <s v="Married"/>
    <s v="Female"/>
    <n v="40000"/>
    <x v="0"/>
    <n v="1"/>
    <s v="Bachelors"/>
    <s v="Skilled Manual"/>
    <s v="Yes"/>
    <n v="1"/>
    <s v="1-2 Miles"/>
    <s v="Europe"/>
    <n v="33"/>
    <s v="Adults"/>
    <x v="1"/>
    <n v="1"/>
  </r>
  <r>
    <n v="28468"/>
    <s v="Married"/>
    <s v="Female"/>
    <n v="10000"/>
    <x v="0"/>
    <n v="2"/>
    <s v="Partial College"/>
    <s v="Manual"/>
    <s v="Yes"/>
    <n v="0"/>
    <s v="1-2 Miles"/>
    <s v="Europe"/>
    <n v="51"/>
    <s v="Middle-Aged"/>
    <x v="0"/>
    <n v="0"/>
  </r>
  <r>
    <n v="23419"/>
    <s v="Single"/>
    <s v="Female"/>
    <n v="70000"/>
    <x v="1"/>
    <n v="5"/>
    <s v="Bachelors"/>
    <s v="Professional"/>
    <s v="Yes"/>
    <n v="3"/>
    <s v="More than 10 Miles"/>
    <s v="Pacific"/>
    <n v="39"/>
    <s v="Adults"/>
    <x v="0"/>
    <n v="0"/>
  </r>
  <r>
    <n v="17964"/>
    <s v="Married"/>
    <s v="Male"/>
    <n v="40000"/>
    <x v="0"/>
    <n v="0"/>
    <s v="Graduate Degree"/>
    <s v="Clerical"/>
    <s v="Yes"/>
    <n v="0"/>
    <s v="0-1 Miles"/>
    <s v="Europe"/>
    <n v="37"/>
    <s v="Adults"/>
    <x v="1"/>
    <n v="1"/>
  </r>
  <r>
    <n v="20919"/>
    <s v="Single"/>
    <s v="Female"/>
    <n v="30000"/>
    <x v="0"/>
    <n v="2"/>
    <s v="Partial College"/>
    <s v="Clerical"/>
    <s v="Yes"/>
    <n v="2"/>
    <s v="0-1 Miles"/>
    <s v="Europe"/>
    <n v="42"/>
    <s v="Middle-Aged"/>
    <x v="0"/>
    <n v="0"/>
  </r>
  <r>
    <n v="20927"/>
    <s v="Single"/>
    <s v="Female"/>
    <n v="20000"/>
    <x v="0"/>
    <n v="5"/>
    <s v="High School"/>
    <s v="Manual"/>
    <s v="Yes"/>
    <n v="2"/>
    <s v="0-1 Miles"/>
    <s v="Europe"/>
    <n v="27"/>
    <s v="Young Adults"/>
    <x v="0"/>
    <n v="0"/>
  </r>
  <r>
    <n v="13133"/>
    <s v="Single"/>
    <s v="Male"/>
    <n v="100000"/>
    <x v="1"/>
    <n v="5"/>
    <s v="Bachelors"/>
    <s v="Professional"/>
    <s v="Yes"/>
    <n v="1"/>
    <s v="5-10 Miles"/>
    <s v="Pacific"/>
    <n v="47"/>
    <s v="Middle-Aged"/>
    <x v="1"/>
    <n v="1"/>
  </r>
  <r>
    <n v="19626"/>
    <s v="Married"/>
    <s v="Male"/>
    <n v="70000"/>
    <x v="1"/>
    <n v="5"/>
    <s v="Partial College"/>
    <s v="Skilled Manual"/>
    <s v="Yes"/>
    <n v="3"/>
    <s v="5-10 Miles"/>
    <s v="Pacific"/>
    <n v="45"/>
    <s v="Middle-Aged"/>
    <x v="0"/>
    <n v="0"/>
  </r>
  <r>
    <n v="21039"/>
    <s v="Single"/>
    <s v="Female"/>
    <n v="50000"/>
    <x v="0"/>
    <n v="0"/>
    <s v="Graduate Degree"/>
    <s v="Skilled Manual"/>
    <s v="No"/>
    <n v="0"/>
    <s v="0-1 Miles"/>
    <s v="Europe"/>
    <n v="37"/>
    <s v="Adults"/>
    <x v="1"/>
    <n v="1"/>
  </r>
  <r>
    <n v="12231"/>
    <s v="Single"/>
    <s v="Female"/>
    <n v="10000"/>
    <x v="0"/>
    <n v="2"/>
    <s v="Partial College"/>
    <s v="Manual"/>
    <s v="Yes"/>
    <n v="0"/>
    <s v="0-1 Miles"/>
    <s v="Europe"/>
    <n v="51"/>
    <s v="Middle-Aged"/>
    <x v="1"/>
    <n v="1"/>
  </r>
  <r>
    <n v="25665"/>
    <s v="Single"/>
    <s v="Female"/>
    <n v="20000"/>
    <x v="0"/>
    <n v="0"/>
    <s v="High School"/>
    <s v="Manual"/>
    <s v="No"/>
    <n v="1"/>
    <s v="1-2 Miles"/>
    <s v="Europe"/>
    <n v="28"/>
    <s v="Young Adults"/>
    <x v="0"/>
    <n v="0"/>
  </r>
  <r>
    <n v="24061"/>
    <s v="Married"/>
    <s v="Male"/>
    <n v="10000"/>
    <x v="0"/>
    <n v="4"/>
    <s v="Partial High School"/>
    <s v="Manual"/>
    <s v="Yes"/>
    <n v="1"/>
    <s v="0-1 Miles"/>
    <s v="Europe"/>
    <n v="40"/>
    <s v="Middle-Aged"/>
    <x v="1"/>
    <n v="1"/>
  </r>
  <r>
    <n v="26879"/>
    <s v="Single"/>
    <s v="Female"/>
    <n v="20000"/>
    <x v="0"/>
    <n v="0"/>
    <s v="High School"/>
    <s v="Manual"/>
    <s v="No"/>
    <n v="1"/>
    <s v="2-5 Miles"/>
    <s v="Europe"/>
    <n v="30"/>
    <s v="Adults"/>
    <x v="0"/>
    <n v="0"/>
  </r>
  <r>
    <n v="12284"/>
    <s v="Married"/>
    <s v="Female"/>
    <n v="30000"/>
    <x v="0"/>
    <n v="0"/>
    <s v="Bachelors"/>
    <s v="Clerical"/>
    <s v="No"/>
    <n v="0"/>
    <s v="0-1 Miles"/>
    <s v="Europe"/>
    <n v="36"/>
    <s v="Adults"/>
    <x v="1"/>
    <n v="1"/>
  </r>
  <r>
    <n v="26654"/>
    <s v="Married"/>
    <s v="Female"/>
    <n v="90000"/>
    <x v="1"/>
    <n v="1"/>
    <s v="Graduate Degree"/>
    <s v="Management"/>
    <s v="Yes"/>
    <n v="0"/>
    <s v="0-1 Miles"/>
    <s v="Pacific"/>
    <n v="37"/>
    <s v="Adults"/>
    <x v="1"/>
    <n v="1"/>
  </r>
  <r>
    <n v="14545"/>
    <s v="Married"/>
    <s v="Female"/>
    <n v="10000"/>
    <x v="0"/>
    <n v="2"/>
    <s v="Partial College"/>
    <s v="Manual"/>
    <s v="Yes"/>
    <n v="0"/>
    <s v="1-2 Miles"/>
    <s v="Europe"/>
    <n v="49"/>
    <s v="Middle-Aged"/>
    <x v="0"/>
    <n v="0"/>
  </r>
  <r>
    <n v="24201"/>
    <s v="Married"/>
    <s v="Female"/>
    <n v="10000"/>
    <x v="0"/>
    <n v="2"/>
    <s v="High School"/>
    <s v="Manual"/>
    <s v="Yes"/>
    <n v="0"/>
    <s v="0-1 Miles"/>
    <s v="Europe"/>
    <n v="37"/>
    <s v="Adults"/>
    <x v="1"/>
    <n v="1"/>
  </r>
  <r>
    <n v="20625"/>
    <s v="Married"/>
    <s v="Male"/>
    <n v="100000"/>
    <x v="1"/>
    <n v="0"/>
    <s v="High School"/>
    <s v="Management"/>
    <s v="Yes"/>
    <n v="3"/>
    <s v="More than 10 Miles"/>
    <s v="Pacific"/>
    <n v="35"/>
    <s v="Adults"/>
    <x v="1"/>
    <n v="1"/>
  </r>
  <r>
    <n v="16390"/>
    <s v="Single"/>
    <s v="Male"/>
    <n v="30000"/>
    <x v="0"/>
    <n v="1"/>
    <s v="Bachelors"/>
    <s v="Clerical"/>
    <s v="No"/>
    <n v="0"/>
    <s v="0-1 Miles"/>
    <s v="Europe"/>
    <n v="38"/>
    <s v="Adults"/>
    <x v="1"/>
    <n v="1"/>
  </r>
  <r>
    <n v="14804"/>
    <s v="Single"/>
    <s v="Female"/>
    <n v="10000"/>
    <x v="0"/>
    <n v="3"/>
    <s v="Partial High School"/>
    <s v="Manual"/>
    <s v="Yes"/>
    <n v="2"/>
    <s v="0-1 Miles"/>
    <s v="Europe"/>
    <n v="43"/>
    <s v="Middle-Aged"/>
    <x v="0"/>
    <n v="0"/>
  </r>
  <r>
    <n v="12629"/>
    <s v="Single"/>
    <s v="Male"/>
    <n v="20000"/>
    <x v="0"/>
    <n v="1"/>
    <s v="Partial College"/>
    <s v="Manual"/>
    <s v="No"/>
    <n v="0"/>
    <s v="0-1 Miles"/>
    <s v="Europe"/>
    <n v="37"/>
    <s v="Adults"/>
    <x v="0"/>
    <n v="0"/>
  </r>
  <r>
    <n v="14696"/>
    <s v="Single"/>
    <s v="Male"/>
    <n v="10000"/>
    <x v="0"/>
    <n v="0"/>
    <s v="Partial High School"/>
    <s v="Manual"/>
    <s v="No"/>
    <n v="2"/>
    <s v="0-1 Miles"/>
    <s v="Europe"/>
    <n v="34"/>
    <s v="Adults"/>
    <x v="0"/>
    <n v="0"/>
  </r>
  <r>
    <n v="22005"/>
    <s v="Married"/>
    <s v="Female"/>
    <n v="70000"/>
    <x v="1"/>
    <n v="5"/>
    <s v="Partial College"/>
    <s v="Skilled Manual"/>
    <s v="No"/>
    <n v="3"/>
    <s v="5-10 Miles"/>
    <s v="Pacific"/>
    <n v="46"/>
    <s v="Middle-Aged"/>
    <x v="0"/>
    <n v="0"/>
  </r>
  <r>
    <n v="14544"/>
    <s v="Single"/>
    <s v="Male"/>
    <n v="10000"/>
    <x v="0"/>
    <n v="1"/>
    <s v="Partial College"/>
    <s v="Manual"/>
    <s v="Yes"/>
    <n v="0"/>
    <s v="0-1 Miles"/>
    <s v="Europe"/>
    <n v="49"/>
    <s v="Middle-Aged"/>
    <x v="0"/>
    <n v="0"/>
  </r>
  <r>
    <n v="14312"/>
    <s v="Married"/>
    <s v="Female"/>
    <n v="60000"/>
    <x v="0"/>
    <n v="1"/>
    <s v="Partial College"/>
    <s v="Skilled Manual"/>
    <s v="Yes"/>
    <n v="1"/>
    <s v="5-10 Miles"/>
    <s v="Pacific"/>
    <n v="45"/>
    <s v="Middle-Aged"/>
    <x v="0"/>
    <n v="0"/>
  </r>
  <r>
    <n v="29120"/>
    <s v="Single"/>
    <s v="Female"/>
    <n v="100000"/>
    <x v="1"/>
    <n v="1"/>
    <s v="Bachelors"/>
    <s v="Management"/>
    <s v="Yes"/>
    <n v="4"/>
    <s v="2-5 Miles"/>
    <s v="Pacific"/>
    <n v="48"/>
    <s v="Middle-Aged"/>
    <x v="0"/>
    <n v="0"/>
  </r>
  <r>
    <n v="24187"/>
    <s v="Single"/>
    <s v="Female"/>
    <n v="30000"/>
    <x v="0"/>
    <n v="3"/>
    <s v="Graduate Degree"/>
    <s v="Clerical"/>
    <s v="No"/>
    <n v="0"/>
    <s v="0-1 Miles"/>
    <s v="Europe"/>
    <n v="46"/>
    <s v="Middle-Aged"/>
    <x v="1"/>
    <n v="1"/>
  </r>
  <r>
    <n v="15758"/>
    <s v="Married"/>
    <s v="Male"/>
    <n v="130000"/>
    <x v="2"/>
    <n v="0"/>
    <s v="Graduate Degree"/>
    <s v="Management"/>
    <s v="Yes"/>
    <n v="0"/>
    <s v="5-10 Miles"/>
    <s v="Pacific"/>
    <n v="48"/>
    <s v="Middle-Aged"/>
    <x v="0"/>
    <n v="0"/>
  </r>
  <r>
    <n v="29094"/>
    <s v="Married"/>
    <s v="Male"/>
    <n v="30000"/>
    <x v="0"/>
    <n v="3"/>
    <s v="High School"/>
    <s v="Skilled Manual"/>
    <s v="Yes"/>
    <n v="2"/>
    <s v="5-10 Miles"/>
    <s v="Pacific"/>
    <n v="54"/>
    <s v="Middle-Aged"/>
    <x v="1"/>
    <n v="1"/>
  </r>
  <r>
    <n v="28319"/>
    <s v="Single"/>
    <s v="Female"/>
    <n v="60000"/>
    <x v="0"/>
    <n v="1"/>
    <s v="Partial College"/>
    <s v="Skilled Manual"/>
    <s v="No"/>
    <n v="1"/>
    <s v="0-1 Miles"/>
    <s v="Pacific"/>
    <n v="46"/>
    <s v="Middle-Aged"/>
    <x v="1"/>
    <n v="1"/>
  </r>
  <r>
    <n v="16406"/>
    <s v="Married"/>
    <s v="Male"/>
    <n v="40000"/>
    <x v="0"/>
    <n v="0"/>
    <s v="Bachelors"/>
    <s v="Clerical"/>
    <s v="No"/>
    <n v="0"/>
    <s v="0-1 Miles"/>
    <s v="Europe"/>
    <n v="38"/>
    <s v="Adults"/>
    <x v="1"/>
    <n v="1"/>
  </r>
  <r>
    <n v="20923"/>
    <s v="Married"/>
    <s v="Female"/>
    <n v="40000"/>
    <x v="0"/>
    <n v="1"/>
    <s v="Bachelors"/>
    <s v="Skilled Manual"/>
    <s v="Yes"/>
    <n v="0"/>
    <s v="0-1 Miles"/>
    <s v="Europe"/>
    <n v="42"/>
    <s v="Middle-Aged"/>
    <x v="1"/>
    <n v="1"/>
  </r>
  <r>
    <n v="11378"/>
    <s v="Single"/>
    <s v="Female"/>
    <n v="10000"/>
    <x v="0"/>
    <n v="1"/>
    <s v="High School"/>
    <s v="Manual"/>
    <s v="No"/>
    <n v="1"/>
    <s v="2-5 Miles"/>
    <s v="Europe"/>
    <n v="46"/>
    <s v="Middle-Aged"/>
    <x v="1"/>
    <n v="1"/>
  </r>
  <r>
    <n v="20851"/>
    <s v="Single"/>
    <s v="Male"/>
    <n v="20000"/>
    <x v="0"/>
    <n v="0"/>
    <s v="Partial College"/>
    <s v="Manual"/>
    <s v="No"/>
    <n v="1"/>
    <s v="2-5 Miles"/>
    <s v="Europe"/>
    <n v="36"/>
    <s v="Adults"/>
    <x v="1"/>
    <n v="1"/>
  </r>
  <r>
    <n v="21557"/>
    <s v="Single"/>
    <s v="Female"/>
    <n v="110000"/>
    <x v="1"/>
    <n v="0"/>
    <s v="Partial College"/>
    <s v="Management"/>
    <s v="Yes"/>
    <n v="3"/>
    <s v="More than 10 Miles"/>
    <s v="Pacific"/>
    <n v="32"/>
    <s v="Adults"/>
    <x v="1"/>
    <n v="1"/>
  </r>
  <r>
    <n v="26663"/>
    <s v="Single"/>
    <s v="Female"/>
    <n v="60000"/>
    <x v="0"/>
    <n v="2"/>
    <s v="Bachelors"/>
    <s v="Professional"/>
    <s v="No"/>
    <n v="1"/>
    <s v="0-1 Miles"/>
    <s v="Pacific"/>
    <n v="39"/>
    <s v="Adults"/>
    <x v="1"/>
    <n v="1"/>
  </r>
  <r>
    <n v="11896"/>
    <s v="Married"/>
    <s v="Male"/>
    <n v="100000"/>
    <x v="1"/>
    <n v="1"/>
    <s v="Graduate Degree"/>
    <s v="Management"/>
    <s v="Yes"/>
    <n v="0"/>
    <s v="2-5 Miles"/>
    <s v="Pacific"/>
    <n v="36"/>
    <s v="Adults"/>
    <x v="1"/>
    <n v="1"/>
  </r>
  <r>
    <n v="14189"/>
    <s v="Married"/>
    <s v="Female"/>
    <n v="90000"/>
    <x v="1"/>
    <n v="4"/>
    <s v="High School"/>
    <s v="Professional"/>
    <s v="No"/>
    <n v="2"/>
    <s v="2-5 Miles"/>
    <s v="Europe"/>
    <n v="54"/>
    <s v="Middle-Aged"/>
    <x v="1"/>
    <n v="1"/>
  </r>
  <r>
    <n v="13136"/>
    <s v="Married"/>
    <s v="Female"/>
    <n v="30000"/>
    <x v="0"/>
    <n v="2"/>
    <s v="Partial College"/>
    <s v="Clerical"/>
    <s v="No"/>
    <n v="2"/>
    <s v="5-10 Miles"/>
    <s v="Pacific"/>
    <n v="69"/>
    <s v="Seniors"/>
    <x v="0"/>
    <n v="0"/>
  </r>
  <r>
    <n v="25906"/>
    <s v="Single"/>
    <s v="Female"/>
    <n v="10000"/>
    <x v="0"/>
    <n v="5"/>
    <s v="High School"/>
    <s v="Skilled Manual"/>
    <s v="No"/>
    <n v="2"/>
    <s v="1-2 Miles"/>
    <s v="Pacific"/>
    <n v="62"/>
    <s v="Seniors"/>
    <x v="0"/>
    <n v="0"/>
  </r>
  <r>
    <n v="17926"/>
    <s v="Single"/>
    <s v="Female"/>
    <n v="40000"/>
    <x v="0"/>
    <n v="0"/>
    <s v="Bachelors"/>
    <s v="Clerical"/>
    <s v="No"/>
    <n v="0"/>
    <s v="0-1 Miles"/>
    <s v="Pacific"/>
    <n v="28"/>
    <s v="Young Adults"/>
    <x v="1"/>
    <n v="1"/>
  </r>
  <r>
    <n v="26928"/>
    <s v="Single"/>
    <s v="Male"/>
    <n v="30000"/>
    <x v="0"/>
    <n v="1"/>
    <s v="Bachelors"/>
    <s v="Clerical"/>
    <s v="Yes"/>
    <n v="0"/>
    <s v="0-1 Miles"/>
    <s v="Europe"/>
    <n v="62"/>
    <s v="Seniors"/>
    <x v="1"/>
    <n v="1"/>
  </r>
  <r>
    <n v="20897"/>
    <s v="Married"/>
    <s v="Female"/>
    <n v="30000"/>
    <x v="0"/>
    <n v="1"/>
    <s v="Bachelors"/>
    <s v="Skilled Manual"/>
    <s v="Yes"/>
    <n v="2"/>
    <s v="0-1 Miles"/>
    <s v="Europe"/>
    <n v="40"/>
    <s v="Middle-Aged"/>
    <x v="0"/>
    <n v="0"/>
  </r>
  <r>
    <n v="28207"/>
    <s v="Married"/>
    <s v="Male"/>
    <n v="80000"/>
    <x v="1"/>
    <n v="4"/>
    <s v="Graduate Degree"/>
    <s v="Management"/>
    <s v="Yes"/>
    <n v="1"/>
    <s v="0-1 Miles"/>
    <s v="Pacific"/>
    <n v="36"/>
    <s v="Adults"/>
    <x v="1"/>
    <n v="1"/>
  </r>
  <r>
    <n v="25923"/>
    <s v="Single"/>
    <s v="Male"/>
    <n v="10000"/>
    <x v="0"/>
    <n v="2"/>
    <s v="Partial High School"/>
    <s v="Clerical"/>
    <s v="Yes"/>
    <n v="2"/>
    <s v="5-10 Miles"/>
    <s v="Pacific"/>
    <n v="58"/>
    <s v="Middle-Aged"/>
    <x v="0"/>
    <n v="0"/>
  </r>
  <r>
    <n v="11000"/>
    <s v="Married"/>
    <s v="Male"/>
    <n v="90000"/>
    <x v="1"/>
    <n v="2"/>
    <s v="Bachelors"/>
    <s v="Professional"/>
    <s v="Yes"/>
    <n v="0"/>
    <s v="1-2 Miles"/>
    <s v="Pacific"/>
    <n v="40"/>
    <s v="Middle-Aged"/>
    <x v="1"/>
    <n v="1"/>
  </r>
  <r>
    <n v="20974"/>
    <s v="Married"/>
    <s v="Male"/>
    <n v="10000"/>
    <x v="0"/>
    <n v="2"/>
    <s v="Bachelors"/>
    <s v="Clerical"/>
    <s v="Yes"/>
    <n v="1"/>
    <s v="0-1 Miles"/>
    <s v="Europe"/>
    <n v="66"/>
    <s v="Seniors"/>
    <x v="0"/>
    <n v="0"/>
  </r>
  <r>
    <n v="28758"/>
    <s v="Married"/>
    <s v="Male"/>
    <n v="40000"/>
    <x v="0"/>
    <n v="2"/>
    <s v="Partial College"/>
    <s v="Clerical"/>
    <s v="Yes"/>
    <n v="1"/>
    <s v="1-2 Miles"/>
    <s v="Europe"/>
    <n v="35"/>
    <s v="Adults"/>
    <x v="1"/>
    <n v="1"/>
  </r>
  <r>
    <n v="11381"/>
    <s v="Married"/>
    <s v="Female"/>
    <n v="20000"/>
    <x v="0"/>
    <n v="2"/>
    <s v="Partial College"/>
    <s v="Manual"/>
    <s v="Yes"/>
    <n v="1"/>
    <s v="2-5 Miles"/>
    <s v="Europe"/>
    <n v="47"/>
    <s v="Middle-Aged"/>
    <x v="1"/>
    <n v="1"/>
  </r>
  <r>
    <n v="17522"/>
    <s v="Married"/>
    <s v="Male"/>
    <n v="120000"/>
    <x v="1"/>
    <n v="4"/>
    <s v="Bachelors"/>
    <s v="Management"/>
    <s v="Yes"/>
    <n v="1"/>
    <s v="2-5 Miles"/>
    <s v="Pacific"/>
    <n v="47"/>
    <s v="Middle-Aged"/>
    <x v="0"/>
    <n v="0"/>
  </r>
  <r>
    <n v="21207"/>
    <s v="Married"/>
    <s v="Male"/>
    <n v="60000"/>
    <x v="0"/>
    <n v="1"/>
    <s v="Partial College"/>
    <s v="Skilled Manual"/>
    <s v="Yes"/>
    <n v="1"/>
    <s v="5-10 Miles"/>
    <s v="Pacific"/>
    <n v="46"/>
    <s v="Middle-Aged"/>
    <x v="0"/>
    <n v="0"/>
  </r>
  <r>
    <n v="28102"/>
    <s v="Married"/>
    <s v="Male"/>
    <n v="20000"/>
    <x v="0"/>
    <n v="4"/>
    <s v="High School"/>
    <s v="Skilled Manual"/>
    <s v="Yes"/>
    <n v="2"/>
    <s v="5-10 Miles"/>
    <s v="Pacific"/>
    <n v="58"/>
    <s v="Middle-Aged"/>
    <x v="1"/>
    <n v="1"/>
  </r>
  <r>
    <n v="23105"/>
    <s v="Single"/>
    <s v="Male"/>
    <n v="40000"/>
    <x v="0"/>
    <n v="3"/>
    <s v="Partial High School"/>
    <s v="Clerical"/>
    <s v="No"/>
    <n v="2"/>
    <s v="5-10 Miles"/>
    <s v="Pacific"/>
    <n v="52"/>
    <s v="Middle-Aged"/>
    <x v="1"/>
    <n v="1"/>
  </r>
  <r>
    <n v="18740"/>
    <s v="Married"/>
    <s v="Male"/>
    <n v="80000"/>
    <x v="1"/>
    <n v="5"/>
    <s v="Bachelors"/>
    <s v="Professional"/>
    <s v="No"/>
    <n v="1"/>
    <s v="0-1 Miles"/>
    <s v="Pacific"/>
    <n v="47"/>
    <s v="Middle-Aged"/>
    <x v="1"/>
    <n v="1"/>
  </r>
  <r>
    <n v="21213"/>
    <s v="Single"/>
    <s v="Male"/>
    <n v="70000"/>
    <x v="1"/>
    <n v="0"/>
    <s v="Bachelors"/>
    <s v="Professional"/>
    <s v="No"/>
    <n v="1"/>
    <s v="5-10 Miles"/>
    <s v="Pacific"/>
    <n v="41"/>
    <s v="Middle-Aged"/>
    <x v="0"/>
    <n v="0"/>
  </r>
  <r>
    <n v="17352"/>
    <s v="Married"/>
    <s v="Male"/>
    <n v="50000"/>
    <x v="0"/>
    <n v="2"/>
    <s v="Graduate Degree"/>
    <s v="Management"/>
    <s v="Yes"/>
    <n v="1"/>
    <s v="5-10 Miles"/>
    <s v="Pacific"/>
    <n v="64"/>
    <s v="Seniors"/>
    <x v="1"/>
    <n v="1"/>
  </r>
  <r>
    <n v="14154"/>
    <s v="Married"/>
    <s v="Male"/>
    <n v="30000"/>
    <x v="0"/>
    <n v="0"/>
    <s v="Bachelors"/>
    <s v="Clerical"/>
    <s v="Yes"/>
    <n v="0"/>
    <s v="0-1 Miles"/>
    <s v="Europe"/>
    <n v="35"/>
    <s v="Adults"/>
    <x v="1"/>
    <n v="1"/>
  </r>
  <r>
    <n v="19066"/>
    <s v="Married"/>
    <s v="Male"/>
    <n v="130000"/>
    <x v="2"/>
    <n v="4"/>
    <s v="Partial College"/>
    <s v="Professional"/>
    <s v="No"/>
    <n v="3"/>
    <s v="More than 10 Miles"/>
    <s v="Europe"/>
    <n v="54"/>
    <s v="Middle-Aged"/>
    <x v="0"/>
    <n v="0"/>
  </r>
  <r>
    <n v="11386"/>
    <s v="Married"/>
    <s v="Female"/>
    <n v="30000"/>
    <x v="0"/>
    <n v="3"/>
    <s v="Bachelors"/>
    <s v="Clerical"/>
    <s v="Yes"/>
    <n v="0"/>
    <s v="0-1 Miles"/>
    <s v="Europe"/>
    <n v="45"/>
    <s v="Middle-Aged"/>
    <x v="0"/>
    <n v="0"/>
  </r>
  <r>
    <n v="20228"/>
    <s v="Married"/>
    <s v="Male"/>
    <n v="100000"/>
    <x v="1"/>
    <n v="0"/>
    <s v="Graduate Degree"/>
    <s v="Management"/>
    <s v="Yes"/>
    <n v="0"/>
    <s v="2-5 Miles"/>
    <s v="Pacific"/>
    <n v="40"/>
    <s v="Middle-Aged"/>
    <x v="1"/>
    <n v="1"/>
  </r>
  <r>
    <n v="16675"/>
    <s v="Single"/>
    <s v="Female"/>
    <n v="160000"/>
    <x v="2"/>
    <n v="0"/>
    <s v="Graduate Degree"/>
    <s v="Management"/>
    <s v="No"/>
    <n v="3"/>
    <s v="0-1 Miles"/>
    <s v="Pacific"/>
    <n v="47"/>
    <s v="Middle-Aged"/>
    <x v="1"/>
    <n v="1"/>
  </r>
  <r>
    <n v="16410"/>
    <s v="Single"/>
    <s v="Female"/>
    <n v="10000"/>
    <x v="0"/>
    <n v="4"/>
    <s v="Partial High School"/>
    <s v="Manual"/>
    <s v="Yes"/>
    <n v="2"/>
    <s v="0-1 Miles"/>
    <s v="Europe"/>
    <n v="41"/>
    <s v="Middle-Aged"/>
    <x v="1"/>
    <n v="1"/>
  </r>
  <r>
    <n v="27760"/>
    <s v="Single"/>
    <s v="Female"/>
    <n v="40000"/>
    <x v="0"/>
    <n v="0"/>
    <s v="Graduate Degree"/>
    <s v="Clerical"/>
    <s v="No"/>
    <n v="0"/>
    <s v="0-1 Miles"/>
    <s v="Europe"/>
    <n v="37"/>
    <s v="Adults"/>
    <x v="1"/>
    <n v="1"/>
  </r>
  <r>
    <n v="22930"/>
    <s v="Married"/>
    <s v="Male"/>
    <n v="90000"/>
    <x v="1"/>
    <n v="4"/>
    <s v="Bachelors"/>
    <s v="Professional"/>
    <s v="Yes"/>
    <n v="0"/>
    <s v="1-2 Miles"/>
    <s v="Pacific"/>
    <n v="38"/>
    <s v="Adults"/>
    <x v="1"/>
    <n v="1"/>
  </r>
  <r>
    <n v="23780"/>
    <s v="Single"/>
    <s v="Male"/>
    <n v="40000"/>
    <x v="0"/>
    <n v="2"/>
    <s v="Partial College"/>
    <s v="Clerical"/>
    <s v="No"/>
    <n v="2"/>
    <s v="0-1 Miles"/>
    <s v="Europe"/>
    <n v="36"/>
    <s v="Adults"/>
    <x v="1"/>
    <n v="1"/>
  </r>
  <r>
    <n v="20994"/>
    <s v="Married"/>
    <s v="Female"/>
    <n v="20000"/>
    <x v="0"/>
    <n v="0"/>
    <s v="Bachelors"/>
    <s v="Clerical"/>
    <s v="No"/>
    <n v="0"/>
    <s v="0-1 Miles"/>
    <s v="Pacific"/>
    <n v="26"/>
    <s v="Young Adults"/>
    <x v="1"/>
    <n v="1"/>
  </r>
  <r>
    <n v="28379"/>
    <s v="Married"/>
    <s v="Male"/>
    <n v="30000"/>
    <x v="0"/>
    <n v="1"/>
    <s v="Bachelors"/>
    <s v="Skilled Manual"/>
    <s v="Yes"/>
    <n v="2"/>
    <s v="0-1 Miles"/>
    <s v="Europe"/>
    <n v="40"/>
    <s v="Middle-Aged"/>
    <x v="0"/>
    <n v="0"/>
  </r>
  <r>
    <n v="14865"/>
    <s v="Single"/>
    <s v="Male"/>
    <n v="40000"/>
    <x v="0"/>
    <n v="2"/>
    <s v="Partial College"/>
    <s v="Clerical"/>
    <s v="Yes"/>
    <n v="2"/>
    <s v="1-2 Miles"/>
    <s v="Europe"/>
    <n v="36"/>
    <s v="Adults"/>
    <x v="0"/>
    <n v="0"/>
  </r>
  <r>
    <n v="12663"/>
    <s v="Married"/>
    <s v="Female"/>
    <n v="90000"/>
    <x v="1"/>
    <n v="5"/>
    <s v="Partial High School"/>
    <s v="Skilled Manual"/>
    <s v="Yes"/>
    <n v="2"/>
    <s v="More than 10 Miles"/>
    <s v="Europe"/>
    <n v="59"/>
    <s v="Middle-Aged"/>
    <x v="0"/>
    <n v="0"/>
  </r>
  <r>
    <n v="24898"/>
    <s v="Single"/>
    <s v="Female"/>
    <n v="80000"/>
    <x v="1"/>
    <n v="0"/>
    <s v="Bachelors"/>
    <s v="Professional"/>
    <s v="Yes"/>
    <n v="3"/>
    <s v="More than 10 Miles"/>
    <s v="Pacific"/>
    <n v="32"/>
    <s v="Adults"/>
    <x v="0"/>
    <n v="0"/>
  </r>
  <r>
    <n v="19508"/>
    <s v="Married"/>
    <s v="Male"/>
    <n v="10000"/>
    <x v="0"/>
    <n v="0"/>
    <s v="Partial High School"/>
    <s v="Manual"/>
    <s v="No"/>
    <n v="2"/>
    <s v="0-1 Miles"/>
    <s v="Europe"/>
    <n v="30"/>
    <s v="Adults"/>
    <x v="0"/>
    <n v="0"/>
  </r>
  <r>
    <n v="11489"/>
    <s v="Single"/>
    <s v="Female"/>
    <n v="20000"/>
    <x v="0"/>
    <n v="0"/>
    <s v="Partial High School"/>
    <s v="Manual"/>
    <s v="No"/>
    <n v="2"/>
    <s v="1-2 Miles"/>
    <s v="Europe"/>
    <n v="35"/>
    <s v="Adults"/>
    <x v="1"/>
    <n v="1"/>
  </r>
  <r>
    <n v="18160"/>
    <s v="Married"/>
    <s v="Male"/>
    <n v="130000"/>
    <x v="2"/>
    <n v="3"/>
    <s v="High School"/>
    <s v="Professional"/>
    <s v="Yes"/>
    <n v="4"/>
    <s v="5-10 Miles"/>
    <s v="Europe"/>
    <n v="51"/>
    <s v="Middle-Aged"/>
    <x v="1"/>
    <n v="1"/>
  </r>
  <r>
    <n v="25241"/>
    <s v="Married"/>
    <s v="Male"/>
    <n v="90000"/>
    <x v="1"/>
    <n v="2"/>
    <s v="Bachelors"/>
    <s v="Professional"/>
    <s v="Yes"/>
    <n v="1"/>
    <s v="5-10 Miles"/>
    <s v="Pacific"/>
    <n v="47"/>
    <s v="Middle-Aged"/>
    <x v="0"/>
    <n v="0"/>
  </r>
  <r>
    <n v="24369"/>
    <s v="Married"/>
    <s v="Male"/>
    <n v="80000"/>
    <x v="1"/>
    <n v="5"/>
    <s v="Graduate Degree"/>
    <s v="Management"/>
    <s v="No"/>
    <n v="2"/>
    <s v="0-1 Miles"/>
    <s v="Pacific"/>
    <n v="39"/>
    <s v="Adults"/>
    <x v="0"/>
    <n v="0"/>
  </r>
  <r>
    <n v="27165"/>
    <s v="Single"/>
    <s v="Male"/>
    <n v="20000"/>
    <x v="0"/>
    <n v="0"/>
    <s v="Partial High School"/>
    <s v="Manual"/>
    <s v="No"/>
    <n v="2"/>
    <s v="0-1 Miles"/>
    <s v="Europe"/>
    <n v="34"/>
    <s v="Adults"/>
    <x v="0"/>
    <n v="0"/>
  </r>
  <r>
    <n v="29424"/>
    <s v="Married"/>
    <s v="Male"/>
    <n v="10000"/>
    <x v="0"/>
    <n v="0"/>
    <s v="Partial High School"/>
    <s v="Manual"/>
    <s v="Yes"/>
    <n v="2"/>
    <s v="0-1 Miles"/>
    <s v="Europe"/>
    <n v="32"/>
    <s v="Adults"/>
    <x v="0"/>
    <n v="0"/>
  </r>
  <r>
    <n v="15926"/>
    <s v="Single"/>
    <s v="Female"/>
    <n v="120000"/>
    <x v="1"/>
    <n v="3"/>
    <s v="High School"/>
    <s v="Professional"/>
    <s v="Yes"/>
    <n v="4"/>
    <s v="5-10 Miles"/>
    <s v="Europe"/>
    <n v="50"/>
    <s v="Middle-Aged"/>
    <x v="1"/>
    <n v="1"/>
  </r>
  <r>
    <n v="14554"/>
    <s v="Married"/>
    <s v="Male"/>
    <n v="20000"/>
    <x v="0"/>
    <n v="1"/>
    <s v="Bachelors"/>
    <s v="Clerical"/>
    <s v="Yes"/>
    <n v="0"/>
    <s v="0-1 Miles"/>
    <s v="Europe"/>
    <n v="66"/>
    <s v="Seniors"/>
    <x v="0"/>
    <n v="0"/>
  </r>
  <r>
    <n v="16468"/>
    <s v="Single"/>
    <s v="Male"/>
    <n v="30000"/>
    <x v="0"/>
    <n v="0"/>
    <s v="Partial College"/>
    <s v="Clerical"/>
    <s v="Yes"/>
    <n v="1"/>
    <s v="2-5 Miles"/>
    <s v="Europe"/>
    <n v="30"/>
    <s v="Adults"/>
    <x v="0"/>
    <n v="0"/>
  </r>
  <r>
    <n v="19174"/>
    <s v="Single"/>
    <s v="Female"/>
    <n v="30000"/>
    <x v="0"/>
    <n v="0"/>
    <s v="High School"/>
    <s v="Manual"/>
    <s v="No"/>
    <n v="1"/>
    <s v="2-5 Miles"/>
    <s v="Europe"/>
    <n v="32"/>
    <s v="Adults"/>
    <x v="1"/>
    <n v="1"/>
  </r>
  <r>
    <n v="19183"/>
    <s v="Single"/>
    <s v="Male"/>
    <n v="10000"/>
    <x v="0"/>
    <n v="0"/>
    <s v="Partial High School"/>
    <s v="Manual"/>
    <s v="Yes"/>
    <n v="2"/>
    <s v="1-2 Miles"/>
    <s v="Europe"/>
    <n v="35"/>
    <s v="Adults"/>
    <x v="0"/>
    <n v="0"/>
  </r>
  <r>
    <n v="13683"/>
    <s v="Single"/>
    <s v="Female"/>
    <n v="30000"/>
    <x v="0"/>
    <n v="0"/>
    <s v="High School"/>
    <s v="Manual"/>
    <s v="No"/>
    <n v="1"/>
    <s v="2-5 Miles"/>
    <s v="Europe"/>
    <n v="32"/>
    <s v="Adults"/>
    <x v="0"/>
    <n v="0"/>
  </r>
  <r>
    <n v="17848"/>
    <s v="Single"/>
    <s v="Male"/>
    <n v="30000"/>
    <x v="0"/>
    <n v="0"/>
    <s v="Partial College"/>
    <s v="Clerical"/>
    <s v="No"/>
    <n v="1"/>
    <s v="2-5 Miles"/>
    <s v="Europe"/>
    <n v="31"/>
    <s v="Adults"/>
    <x v="1"/>
    <n v="1"/>
  </r>
  <r>
    <n v="17894"/>
    <s v="Married"/>
    <s v="Female"/>
    <n v="20000"/>
    <x v="0"/>
    <n v="1"/>
    <s v="Bachelors"/>
    <s v="Clerical"/>
    <s v="Yes"/>
    <n v="0"/>
    <s v="0-1 Miles"/>
    <s v="Europe"/>
    <n v="50"/>
    <s v="Middle-Aged"/>
    <x v="1"/>
    <n v="1"/>
  </r>
  <r>
    <n v="25651"/>
    <s v="Married"/>
    <s v="Male"/>
    <n v="40000"/>
    <x v="0"/>
    <n v="1"/>
    <s v="Bachelors"/>
    <s v="Skilled Manual"/>
    <s v="No"/>
    <n v="0"/>
    <s v="0-1 Miles"/>
    <s v="Europe"/>
    <n v="43"/>
    <s v="Middle-Aged"/>
    <x v="1"/>
    <n v="1"/>
  </r>
  <r>
    <n v="22936"/>
    <s v="Single"/>
    <s v="Female"/>
    <n v="60000"/>
    <x v="0"/>
    <n v="1"/>
    <s v="Partial College"/>
    <s v="Skilled Manual"/>
    <s v="No"/>
    <n v="1"/>
    <s v="0-1 Miles"/>
    <s v="Pacific"/>
    <n v="45"/>
    <s v="Middle-Aged"/>
    <x v="1"/>
    <n v="1"/>
  </r>
  <r>
    <n v="23915"/>
    <s v="Married"/>
    <s v="Male"/>
    <n v="20000"/>
    <x v="0"/>
    <n v="2"/>
    <s v="High School"/>
    <s v="Manual"/>
    <s v="Yes"/>
    <n v="2"/>
    <s v="0-1 Miles"/>
    <s v="Europe"/>
    <n v="42"/>
    <s v="Middle-Aged"/>
    <x v="0"/>
    <n v="0"/>
  </r>
  <r>
    <n v="24121"/>
    <s v="Single"/>
    <s v="Female"/>
    <n v="30000"/>
    <x v="0"/>
    <n v="0"/>
    <s v="Partial College"/>
    <s v="Clerical"/>
    <s v="No"/>
    <n v="1"/>
    <s v="0-1 Miles"/>
    <s v="Europe"/>
    <n v="29"/>
    <s v="Young Adults"/>
    <x v="1"/>
    <n v="1"/>
  </r>
  <r>
    <n v="27878"/>
    <s v="Single"/>
    <s v="Male"/>
    <n v="20000"/>
    <x v="0"/>
    <n v="0"/>
    <s v="Partial College"/>
    <s v="Manual"/>
    <s v="No"/>
    <n v="0"/>
    <s v="0-1 Miles"/>
    <s v="Pacific"/>
    <n v="28"/>
    <s v="Young Adults"/>
    <x v="1"/>
    <n v="1"/>
  </r>
  <r>
    <n v="13572"/>
    <s v="Single"/>
    <s v="Male"/>
    <n v="10000"/>
    <x v="0"/>
    <n v="3"/>
    <s v="High School"/>
    <s v="Manual"/>
    <s v="Yes"/>
    <n v="0"/>
    <s v="0-1 Miles"/>
    <s v="Europe"/>
    <n v="37"/>
    <s v="Adults"/>
    <x v="1"/>
    <n v="1"/>
  </r>
  <r>
    <n v="27941"/>
    <s v="Married"/>
    <s v="Female"/>
    <n v="80000"/>
    <x v="1"/>
    <n v="4"/>
    <s v="Partial College"/>
    <s v="Professional"/>
    <s v="Yes"/>
    <n v="2"/>
    <s v="2-5 Miles"/>
    <s v="Europe"/>
    <n v="53"/>
    <s v="Middle-Aged"/>
    <x v="0"/>
    <n v="0"/>
  </r>
  <r>
    <n v="26354"/>
    <s v="Single"/>
    <s v="Male"/>
    <n v="40000"/>
    <x v="0"/>
    <n v="0"/>
    <s v="Graduate Degree"/>
    <s v="Clerical"/>
    <s v="No"/>
    <n v="0"/>
    <s v="0-1 Miles"/>
    <s v="Europe"/>
    <n v="38"/>
    <s v="Adults"/>
    <x v="1"/>
    <n v="1"/>
  </r>
  <r>
    <n v="14785"/>
    <s v="Single"/>
    <s v="Male"/>
    <n v="30000"/>
    <x v="0"/>
    <n v="1"/>
    <s v="Bachelors"/>
    <s v="Clerical"/>
    <s v="No"/>
    <n v="1"/>
    <s v="1-2 Miles"/>
    <s v="Europe"/>
    <n v="39"/>
    <s v="Adults"/>
    <x v="0"/>
    <n v="0"/>
  </r>
  <r>
    <n v="17238"/>
    <s v="Single"/>
    <s v="Male"/>
    <n v="80000"/>
    <x v="1"/>
    <n v="0"/>
    <s v="Bachelors"/>
    <s v="Professional"/>
    <s v="Yes"/>
    <n v="3"/>
    <s v="More than 10 Miles"/>
    <s v="Pacific"/>
    <n v="32"/>
    <s v="Adults"/>
    <x v="0"/>
    <n v="0"/>
  </r>
  <r>
    <n v="23608"/>
    <s v="Married"/>
    <s v="Female"/>
    <n v="150000"/>
    <x v="2"/>
    <n v="3"/>
    <s v="High School"/>
    <s v="Professional"/>
    <s v="Yes"/>
    <n v="3"/>
    <s v="0-1 Miles"/>
    <s v="Europe"/>
    <n v="51"/>
    <s v="Middle-Aged"/>
    <x v="1"/>
    <n v="1"/>
  </r>
  <r>
    <n v="22538"/>
    <s v="Single"/>
    <s v="Female"/>
    <n v="10000"/>
    <x v="0"/>
    <n v="0"/>
    <s v="Partial High School"/>
    <s v="Manual"/>
    <s v="Yes"/>
    <n v="2"/>
    <s v="1-2 Miles"/>
    <s v="Europe"/>
    <n v="33"/>
    <s v="Adults"/>
    <x v="0"/>
    <n v="0"/>
  </r>
  <r>
    <n v="12332"/>
    <s v="Married"/>
    <s v="Male"/>
    <n v="90000"/>
    <x v="1"/>
    <n v="4"/>
    <s v="High School"/>
    <s v="Management"/>
    <s v="Yes"/>
    <n v="3"/>
    <s v="5-10 Miles"/>
    <s v="Europe"/>
    <n v="58"/>
    <s v="Middle-Aged"/>
    <x v="1"/>
    <n v="1"/>
  </r>
  <r>
    <n v="17230"/>
    <s v="Married"/>
    <s v="Male"/>
    <n v="80000"/>
    <x v="1"/>
    <n v="0"/>
    <s v="Bachelors"/>
    <s v="Professional"/>
    <s v="Yes"/>
    <n v="3"/>
    <s v="More than 10 Miles"/>
    <s v="Pacific"/>
    <n v="30"/>
    <s v="Adults"/>
    <x v="0"/>
    <n v="0"/>
  </r>
  <r>
    <n v="13082"/>
    <s v="Single"/>
    <s v="Male"/>
    <n v="130000"/>
    <x v="2"/>
    <n v="0"/>
    <s v="Graduate Degree"/>
    <s v="Management"/>
    <s v="Yes"/>
    <n v="0"/>
    <s v="2-5 Miles"/>
    <s v="Pacific"/>
    <n v="48"/>
    <s v="Middle-Aged"/>
    <x v="1"/>
    <n v="1"/>
  </r>
  <r>
    <n v="22518"/>
    <s v="Single"/>
    <s v="Female"/>
    <n v="30000"/>
    <x v="0"/>
    <n v="3"/>
    <s v="Partial College"/>
    <s v="Clerical"/>
    <s v="No"/>
    <n v="2"/>
    <s v="0-1 Miles"/>
    <s v="Europe"/>
    <n v="27"/>
    <s v="Young Adults"/>
    <x v="1"/>
    <n v="1"/>
  </r>
  <r>
    <n v="13687"/>
    <s v="Married"/>
    <s v="Male"/>
    <n v="40000"/>
    <x v="0"/>
    <n v="1"/>
    <s v="Bachelors"/>
    <s v="Skilled Manual"/>
    <s v="Yes"/>
    <n v="1"/>
    <s v="0-1 Miles"/>
    <s v="Europe"/>
    <n v="33"/>
    <s v="Adults"/>
    <x v="1"/>
    <n v="1"/>
  </r>
  <r>
    <n v="23571"/>
    <s v="Married"/>
    <s v="Female"/>
    <n v="40000"/>
    <x v="0"/>
    <n v="2"/>
    <s v="Bachelors"/>
    <s v="Management"/>
    <s v="Yes"/>
    <n v="2"/>
    <s v="0-1 Miles"/>
    <s v="Pacific"/>
    <n v="66"/>
    <s v="Seniors"/>
    <x v="1"/>
    <n v="1"/>
  </r>
  <r>
    <n v="19305"/>
    <s v="Single"/>
    <s v="Female"/>
    <n v="10000"/>
    <x v="0"/>
    <n v="2"/>
    <s v="High School"/>
    <s v="Manual"/>
    <s v="Yes"/>
    <n v="1"/>
    <s v="0-1 Miles"/>
    <s v="Europe"/>
    <n v="38"/>
    <s v="Adults"/>
    <x v="1"/>
    <n v="1"/>
  </r>
  <r>
    <n v="22636"/>
    <s v="Single"/>
    <s v="Female"/>
    <n v="40000"/>
    <x v="0"/>
    <n v="0"/>
    <s v="Bachelors"/>
    <s v="Clerical"/>
    <s v="No"/>
    <n v="0"/>
    <s v="0-1 Miles"/>
    <s v="Europe"/>
    <n v="38"/>
    <s v="Adults"/>
    <x v="1"/>
    <n v="1"/>
  </r>
  <r>
    <n v="17310"/>
    <s v="Married"/>
    <s v="Male"/>
    <n v="60000"/>
    <x v="0"/>
    <n v="1"/>
    <s v="Partial College"/>
    <s v="Skilled Manual"/>
    <s v="Yes"/>
    <n v="1"/>
    <s v="0-1 Miles"/>
    <s v="Pacific"/>
    <n v="45"/>
    <s v="Middle-Aged"/>
    <x v="1"/>
    <n v="1"/>
  </r>
  <r>
    <n v="12133"/>
    <s v="Married"/>
    <s v="Female"/>
    <n v="130000"/>
    <x v="2"/>
    <n v="3"/>
    <s v="Partial College"/>
    <s v="Professional"/>
    <s v="Yes"/>
    <n v="3"/>
    <s v="5-10 Miles"/>
    <s v="Europe"/>
    <n v="50"/>
    <s v="Middle-Aged"/>
    <x v="1"/>
    <n v="1"/>
  </r>
  <r>
    <n v="25918"/>
    <s v="Single"/>
    <s v="Female"/>
    <n v="30000"/>
    <x v="0"/>
    <n v="2"/>
    <s v="Partial College"/>
    <s v="Clerical"/>
    <s v="No"/>
    <n v="2"/>
    <s v="5-10 Miles"/>
    <s v="Pacific"/>
    <n v="60"/>
    <s v="Seniors"/>
    <x v="1"/>
    <n v="1"/>
  </r>
  <r>
    <n v="25752"/>
    <s v="Single"/>
    <s v="Female"/>
    <n v="20000"/>
    <x v="0"/>
    <n v="2"/>
    <s v="Partial College"/>
    <s v="Manual"/>
    <s v="No"/>
    <n v="1"/>
    <s v="0-1 Miles"/>
    <s v="Europe"/>
    <n v="53"/>
    <s v="Middle-Aged"/>
    <x v="1"/>
    <n v="1"/>
  </r>
  <r>
    <n v="17324"/>
    <s v="Married"/>
    <s v="Female"/>
    <n v="100000"/>
    <x v="1"/>
    <n v="4"/>
    <s v="Bachelors"/>
    <s v="Professional"/>
    <s v="Yes"/>
    <n v="1"/>
    <s v="More than 10 Miles"/>
    <s v="Pacific"/>
    <n v="46"/>
    <s v="Middle-Aged"/>
    <x v="0"/>
    <n v="0"/>
  </r>
  <r>
    <n v="22918"/>
    <s v="Single"/>
    <s v="Male"/>
    <n v="80000"/>
    <x v="1"/>
    <n v="5"/>
    <s v="Graduate Degree"/>
    <s v="Management"/>
    <s v="Yes"/>
    <n v="3"/>
    <s v="0-1 Miles"/>
    <s v="Pacific"/>
    <n v="50"/>
    <s v="Middle-Aged"/>
    <x v="0"/>
    <n v="0"/>
  </r>
  <r>
    <n v="12510"/>
    <s v="Married"/>
    <s v="Male"/>
    <n v="40000"/>
    <x v="0"/>
    <n v="1"/>
    <s v="Bachelors"/>
    <s v="Skilled Manual"/>
    <s v="Yes"/>
    <n v="1"/>
    <s v="0-1 Miles"/>
    <s v="Europe"/>
    <n v="43"/>
    <s v="Middle-Aged"/>
    <x v="1"/>
    <n v="1"/>
  </r>
  <r>
    <n v="25512"/>
    <s v="Single"/>
    <s v="Male"/>
    <n v="20000"/>
    <x v="0"/>
    <n v="0"/>
    <s v="High School"/>
    <s v="Manual"/>
    <s v="No"/>
    <n v="1"/>
    <s v="2-5 Miles"/>
    <s v="Europe"/>
    <n v="30"/>
    <s v="Adults"/>
    <x v="0"/>
    <n v="0"/>
  </r>
  <r>
    <n v="16179"/>
    <s v="Single"/>
    <s v="Female"/>
    <n v="80000"/>
    <x v="1"/>
    <n v="5"/>
    <s v="Bachelors"/>
    <s v="Professional"/>
    <s v="Yes"/>
    <n v="4"/>
    <s v="1-2 Miles"/>
    <s v="Pacific"/>
    <n v="38"/>
    <s v="Adults"/>
    <x v="0"/>
    <n v="0"/>
  </r>
  <r>
    <n v="15628"/>
    <s v="Married"/>
    <s v="Female"/>
    <n v="40000"/>
    <x v="0"/>
    <n v="1"/>
    <s v="Bachelors"/>
    <s v="Skilled Manual"/>
    <s v="Yes"/>
    <n v="1"/>
    <s v="0-1 Miles"/>
    <s v="Europe"/>
    <n v="89"/>
    <s v="Seniors"/>
    <x v="0"/>
    <n v="0"/>
  </r>
  <r>
    <n v="20977"/>
    <s v="Married"/>
    <s v="Male"/>
    <n v="20000"/>
    <x v="0"/>
    <n v="1"/>
    <s v="Bachelors"/>
    <s v="Clerical"/>
    <s v="Yes"/>
    <n v="0"/>
    <s v="0-1 Miles"/>
    <s v="Europe"/>
    <n v="64"/>
    <s v="Seniors"/>
    <x v="1"/>
    <n v="1"/>
  </r>
  <r>
    <n v="18140"/>
    <s v="Married"/>
    <s v="Male"/>
    <n v="130000"/>
    <x v="2"/>
    <n v="3"/>
    <s v="Partial College"/>
    <s v="Professional"/>
    <s v="No"/>
    <n v="3"/>
    <s v="5-10 Miles"/>
    <s v="Europe"/>
    <n v="51"/>
    <s v="Middle-Aged"/>
    <x v="1"/>
    <n v="1"/>
  </r>
  <r>
    <n v="20417"/>
    <s v="Married"/>
    <s v="Male"/>
    <n v="30000"/>
    <x v="0"/>
    <n v="3"/>
    <s v="Partial College"/>
    <s v="Clerical"/>
    <s v="No"/>
    <n v="2"/>
    <s v="5-10 Miles"/>
    <s v="Pacific"/>
    <n v="56"/>
    <s v="Middle-Aged"/>
    <x v="0"/>
    <n v="0"/>
  </r>
  <r>
    <n v="18267"/>
    <s v="Married"/>
    <s v="Male"/>
    <n v="60000"/>
    <x v="0"/>
    <n v="3"/>
    <s v="Bachelors"/>
    <s v="Professional"/>
    <s v="Yes"/>
    <n v="2"/>
    <s v="5-10 Miles"/>
    <s v="Pacific"/>
    <n v="43"/>
    <s v="Middle-Aged"/>
    <x v="0"/>
    <n v="0"/>
  </r>
  <r>
    <n v="13620"/>
    <s v="Single"/>
    <s v="Male"/>
    <n v="70000"/>
    <x v="1"/>
    <n v="0"/>
    <s v="Bachelors"/>
    <s v="Professional"/>
    <s v="No"/>
    <n v="3"/>
    <s v="More than 10 Miles"/>
    <s v="Pacific"/>
    <n v="30"/>
    <s v="Adults"/>
    <x v="1"/>
    <n v="1"/>
  </r>
  <r>
    <n v="22974"/>
    <s v="Married"/>
    <s v="Female"/>
    <n v="30000"/>
    <x v="0"/>
    <n v="2"/>
    <s v="Partial College"/>
    <s v="Clerical"/>
    <s v="Yes"/>
    <n v="2"/>
    <s v="5-10 Miles"/>
    <s v="Pacific"/>
    <n v="69"/>
    <s v="Seniors"/>
    <x v="0"/>
    <n v="0"/>
  </r>
  <r>
    <n v="13586"/>
    <s v="Married"/>
    <s v="Male"/>
    <n v="80000"/>
    <x v="1"/>
    <n v="4"/>
    <s v="Partial College"/>
    <s v="Professional"/>
    <s v="Yes"/>
    <n v="2"/>
    <s v="More than 10 Miles"/>
    <s v="Europe"/>
    <n v="53"/>
    <s v="Middle-Aged"/>
    <x v="0"/>
    <n v="0"/>
  </r>
  <r>
    <n v="17978"/>
    <s v="Married"/>
    <s v="Male"/>
    <n v="40000"/>
    <x v="0"/>
    <n v="0"/>
    <s v="Graduate Degree"/>
    <s v="Clerical"/>
    <s v="Yes"/>
    <n v="0"/>
    <s v="0-1 Miles"/>
    <s v="Europe"/>
    <n v="37"/>
    <s v="Adults"/>
    <x v="1"/>
    <n v="1"/>
  </r>
  <r>
    <n v="12581"/>
    <s v="Single"/>
    <s v="Female"/>
    <n v="10000"/>
    <x v="0"/>
    <n v="0"/>
    <s v="Partial College"/>
    <s v="Manual"/>
    <s v="No"/>
    <n v="1"/>
    <s v="0-1 Miles"/>
    <s v="Pacific"/>
    <n v="28"/>
    <s v="Young Adults"/>
    <x v="1"/>
    <n v="1"/>
  </r>
  <r>
    <n v="18018"/>
    <s v="Single"/>
    <s v="Male"/>
    <n v="30000"/>
    <x v="0"/>
    <n v="3"/>
    <s v="Partial College"/>
    <s v="Clerical"/>
    <s v="Yes"/>
    <n v="0"/>
    <s v="0-1 Miles"/>
    <s v="Europe"/>
    <n v="43"/>
    <s v="Middle-Aged"/>
    <x v="0"/>
    <n v="0"/>
  </r>
  <r>
    <n v="28957"/>
    <s v="Single"/>
    <s v="Female"/>
    <n v="120000"/>
    <x v="1"/>
    <n v="0"/>
    <s v="Partial High School"/>
    <s v="Professional"/>
    <s v="Yes"/>
    <n v="4"/>
    <s v="More than 10 Miles"/>
    <s v="Pacific"/>
    <n v="34"/>
    <s v="Adults"/>
    <x v="1"/>
    <n v="1"/>
  </r>
  <r>
    <n v="13690"/>
    <s v="Single"/>
    <s v="Female"/>
    <n v="20000"/>
    <x v="0"/>
    <n v="0"/>
    <s v="Partial High School"/>
    <s v="Manual"/>
    <s v="No"/>
    <n v="2"/>
    <s v="1-2 Miles"/>
    <s v="Europe"/>
    <n v="34"/>
    <s v="Adults"/>
    <x v="1"/>
    <n v="1"/>
  </r>
  <r>
    <n v="12568"/>
    <s v="Married"/>
    <s v="Female"/>
    <n v="30000"/>
    <x v="0"/>
    <n v="1"/>
    <s v="Bachelors"/>
    <s v="Clerical"/>
    <s v="Yes"/>
    <n v="0"/>
    <s v="0-1 Miles"/>
    <s v="Europe"/>
    <n v="64"/>
    <s v="Seniors"/>
    <x v="0"/>
    <n v="0"/>
  </r>
  <r>
    <n v="13122"/>
    <s v="Married"/>
    <s v="Female"/>
    <n v="80000"/>
    <x v="1"/>
    <n v="0"/>
    <s v="Bachelors"/>
    <s v="Professional"/>
    <s v="Yes"/>
    <n v="1"/>
    <s v="1-2 Miles"/>
    <s v="Pacific"/>
    <n v="41"/>
    <s v="Middle-Aged"/>
    <x v="1"/>
    <n v="1"/>
  </r>
  <r>
    <n v="21184"/>
    <s v="Single"/>
    <s v="Male"/>
    <n v="70000"/>
    <x v="1"/>
    <n v="0"/>
    <s v="Bachelors"/>
    <s v="Professional"/>
    <s v="No"/>
    <n v="1"/>
    <s v="5-10 Miles"/>
    <s v="Pacific"/>
    <n v="38"/>
    <s v="Adults"/>
    <x v="0"/>
    <n v="0"/>
  </r>
  <r>
    <n v="26150"/>
    <s v="Single"/>
    <s v="Female"/>
    <n v="70000"/>
    <x v="1"/>
    <n v="0"/>
    <s v="Bachelors"/>
    <s v="Professional"/>
    <s v="No"/>
    <n v="1"/>
    <s v="0-1 Miles"/>
    <s v="Pacific"/>
    <n v="41"/>
    <s v="Middle-Aged"/>
    <x v="1"/>
    <n v="1"/>
  </r>
  <r>
    <n v="24151"/>
    <s v="Single"/>
    <s v="Male"/>
    <n v="20000"/>
    <x v="0"/>
    <n v="1"/>
    <s v="Bachelors"/>
    <s v="Clerical"/>
    <s v="No"/>
    <n v="0"/>
    <s v="0-1 Miles"/>
    <s v="Europe"/>
    <n v="51"/>
    <s v="Middle-Aged"/>
    <x v="0"/>
    <n v="0"/>
  </r>
  <r>
    <n v="23962"/>
    <s v="Married"/>
    <s v="Female"/>
    <n v="10000"/>
    <x v="0"/>
    <n v="0"/>
    <s v="Partial High School"/>
    <s v="Manual"/>
    <s v="Yes"/>
    <n v="2"/>
    <s v="1-2 Miles"/>
    <s v="Europe"/>
    <n v="32"/>
    <s v="Adults"/>
    <x v="0"/>
    <n v="0"/>
  </r>
  <r>
    <n v="17793"/>
    <s v="Married"/>
    <s v="Female"/>
    <n v="40000"/>
    <x v="0"/>
    <n v="0"/>
    <s v="Bachelors"/>
    <s v="Clerical"/>
    <s v="Yes"/>
    <n v="0"/>
    <s v="0-1 Miles"/>
    <s v="Europe"/>
    <n v="38"/>
    <s v="Adults"/>
    <x v="1"/>
    <n v="1"/>
  </r>
  <r>
    <n v="14926"/>
    <s v="Married"/>
    <s v="Male"/>
    <n v="30000"/>
    <x v="0"/>
    <n v="1"/>
    <s v="Bachelors"/>
    <s v="Clerical"/>
    <s v="Yes"/>
    <n v="0"/>
    <s v="0-1 Miles"/>
    <s v="Europe"/>
    <n v="38"/>
    <s v="Adults"/>
    <x v="1"/>
    <n v="1"/>
  </r>
  <r>
    <n v="16163"/>
    <s v="Single"/>
    <s v="Male"/>
    <n v="60000"/>
    <x v="0"/>
    <n v="2"/>
    <s v="Bachelors"/>
    <s v="Professional"/>
    <s v="Yes"/>
    <n v="1"/>
    <s v="2-5 Miles"/>
    <s v="Pacific"/>
    <n v="38"/>
    <s v="Adults"/>
    <x v="1"/>
    <n v="1"/>
  </r>
  <r>
    <n v="21365"/>
    <s v="Married"/>
    <s v="Female"/>
    <n v="10000"/>
    <x v="0"/>
    <n v="2"/>
    <s v="Partial High School"/>
    <s v="Clerical"/>
    <s v="Yes"/>
    <n v="2"/>
    <s v="5-10 Miles"/>
    <s v="Pacific"/>
    <n v="58"/>
    <s v="Middle-Aged"/>
    <x v="0"/>
    <n v="0"/>
  </r>
  <r>
    <n v="27771"/>
    <s v="Single"/>
    <s v="Male"/>
    <n v="30000"/>
    <x v="0"/>
    <n v="1"/>
    <s v="Bachelors"/>
    <s v="Clerical"/>
    <s v="Yes"/>
    <n v="1"/>
    <s v="1-2 Miles"/>
    <s v="Europe"/>
    <n v="39"/>
    <s v="Adults"/>
    <x v="1"/>
    <n v="1"/>
  </r>
  <r>
    <n v="26167"/>
    <s v="Single"/>
    <s v="Female"/>
    <n v="40000"/>
    <x v="0"/>
    <n v="2"/>
    <s v="Bachelors"/>
    <s v="Management"/>
    <s v="No"/>
    <n v="1"/>
    <s v="5-10 Miles"/>
    <s v="Pacific"/>
    <n v="53"/>
    <s v="Middle-Aged"/>
    <x v="1"/>
    <n v="1"/>
  </r>
  <r>
    <n v="25792"/>
    <s v="Single"/>
    <s v="Female"/>
    <n v="110000"/>
    <x v="1"/>
    <n v="3"/>
    <s v="Bachelors"/>
    <s v="Management"/>
    <s v="Yes"/>
    <n v="4"/>
    <s v="More than 10 Miles"/>
    <s v="Europe"/>
    <n v="53"/>
    <s v="Middle-Aged"/>
    <x v="0"/>
    <n v="0"/>
  </r>
  <r>
    <n v="11555"/>
    <s v="Married"/>
    <s v="Female"/>
    <n v="40000"/>
    <x v="0"/>
    <n v="1"/>
    <s v="Bachelors"/>
    <s v="Clerical"/>
    <s v="Yes"/>
    <n v="0"/>
    <s v="0-1 Miles"/>
    <s v="Europe"/>
    <n v="80"/>
    <s v="Seniors"/>
    <x v="0"/>
    <n v="0"/>
  </r>
  <r>
    <n v="22381"/>
    <s v="Married"/>
    <s v="Male"/>
    <n v="10000"/>
    <x v="0"/>
    <n v="1"/>
    <s v="Graduate Degree"/>
    <s v="Manual"/>
    <s v="Yes"/>
    <n v="0"/>
    <s v="0-1 Miles"/>
    <s v="Europe"/>
    <n v="44"/>
    <s v="Middle-Aged"/>
    <x v="0"/>
    <n v="0"/>
  </r>
  <r>
    <n v="17882"/>
    <s v="Married"/>
    <s v="Male"/>
    <n v="20000"/>
    <x v="0"/>
    <n v="1"/>
    <s v="Graduate Degree"/>
    <s v="Clerical"/>
    <s v="Yes"/>
    <n v="0"/>
    <s v="0-1 Miles"/>
    <s v="Europe"/>
    <n v="44"/>
    <s v="Middle-Aged"/>
    <x v="0"/>
    <n v="0"/>
  </r>
  <r>
    <n v="22174"/>
    <s v="Married"/>
    <s v="Male"/>
    <n v="30000"/>
    <x v="0"/>
    <n v="3"/>
    <s v="High School"/>
    <s v="Skilled Manual"/>
    <s v="Yes"/>
    <n v="2"/>
    <s v="5-10 Miles"/>
    <s v="Pacific"/>
    <n v="54"/>
    <s v="Middle-Aged"/>
    <x v="1"/>
    <n v="1"/>
  </r>
  <r>
    <n v="22439"/>
    <s v="Married"/>
    <s v="Female"/>
    <n v="30000"/>
    <x v="0"/>
    <n v="0"/>
    <s v="Bachelors"/>
    <s v="Clerical"/>
    <s v="Yes"/>
    <n v="0"/>
    <s v="0-1 Miles"/>
    <s v="Europe"/>
    <n v="37"/>
    <s v="Adults"/>
    <x v="1"/>
    <n v="1"/>
  </r>
  <r>
    <n v="18012"/>
    <s v="Married"/>
    <s v="Female"/>
    <n v="40000"/>
    <x v="0"/>
    <n v="1"/>
    <s v="Bachelors"/>
    <s v="Skilled Manual"/>
    <s v="Yes"/>
    <n v="0"/>
    <s v="0-1 Miles"/>
    <s v="Europe"/>
    <n v="41"/>
    <s v="Middle-Aged"/>
    <x v="0"/>
    <n v="0"/>
  </r>
  <r>
    <n v="27582"/>
    <s v="Single"/>
    <s v="Female"/>
    <n v="90000"/>
    <x v="1"/>
    <n v="2"/>
    <s v="Bachelors"/>
    <s v="Professional"/>
    <s v="No"/>
    <n v="0"/>
    <s v="0-1 Miles"/>
    <s v="Pacific"/>
    <n v="36"/>
    <s v="Adults"/>
    <x v="1"/>
    <n v="1"/>
  </r>
  <r>
    <n v="12744"/>
    <s v="Single"/>
    <s v="Female"/>
    <n v="40000"/>
    <x v="0"/>
    <n v="2"/>
    <s v="Partial College"/>
    <s v="Clerical"/>
    <s v="Yes"/>
    <n v="0"/>
    <s v="0-1 Miles"/>
    <s v="Europe"/>
    <n v="33"/>
    <s v="Adults"/>
    <x v="0"/>
    <n v="0"/>
  </r>
  <r>
    <n v="22821"/>
    <s v="Married"/>
    <s v="Female"/>
    <n v="130000"/>
    <x v="2"/>
    <n v="3"/>
    <s v="Partial College"/>
    <s v="Professional"/>
    <s v="Yes"/>
    <n v="4"/>
    <s v="0-1 Miles"/>
    <s v="Europe"/>
    <n v="52"/>
    <s v="Middle-Aged"/>
    <x v="0"/>
    <n v="0"/>
  </r>
  <r>
    <n v="20171"/>
    <s v="Married"/>
    <s v="Female"/>
    <n v="20000"/>
    <x v="0"/>
    <n v="2"/>
    <s v="Partial College"/>
    <s v="Manual"/>
    <s v="Yes"/>
    <n v="1"/>
    <s v="0-1 Miles"/>
    <s v="Europe"/>
    <n v="46"/>
    <s v="Middle-Aged"/>
    <x v="1"/>
    <n v="1"/>
  </r>
  <r>
    <n v="11116"/>
    <s v="Married"/>
    <s v="Male"/>
    <n v="70000"/>
    <x v="1"/>
    <n v="5"/>
    <s v="Partial College"/>
    <s v="Skilled Manual"/>
    <s v="Yes"/>
    <n v="2"/>
    <s v="5-10 Miles"/>
    <s v="Pacific"/>
    <n v="43"/>
    <s v="Middle-Aged"/>
    <x v="0"/>
    <n v="0"/>
  </r>
  <r>
    <n v="20053"/>
    <s v="Single"/>
    <s v="Male"/>
    <n v="40000"/>
    <x v="0"/>
    <n v="2"/>
    <s v="Partial College"/>
    <s v="Clerical"/>
    <s v="Yes"/>
    <n v="0"/>
    <s v="0-1 Miles"/>
    <s v="Europe"/>
    <n v="34"/>
    <s v="Adults"/>
    <x v="0"/>
    <n v="0"/>
  </r>
  <r>
    <n v="25266"/>
    <s v="Single"/>
    <s v="Female"/>
    <n v="30000"/>
    <x v="0"/>
    <n v="2"/>
    <s v="Partial College"/>
    <s v="Clerical"/>
    <s v="No"/>
    <n v="2"/>
    <s v="5-10 Miles"/>
    <s v="Pacific"/>
    <n v="67"/>
    <s v="Seniors"/>
    <x v="0"/>
    <n v="0"/>
  </r>
  <r>
    <n v="17960"/>
    <s v="Married"/>
    <s v="Female"/>
    <n v="40000"/>
    <x v="0"/>
    <n v="0"/>
    <s v="Graduate Degree"/>
    <s v="Clerical"/>
    <s v="Yes"/>
    <n v="0"/>
    <s v="0-1 Miles"/>
    <s v="Europe"/>
    <n v="35"/>
    <s v="Adults"/>
    <x v="1"/>
    <n v="1"/>
  </r>
  <r>
    <n v="13961"/>
    <s v="Married"/>
    <s v="Female"/>
    <n v="80000"/>
    <x v="1"/>
    <n v="5"/>
    <s v="Graduate Degree"/>
    <s v="Management"/>
    <s v="Yes"/>
    <n v="3"/>
    <s v="0-1 Miles"/>
    <s v="Pacific"/>
    <n v="40"/>
    <s v="Middle-Aged"/>
    <x v="0"/>
    <n v="0"/>
  </r>
  <r>
    <n v="11897"/>
    <s v="Single"/>
    <s v="Male"/>
    <n v="60000"/>
    <x v="0"/>
    <n v="2"/>
    <s v="Bachelors"/>
    <s v="Professional"/>
    <s v="No"/>
    <n v="1"/>
    <s v="0-1 Miles"/>
    <s v="Pacific"/>
    <n v="37"/>
    <s v="Adults"/>
    <x v="1"/>
    <n v="1"/>
  </r>
  <r>
    <n v="11139"/>
    <s v="Single"/>
    <s v="Female"/>
    <n v="30000"/>
    <x v="0"/>
    <n v="2"/>
    <s v="Partial College"/>
    <s v="Clerical"/>
    <s v="No"/>
    <n v="2"/>
    <s v="5-10 Miles"/>
    <s v="Pacific"/>
    <n v="67"/>
    <s v="Seniors"/>
    <x v="0"/>
    <n v="0"/>
  </r>
  <r>
    <n v="11576"/>
    <s v="Married"/>
    <s v="Male"/>
    <n v="30000"/>
    <x v="0"/>
    <n v="1"/>
    <s v="Bachelors"/>
    <s v="Skilled Manual"/>
    <s v="Yes"/>
    <n v="2"/>
    <s v="0-1 Miles"/>
    <s v="Europe"/>
    <n v="41"/>
    <s v="Middle-Aged"/>
    <x v="1"/>
    <n v="1"/>
  </r>
  <r>
    <n v="19255"/>
    <s v="Single"/>
    <s v="Male"/>
    <n v="10000"/>
    <x v="0"/>
    <n v="2"/>
    <s v="Partial College"/>
    <s v="Manual"/>
    <s v="Yes"/>
    <n v="1"/>
    <s v="0-1 Miles"/>
    <s v="Europe"/>
    <n v="51"/>
    <s v="Middle-Aged"/>
    <x v="1"/>
    <n v="1"/>
  </r>
  <r>
    <n v="18153"/>
    <s v="Married"/>
    <s v="Female"/>
    <n v="100000"/>
    <x v="1"/>
    <n v="2"/>
    <s v="Bachelors"/>
    <s v="Management"/>
    <s v="Yes"/>
    <n v="4"/>
    <s v="More than 10 Miles"/>
    <s v="Europe"/>
    <n v="59"/>
    <s v="Middle-Aged"/>
    <x v="0"/>
    <n v="0"/>
  </r>
  <r>
    <n v="14547"/>
    <s v="Married"/>
    <s v="Male"/>
    <n v="10000"/>
    <x v="0"/>
    <n v="2"/>
    <s v="Partial College"/>
    <s v="Manual"/>
    <s v="Yes"/>
    <n v="0"/>
    <s v="1-2 Miles"/>
    <s v="Europe"/>
    <n v="51"/>
    <s v="Middle-Aged"/>
    <x v="0"/>
    <n v="0"/>
  </r>
  <r>
    <n v="24901"/>
    <s v="Single"/>
    <s v="Male"/>
    <n v="110000"/>
    <x v="1"/>
    <n v="0"/>
    <s v="Partial College"/>
    <s v="Management"/>
    <s v="No"/>
    <n v="3"/>
    <s v="More than 10 Miles"/>
    <s v="Pacific"/>
    <n v="32"/>
    <s v="Adults"/>
    <x v="1"/>
    <n v="1"/>
  </r>
  <r>
    <n v="27169"/>
    <s v="Single"/>
    <s v="Male"/>
    <n v="30000"/>
    <x v="0"/>
    <n v="0"/>
    <s v="High School"/>
    <s v="Manual"/>
    <s v="Yes"/>
    <n v="1"/>
    <s v="2-5 Miles"/>
    <s v="Europe"/>
    <n v="34"/>
    <s v="Adults"/>
    <x v="1"/>
    <n v="1"/>
  </r>
  <r>
    <n v="14805"/>
    <s v="Single"/>
    <s v="Female"/>
    <n v="10000"/>
    <x v="0"/>
    <n v="3"/>
    <s v="Partial High School"/>
    <s v="Manual"/>
    <s v="Yes"/>
    <n v="2"/>
    <s v="0-1 Miles"/>
    <s v="Europe"/>
    <n v="43"/>
    <s v="Middle-Aged"/>
    <x v="0"/>
    <n v="0"/>
  </r>
  <r>
    <n v="15822"/>
    <s v="Married"/>
    <s v="Male"/>
    <n v="40000"/>
    <x v="0"/>
    <n v="2"/>
    <s v="Bachelors"/>
    <s v="Management"/>
    <s v="Yes"/>
    <n v="2"/>
    <s v="0-1 Miles"/>
    <s v="Pacific"/>
    <n v="67"/>
    <s v="Seniors"/>
    <x v="0"/>
    <n v="0"/>
  </r>
  <r>
    <n v="19389"/>
    <s v="Single"/>
    <s v="Male"/>
    <n v="30000"/>
    <x v="0"/>
    <n v="0"/>
    <s v="Partial College"/>
    <s v="Clerical"/>
    <s v="No"/>
    <n v="1"/>
    <s v="2-5 Miles"/>
    <s v="Europe"/>
    <n v="28"/>
    <s v="Young Adults"/>
    <x v="0"/>
    <n v="0"/>
  </r>
  <r>
    <n v="17048"/>
    <s v="Single"/>
    <s v="Female"/>
    <n v="90000"/>
    <x v="1"/>
    <n v="1"/>
    <s v="Graduate Degree"/>
    <s v="Management"/>
    <s v="Yes"/>
    <n v="0"/>
    <s v="0-1 Miles"/>
    <s v="Pacific"/>
    <n v="36"/>
    <s v="Adults"/>
    <x v="1"/>
    <n v="1"/>
  </r>
  <r>
    <n v="22204"/>
    <s v="Married"/>
    <s v="Male"/>
    <n v="110000"/>
    <x v="1"/>
    <n v="4"/>
    <s v="Bachelors"/>
    <s v="Management"/>
    <s v="Yes"/>
    <n v="3"/>
    <s v="2-5 Miles"/>
    <s v="Pacific"/>
    <n v="48"/>
    <s v="Middle-Aged"/>
    <x v="0"/>
    <n v="0"/>
  </r>
  <r>
    <n v="12718"/>
    <s v="Single"/>
    <s v="Female"/>
    <n v="30000"/>
    <x v="0"/>
    <n v="0"/>
    <s v="Partial College"/>
    <s v="Clerical"/>
    <s v="Yes"/>
    <n v="1"/>
    <s v="2-5 Miles"/>
    <s v="Europe"/>
    <n v="31"/>
    <s v="Adults"/>
    <x v="0"/>
    <n v="0"/>
  </r>
  <r>
    <n v="15019"/>
    <s v="Single"/>
    <s v="Female"/>
    <n v="30000"/>
    <x v="0"/>
    <n v="3"/>
    <s v="High School"/>
    <s v="Skilled Manual"/>
    <s v="Yes"/>
    <n v="2"/>
    <s v="5-10 Miles"/>
    <s v="Pacific"/>
    <n v="55"/>
    <s v="Middle-Aged"/>
    <x v="0"/>
    <n v="0"/>
  </r>
  <r>
    <n v="28488"/>
    <s v="Single"/>
    <s v="Male"/>
    <n v="20000"/>
    <x v="0"/>
    <n v="0"/>
    <s v="Partial College"/>
    <s v="Manual"/>
    <s v="Yes"/>
    <n v="0"/>
    <s v="0-1 Miles"/>
    <s v="Pacific"/>
    <n v="28"/>
    <s v="Young Adults"/>
    <x v="1"/>
    <n v="1"/>
  </r>
  <r>
    <n v="21891"/>
    <s v="Married"/>
    <s v="Female"/>
    <n v="110000"/>
    <x v="1"/>
    <n v="0"/>
    <s v="High School"/>
    <s v="Management"/>
    <s v="Yes"/>
    <n v="3"/>
    <s v="More than 10 Miles"/>
    <s v="Pacific"/>
    <n v="34"/>
    <s v="Adults"/>
    <x v="1"/>
    <n v="1"/>
  </r>
  <r>
    <n v="27814"/>
    <s v="Single"/>
    <s v="Female"/>
    <n v="30000"/>
    <x v="0"/>
    <n v="3"/>
    <s v="Partial College"/>
    <s v="Clerical"/>
    <s v="No"/>
    <n v="1"/>
    <s v="0-1 Miles"/>
    <s v="Europe"/>
    <n v="26"/>
    <s v="Young Adults"/>
    <x v="0"/>
    <n v="0"/>
  </r>
  <r>
    <n v="22175"/>
    <s v="Married"/>
    <s v="Female"/>
    <n v="30000"/>
    <x v="0"/>
    <n v="3"/>
    <s v="High School"/>
    <s v="Skilled Manual"/>
    <s v="Yes"/>
    <n v="2"/>
    <s v="5-10 Miles"/>
    <s v="Pacific"/>
    <n v="53"/>
    <s v="Middle-Aged"/>
    <x v="1"/>
    <n v="1"/>
  </r>
  <r>
    <n v="29447"/>
    <s v="Single"/>
    <s v="Female"/>
    <n v="10000"/>
    <x v="0"/>
    <n v="2"/>
    <s v="Bachelors"/>
    <s v="Clerical"/>
    <s v="No"/>
    <n v="1"/>
    <s v="2-5 Miles"/>
    <s v="Europe"/>
    <n v="68"/>
    <s v="Seniors"/>
    <x v="0"/>
    <n v="0"/>
  </r>
  <r>
    <n v="19784"/>
    <s v="Married"/>
    <s v="Female"/>
    <n v="80000"/>
    <x v="1"/>
    <n v="2"/>
    <s v="High School"/>
    <s v="Skilled Manual"/>
    <s v="Yes"/>
    <n v="2"/>
    <s v="5-10 Miles"/>
    <s v="Pacific"/>
    <n v="50"/>
    <s v="Middle-Aged"/>
    <x v="1"/>
    <n v="1"/>
  </r>
  <r>
    <n v="27824"/>
    <s v="Single"/>
    <s v="Female"/>
    <n v="30000"/>
    <x v="0"/>
    <n v="3"/>
    <s v="Partial College"/>
    <s v="Clerical"/>
    <s v="Yes"/>
    <n v="2"/>
    <s v="0-1 Miles"/>
    <s v="Europe"/>
    <n v="28"/>
    <s v="Young Adults"/>
    <x v="1"/>
    <n v="1"/>
  </r>
  <r>
    <n v="24093"/>
    <s v="Single"/>
    <s v="Female"/>
    <n v="80000"/>
    <x v="1"/>
    <n v="0"/>
    <s v="Graduate Degree"/>
    <s v="Skilled Manual"/>
    <s v="No"/>
    <n v="0"/>
    <s v="0-1 Miles"/>
    <s v="Europe"/>
    <n v="40"/>
    <s v="Middle-Aged"/>
    <x v="1"/>
    <n v="1"/>
  </r>
  <r>
    <n v="19618"/>
    <s v="Married"/>
    <s v="Male"/>
    <n v="70000"/>
    <x v="1"/>
    <n v="5"/>
    <s v="Partial College"/>
    <s v="Skilled Manual"/>
    <s v="Yes"/>
    <n v="2"/>
    <s v="0-1 Miles"/>
    <s v="Pacific"/>
    <n v="44"/>
    <s v="Middle-Aged"/>
    <x v="0"/>
    <n v="0"/>
  </r>
  <r>
    <n v="21561"/>
    <s v="Single"/>
    <s v="Male"/>
    <n v="90000"/>
    <x v="1"/>
    <n v="0"/>
    <s v="Bachelors"/>
    <s v="Professional"/>
    <s v="No"/>
    <n v="3"/>
    <s v="More than 10 Miles"/>
    <s v="Pacific"/>
    <n v="34"/>
    <s v="Adults"/>
    <x v="1"/>
    <n v="1"/>
  </r>
  <r>
    <n v="11061"/>
    <s v="Married"/>
    <s v="Male"/>
    <n v="70000"/>
    <x v="1"/>
    <n v="2"/>
    <s v="Partial College"/>
    <s v="Skilled Manual"/>
    <s v="Yes"/>
    <n v="2"/>
    <s v="5-10 Miles"/>
    <s v="Pacific"/>
    <n v="52"/>
    <s v="Middle-Aged"/>
    <x v="1"/>
    <n v="1"/>
  </r>
  <r>
    <n v="26651"/>
    <s v="Single"/>
    <s v="Male"/>
    <n v="80000"/>
    <x v="1"/>
    <n v="4"/>
    <s v="Graduate Degree"/>
    <s v="Management"/>
    <s v="Yes"/>
    <n v="0"/>
    <s v="0-1 Miles"/>
    <s v="Pacific"/>
    <n v="36"/>
    <s v="Adults"/>
    <x v="1"/>
    <n v="1"/>
  </r>
  <r>
    <n v="21108"/>
    <s v="Married"/>
    <s v="Female"/>
    <n v="40000"/>
    <x v="0"/>
    <n v="1"/>
    <s v="Bachelors"/>
    <s v="Skilled Manual"/>
    <s v="Yes"/>
    <n v="1"/>
    <s v="0-1 Miles"/>
    <s v="Europe"/>
    <n v="43"/>
    <s v="Middle-Aged"/>
    <x v="1"/>
    <n v="1"/>
  </r>
  <r>
    <n v="12731"/>
    <s v="Single"/>
    <s v="Male"/>
    <n v="30000"/>
    <x v="0"/>
    <n v="0"/>
    <s v="High School"/>
    <s v="Manual"/>
    <s v="No"/>
    <n v="1"/>
    <s v="1-2 Miles"/>
    <s v="Europe"/>
    <n v="32"/>
    <s v="Adults"/>
    <x v="0"/>
    <n v="0"/>
  </r>
  <r>
    <n v="25307"/>
    <s v="Married"/>
    <s v="Female"/>
    <n v="40000"/>
    <x v="0"/>
    <n v="1"/>
    <s v="Bachelors"/>
    <s v="Skilled Manual"/>
    <s v="Yes"/>
    <n v="1"/>
    <s v="1-2 Miles"/>
    <s v="Europe"/>
    <n v="32"/>
    <s v="Adults"/>
    <x v="1"/>
    <n v="1"/>
  </r>
  <r>
    <n v="14278"/>
    <s v="Married"/>
    <s v="Female"/>
    <n v="130000"/>
    <x v="2"/>
    <n v="0"/>
    <s v="Graduate Degree"/>
    <s v="Management"/>
    <s v="Yes"/>
    <n v="1"/>
    <s v="More than 10 Miles"/>
    <s v="Pacific"/>
    <n v="48"/>
    <s v="Middle-Aged"/>
    <x v="0"/>
    <n v="0"/>
  </r>
  <r>
    <n v="20711"/>
    <s v="Married"/>
    <s v="Female"/>
    <n v="40000"/>
    <x v="0"/>
    <n v="1"/>
    <s v="Bachelors"/>
    <s v="Skilled Manual"/>
    <s v="Yes"/>
    <n v="0"/>
    <s v="1-2 Miles"/>
    <s v="Europe"/>
    <n v="32"/>
    <s v="Adults"/>
    <x v="1"/>
    <n v="1"/>
  </r>
  <r>
    <n v="11383"/>
    <s v="Married"/>
    <s v="Female"/>
    <n v="30000"/>
    <x v="0"/>
    <n v="3"/>
    <s v="Graduate Degree"/>
    <s v="Clerical"/>
    <s v="Yes"/>
    <n v="0"/>
    <s v="0-1 Miles"/>
    <s v="Europe"/>
    <n v="46"/>
    <s v="Middle-Aged"/>
    <x v="0"/>
    <n v="0"/>
  </r>
  <r>
    <n v="12497"/>
    <s v="Married"/>
    <s v="Female"/>
    <n v="40000"/>
    <x v="0"/>
    <n v="1"/>
    <s v="Bachelors"/>
    <s v="Skilled Manual"/>
    <s v="Yes"/>
    <n v="0"/>
    <s v="0-1 Miles"/>
    <s v="Europe"/>
    <n v="42"/>
    <s v="Middle-Aged"/>
    <x v="0"/>
    <n v="0"/>
  </r>
  <r>
    <n v="16559"/>
    <s v="Single"/>
    <s v="Female"/>
    <n v="10000"/>
    <x v="0"/>
    <n v="2"/>
    <s v="High School"/>
    <s v="Manual"/>
    <s v="Yes"/>
    <n v="0"/>
    <s v="0-1 Miles"/>
    <s v="Europe"/>
    <n v="36"/>
    <s v="Adults"/>
    <x v="1"/>
    <n v="1"/>
  </r>
  <r>
    <n v="11585"/>
    <s v="Married"/>
    <s v="Female"/>
    <n v="40000"/>
    <x v="0"/>
    <n v="1"/>
    <s v="Bachelors"/>
    <s v="Skilled Manual"/>
    <s v="Yes"/>
    <n v="0"/>
    <s v="0-1 Miles"/>
    <s v="Europe"/>
    <n v="41"/>
    <s v="Middle-Aged"/>
    <x v="0"/>
    <n v="0"/>
  </r>
  <r>
    <n v="20277"/>
    <s v="Married"/>
    <s v="Female"/>
    <n v="30000"/>
    <x v="0"/>
    <n v="2"/>
    <s v="Partial College"/>
    <s v="Clerical"/>
    <s v="No"/>
    <n v="2"/>
    <s v="0-1 Miles"/>
    <s v="Pacific"/>
    <n v="69"/>
    <s v="Seniors"/>
    <x v="0"/>
    <n v="0"/>
  </r>
  <r>
    <n v="26765"/>
    <s v="Single"/>
    <s v="Female"/>
    <n v="70000"/>
    <x v="1"/>
    <n v="5"/>
    <s v="Partial College"/>
    <s v="Skilled Manual"/>
    <s v="Yes"/>
    <n v="2"/>
    <s v="5-10 Miles"/>
    <s v="Pacific"/>
    <n v="45"/>
    <s v="Middle-Aged"/>
    <x v="0"/>
    <n v="0"/>
  </r>
  <r>
    <n v="12389"/>
    <s v="Single"/>
    <s v="Male"/>
    <n v="30000"/>
    <x v="0"/>
    <n v="0"/>
    <s v="High School"/>
    <s v="Manual"/>
    <s v="No"/>
    <n v="1"/>
    <s v="2-5 Miles"/>
    <s v="Europe"/>
    <n v="34"/>
    <s v="Adults"/>
    <x v="0"/>
    <n v="0"/>
  </r>
  <r>
    <n v="13585"/>
    <s v="Married"/>
    <s v="Female"/>
    <n v="80000"/>
    <x v="1"/>
    <n v="4"/>
    <s v="Partial College"/>
    <s v="Professional"/>
    <s v="No"/>
    <n v="1"/>
    <s v="2-5 Miles"/>
    <s v="Europe"/>
    <n v="53"/>
    <s v="Middle-Aged"/>
    <x v="1"/>
    <n v="1"/>
  </r>
  <r>
    <n v="26385"/>
    <s v="Single"/>
    <s v="Male"/>
    <n v="120000"/>
    <x v="1"/>
    <n v="3"/>
    <s v="High School"/>
    <s v="Professional"/>
    <s v="No"/>
    <n v="4"/>
    <s v="5-10 Miles"/>
    <s v="Europe"/>
    <n v="50"/>
    <s v="Middle-Aged"/>
    <x v="0"/>
    <n v="0"/>
  </r>
  <r>
    <n v="12236"/>
    <s v="Married"/>
    <s v="Female"/>
    <n v="20000"/>
    <x v="0"/>
    <n v="1"/>
    <s v="Partial College"/>
    <s v="Manual"/>
    <s v="Yes"/>
    <n v="0"/>
    <s v="0-1 Miles"/>
    <s v="Europe"/>
    <n v="65"/>
    <s v="Seniors"/>
    <x v="0"/>
    <n v="0"/>
  </r>
  <r>
    <n v="21560"/>
    <s v="Married"/>
    <s v="Male"/>
    <n v="120000"/>
    <x v="1"/>
    <n v="0"/>
    <s v="Partial High School"/>
    <s v="Professional"/>
    <s v="Yes"/>
    <n v="4"/>
    <s v="More than 10 Miles"/>
    <s v="Pacific"/>
    <n v="32"/>
    <s v="Adults"/>
    <x v="1"/>
    <n v="1"/>
  </r>
  <r>
    <n v="21554"/>
    <s v="Single"/>
    <s v="Female"/>
    <n v="80000"/>
    <x v="1"/>
    <n v="0"/>
    <s v="Bachelors"/>
    <s v="Professional"/>
    <s v="No"/>
    <n v="3"/>
    <s v="More than 10 Miles"/>
    <s v="Pacific"/>
    <n v="33"/>
    <s v="Adults"/>
    <x v="0"/>
    <n v="0"/>
  </r>
  <r>
    <n v="13662"/>
    <s v="Single"/>
    <s v="Male"/>
    <n v="20000"/>
    <x v="0"/>
    <n v="0"/>
    <s v="Partial High School"/>
    <s v="Manual"/>
    <s v="Yes"/>
    <n v="2"/>
    <s v="1-2 Miles"/>
    <s v="Europe"/>
    <n v="31"/>
    <s v="Adults"/>
    <x v="1"/>
    <n v="1"/>
  </r>
  <r>
    <n v="13089"/>
    <s v="Married"/>
    <s v="Female"/>
    <n v="120000"/>
    <x v="1"/>
    <n v="1"/>
    <s v="Bachelors"/>
    <s v="Management"/>
    <s v="Yes"/>
    <n v="2"/>
    <s v="0-1 Miles"/>
    <s v="Pacific"/>
    <n v="46"/>
    <s v="Middle-Aged"/>
    <x v="1"/>
    <n v="1"/>
  </r>
  <r>
    <n v="14791"/>
    <s v="Married"/>
    <s v="Female"/>
    <n v="40000"/>
    <x v="0"/>
    <n v="0"/>
    <s v="Bachelors"/>
    <s v="Clerical"/>
    <s v="Yes"/>
    <n v="0"/>
    <s v="0-1 Miles"/>
    <s v="Europe"/>
    <n v="39"/>
    <s v="Adults"/>
    <x v="1"/>
    <n v="1"/>
  </r>
  <r>
    <n v="19331"/>
    <s v="Single"/>
    <s v="Male"/>
    <n v="20000"/>
    <x v="0"/>
    <n v="2"/>
    <s v="High School"/>
    <s v="Manual"/>
    <s v="Yes"/>
    <n v="1"/>
    <s v="0-1 Miles"/>
    <s v="Europe"/>
    <n v="40"/>
    <s v="Middle-Aged"/>
    <x v="0"/>
    <n v="0"/>
  </r>
  <r>
    <n v="17754"/>
    <s v="Single"/>
    <s v="Female"/>
    <n v="30000"/>
    <x v="0"/>
    <n v="3"/>
    <s v="Bachelors"/>
    <s v="Clerical"/>
    <s v="Yes"/>
    <n v="0"/>
    <s v="0-1 Miles"/>
    <s v="Europe"/>
    <n v="46"/>
    <s v="Middle-Aged"/>
    <x v="1"/>
    <n v="1"/>
  </r>
  <r>
    <n v="11149"/>
    <s v="Married"/>
    <s v="Male"/>
    <n v="40000"/>
    <x v="0"/>
    <n v="2"/>
    <s v="Bachelors"/>
    <s v="Management"/>
    <s v="Yes"/>
    <n v="2"/>
    <s v="0-1 Miles"/>
    <s v="Pacific"/>
    <n v="65"/>
    <s v="Seniors"/>
    <x v="0"/>
    <n v="0"/>
  </r>
  <r>
    <n v="16549"/>
    <s v="Single"/>
    <s v="Female"/>
    <n v="30000"/>
    <x v="0"/>
    <n v="3"/>
    <s v="Bachelors"/>
    <s v="Clerical"/>
    <s v="Yes"/>
    <n v="0"/>
    <s v="0-1 Miles"/>
    <s v="Europe"/>
    <n v="47"/>
    <s v="Middle-Aged"/>
    <x v="1"/>
    <n v="1"/>
  </r>
  <r>
    <n v="24305"/>
    <s v="Single"/>
    <s v="Male"/>
    <n v="100000"/>
    <x v="1"/>
    <n v="1"/>
    <s v="Bachelors"/>
    <s v="Management"/>
    <s v="No"/>
    <n v="3"/>
    <s v="0-1 Miles"/>
    <s v="Pacific"/>
    <n v="46"/>
    <s v="Middle-Aged"/>
    <x v="1"/>
    <n v="1"/>
  </r>
  <r>
    <n v="18253"/>
    <s v="Married"/>
    <s v="Female"/>
    <n v="80000"/>
    <x v="1"/>
    <n v="5"/>
    <s v="Graduate Degree"/>
    <s v="Management"/>
    <s v="Yes"/>
    <n v="3"/>
    <s v="0-1 Miles"/>
    <s v="Pacific"/>
    <n v="40"/>
    <s v="Middle-Aged"/>
    <x v="0"/>
    <n v="0"/>
  </r>
  <r>
    <n v="20147"/>
    <s v="Married"/>
    <s v="Female"/>
    <n v="30000"/>
    <x v="0"/>
    <n v="1"/>
    <s v="Bachelors"/>
    <s v="Clerical"/>
    <s v="Yes"/>
    <n v="0"/>
    <s v="0-1 Miles"/>
    <s v="Europe"/>
    <n v="65"/>
    <s v="Seniors"/>
    <x v="0"/>
    <n v="0"/>
  </r>
  <r>
    <n v="15612"/>
    <s v="Single"/>
    <s v="Male"/>
    <n v="30000"/>
    <x v="0"/>
    <n v="0"/>
    <s v="High School"/>
    <s v="Manual"/>
    <s v="No"/>
    <n v="1"/>
    <s v="1-2 Miles"/>
    <s v="Europe"/>
    <n v="28"/>
    <s v="Young Adults"/>
    <x v="0"/>
    <n v="0"/>
  </r>
  <r>
    <n v="28323"/>
    <s v="Single"/>
    <s v="Male"/>
    <n v="70000"/>
    <x v="1"/>
    <n v="0"/>
    <s v="Bachelors"/>
    <s v="Professional"/>
    <s v="No"/>
    <n v="2"/>
    <s v="5-10 Miles"/>
    <s v="Pacific"/>
    <n v="43"/>
    <s v="Middle-Aged"/>
    <x v="1"/>
    <n v="1"/>
  </r>
  <r>
    <n v="22634"/>
    <s v="Single"/>
    <s v="Female"/>
    <n v="40000"/>
    <x v="0"/>
    <n v="0"/>
    <s v="Graduate Degree"/>
    <s v="Clerical"/>
    <s v="Yes"/>
    <n v="0"/>
    <s v="0-1 Miles"/>
    <s v="Europe"/>
    <n v="38"/>
    <s v="Adults"/>
    <x v="1"/>
    <n v="1"/>
  </r>
  <r>
    <n v="15665"/>
    <s v="Married"/>
    <s v="Female"/>
    <n v="30000"/>
    <x v="0"/>
    <n v="0"/>
    <s v="Bachelors"/>
    <s v="Clerical"/>
    <s v="Yes"/>
    <n v="0"/>
    <s v="0-1 Miles"/>
    <s v="Europe"/>
    <n v="47"/>
    <s v="Middle-Aged"/>
    <x v="1"/>
    <n v="1"/>
  </r>
  <r>
    <n v="27585"/>
    <s v="Married"/>
    <s v="Female"/>
    <n v="90000"/>
    <x v="1"/>
    <n v="2"/>
    <s v="Bachelors"/>
    <s v="Professional"/>
    <s v="No"/>
    <n v="0"/>
    <s v="0-1 Miles"/>
    <s v="Pacific"/>
    <n v="36"/>
    <s v="Adults"/>
    <x v="1"/>
    <n v="1"/>
  </r>
  <r>
    <n v="19748"/>
    <s v="Married"/>
    <s v="Male"/>
    <n v="20000"/>
    <x v="0"/>
    <n v="4"/>
    <s v="High School"/>
    <s v="Skilled Manual"/>
    <s v="No"/>
    <n v="2"/>
    <s v="1-2 Miles"/>
    <s v="Pacific"/>
    <n v="60"/>
    <s v="Seniors"/>
    <x v="0"/>
    <n v="0"/>
  </r>
  <r>
    <n v="21974"/>
    <s v="Single"/>
    <s v="Female"/>
    <n v="70000"/>
    <x v="1"/>
    <n v="0"/>
    <s v="Bachelors"/>
    <s v="Professional"/>
    <s v="Yes"/>
    <n v="1"/>
    <s v="5-10 Miles"/>
    <s v="Pacific"/>
    <n v="42"/>
    <s v="Middle-Aged"/>
    <x v="1"/>
    <n v="1"/>
  </r>
  <r>
    <n v="14032"/>
    <s v="Married"/>
    <s v="Male"/>
    <n v="70000"/>
    <x v="1"/>
    <n v="2"/>
    <s v="High School"/>
    <s v="Skilled Manual"/>
    <s v="No"/>
    <n v="2"/>
    <s v="1-2 Miles"/>
    <s v="Pacific"/>
    <n v="50"/>
    <s v="Middle-Aged"/>
    <x v="1"/>
    <n v="1"/>
  </r>
  <r>
    <n v="22610"/>
    <s v="Married"/>
    <s v="Male"/>
    <n v="30000"/>
    <x v="0"/>
    <n v="0"/>
    <s v="Bachelors"/>
    <s v="Clerical"/>
    <s v="Yes"/>
    <n v="0"/>
    <s v="0-1 Miles"/>
    <s v="Europe"/>
    <n v="35"/>
    <s v="Adults"/>
    <x v="1"/>
    <n v="1"/>
  </r>
  <r>
    <n v="26984"/>
    <s v="Married"/>
    <s v="Male"/>
    <n v="40000"/>
    <x v="0"/>
    <n v="1"/>
    <s v="Bachelors"/>
    <s v="Skilled Manual"/>
    <s v="Yes"/>
    <n v="1"/>
    <s v="0-1 Miles"/>
    <s v="Europe"/>
    <n v="32"/>
    <s v="Adults"/>
    <x v="1"/>
    <n v="1"/>
  </r>
  <r>
    <n v="18294"/>
    <s v="Married"/>
    <s v="Female"/>
    <n v="90000"/>
    <x v="1"/>
    <n v="1"/>
    <s v="Bachelors"/>
    <s v="Professional"/>
    <s v="Yes"/>
    <n v="1"/>
    <s v="5-10 Miles"/>
    <s v="Pacific"/>
    <n v="46"/>
    <s v="Middle-Aged"/>
    <x v="0"/>
    <n v="0"/>
  </r>
  <r>
    <n v="28564"/>
    <s v="Single"/>
    <s v="Female"/>
    <n v="40000"/>
    <x v="0"/>
    <n v="2"/>
    <s v="Partial College"/>
    <s v="Clerical"/>
    <s v="Yes"/>
    <n v="0"/>
    <s v="1-2 Miles"/>
    <s v="Europe"/>
    <n v="33"/>
    <s v="Adults"/>
    <x v="1"/>
    <n v="1"/>
  </r>
  <r>
    <n v="28521"/>
    <s v="Single"/>
    <s v="Male"/>
    <n v="40000"/>
    <x v="0"/>
    <n v="0"/>
    <s v="Graduate Degree"/>
    <s v="Clerical"/>
    <s v="No"/>
    <n v="0"/>
    <s v="0-1 Miles"/>
    <s v="Europe"/>
    <n v="36"/>
    <s v="Adults"/>
    <x v="1"/>
    <n v="1"/>
  </r>
  <r>
    <n v="15450"/>
    <s v="Married"/>
    <s v="Male"/>
    <n v="10000"/>
    <x v="0"/>
    <n v="1"/>
    <s v="Graduate Degree"/>
    <s v="Clerical"/>
    <s v="Yes"/>
    <n v="0"/>
    <s v="0-1 Miles"/>
    <s v="Europe"/>
    <n v="70"/>
    <s v="Seniors"/>
    <x v="0"/>
    <n v="0"/>
  </r>
  <r>
    <n v="25681"/>
    <s v="Single"/>
    <s v="Female"/>
    <n v="30000"/>
    <x v="0"/>
    <n v="0"/>
    <s v="Partial College"/>
    <s v="Clerical"/>
    <s v="No"/>
    <n v="1"/>
    <s v="2-5 Miles"/>
    <s v="Europe"/>
    <n v="31"/>
    <s v="Adults"/>
    <x v="1"/>
    <n v="1"/>
  </r>
  <r>
    <n v="19491"/>
    <s v="Single"/>
    <s v="Male"/>
    <n v="30000"/>
    <x v="0"/>
    <n v="2"/>
    <s v="Partial College"/>
    <s v="Clerical"/>
    <s v="Yes"/>
    <n v="2"/>
    <s v="0-1 Miles"/>
    <s v="Europe"/>
    <n v="42"/>
    <s v="Middle-Aged"/>
    <x v="0"/>
    <n v="0"/>
  </r>
  <r>
    <n v="26415"/>
    <s v="Married"/>
    <s v="Female"/>
    <n v="90000"/>
    <x v="1"/>
    <n v="4"/>
    <s v="Partial High School"/>
    <s v="Skilled Manual"/>
    <s v="Yes"/>
    <n v="4"/>
    <s v="More than 10 Miles"/>
    <s v="Europe"/>
    <n v="58"/>
    <s v="Middle-Aged"/>
    <x v="0"/>
    <n v="0"/>
  </r>
  <r>
    <n v="12821"/>
    <s v="Married"/>
    <s v="Male"/>
    <n v="40000"/>
    <x v="0"/>
    <n v="0"/>
    <s v="Bachelors"/>
    <s v="Clerical"/>
    <s v="Yes"/>
    <n v="0"/>
    <s v="0-1 Miles"/>
    <s v="Europe"/>
    <n v="39"/>
    <s v="Adults"/>
    <x v="0"/>
    <n v="0"/>
  </r>
  <r>
    <n v="15629"/>
    <s v="Single"/>
    <s v="Female"/>
    <n v="10000"/>
    <x v="0"/>
    <n v="0"/>
    <s v="Partial High School"/>
    <s v="Manual"/>
    <s v="Yes"/>
    <n v="2"/>
    <s v="1-2 Miles"/>
    <s v="Europe"/>
    <n v="34"/>
    <s v="Adults"/>
    <x v="0"/>
    <n v="0"/>
  </r>
  <r>
    <n v="27835"/>
    <s v="Married"/>
    <s v="Male"/>
    <n v="20000"/>
    <x v="0"/>
    <n v="0"/>
    <s v="Partial High School"/>
    <s v="Manual"/>
    <s v="Yes"/>
    <n v="2"/>
    <s v="0-1 Miles"/>
    <s v="Europe"/>
    <n v="32"/>
    <s v="Adults"/>
    <x v="0"/>
    <n v="0"/>
  </r>
  <r>
    <n v="11738"/>
    <s v="Married"/>
    <s v="Male"/>
    <n v="60000"/>
    <x v="0"/>
    <n v="4"/>
    <s v="Bachelors"/>
    <s v="Professional"/>
    <s v="Yes"/>
    <n v="0"/>
    <s v="2-5 Miles"/>
    <s v="North America"/>
    <n v="46"/>
    <s v="Middle-Aged"/>
    <x v="0"/>
    <n v="0"/>
  </r>
  <r>
    <n v="25065"/>
    <s v="Married"/>
    <s v="Male"/>
    <n v="70000"/>
    <x v="1"/>
    <n v="2"/>
    <s v="Partial High School"/>
    <s v="Skilled Manual"/>
    <s v="Yes"/>
    <n v="2"/>
    <s v="5-10 Miles"/>
    <s v="North America"/>
    <n v="48"/>
    <s v="Middle-Aged"/>
    <x v="0"/>
    <n v="0"/>
  </r>
  <r>
    <n v="26238"/>
    <s v="Single"/>
    <s v="Female"/>
    <n v="40000"/>
    <x v="0"/>
    <n v="3"/>
    <s v="Partial College"/>
    <s v="Clerical"/>
    <s v="Yes"/>
    <n v="1"/>
    <s v="1-2 Miles"/>
    <s v="North America"/>
    <n v="31"/>
    <s v="Adults"/>
    <x v="1"/>
    <n v="1"/>
  </r>
  <r>
    <n v="23707"/>
    <s v="Single"/>
    <s v="Male"/>
    <n v="70000"/>
    <x v="1"/>
    <n v="5"/>
    <s v="Bachelors"/>
    <s v="Management"/>
    <s v="Yes"/>
    <n v="3"/>
    <s v="More than 10 Miles"/>
    <s v="North America"/>
    <n v="60"/>
    <s v="Seniors"/>
    <x v="1"/>
    <n v="1"/>
  </r>
  <r>
    <n v="27650"/>
    <s v="Married"/>
    <s v="Male"/>
    <n v="70000"/>
    <x v="1"/>
    <n v="4"/>
    <s v="High School"/>
    <s v="Professional"/>
    <s v="Yes"/>
    <n v="0"/>
    <s v="5-10 Miles"/>
    <s v="North America"/>
    <n v="51"/>
    <s v="Middle-Aged"/>
    <x v="0"/>
    <n v="0"/>
  </r>
  <r>
    <n v="24981"/>
    <s v="Married"/>
    <s v="Male"/>
    <n v="60000"/>
    <x v="0"/>
    <n v="2"/>
    <s v="Partial College"/>
    <s v="Professional"/>
    <s v="Yes"/>
    <n v="2"/>
    <s v="More than 10 Miles"/>
    <s v="North America"/>
    <n v="56"/>
    <s v="Middle-Aged"/>
    <x v="0"/>
    <n v="0"/>
  </r>
  <r>
    <n v="20678"/>
    <s v="Single"/>
    <s v="Female"/>
    <n v="60000"/>
    <x v="0"/>
    <n v="3"/>
    <s v="Bachelors"/>
    <s v="Skilled Manual"/>
    <s v="Yes"/>
    <n v="1"/>
    <s v="2-5 Miles"/>
    <s v="North America"/>
    <n v="40"/>
    <s v="Middle-Aged"/>
    <x v="1"/>
    <n v="1"/>
  </r>
  <r>
    <n v="15302"/>
    <s v="Single"/>
    <s v="Female"/>
    <n v="70000"/>
    <x v="1"/>
    <n v="1"/>
    <s v="Graduate Degree"/>
    <s v="Professional"/>
    <s v="Yes"/>
    <n v="0"/>
    <s v="2-5 Miles"/>
    <s v="North America"/>
    <n v="34"/>
    <s v="Adults"/>
    <x v="1"/>
    <n v="1"/>
  </r>
  <r>
    <n v="26012"/>
    <s v="Married"/>
    <s v="Male"/>
    <n v="80000"/>
    <x v="1"/>
    <n v="1"/>
    <s v="Partial College"/>
    <s v="Skilled Manual"/>
    <s v="Yes"/>
    <n v="1"/>
    <s v="2-5 Miles"/>
    <s v="North America"/>
    <n v="48"/>
    <s v="Middle-Aged"/>
    <x v="1"/>
    <n v="1"/>
  </r>
  <r>
    <n v="26575"/>
    <s v="Single"/>
    <s v="Female"/>
    <n v="40000"/>
    <x v="0"/>
    <n v="0"/>
    <s v="High School"/>
    <s v="Skilled Manual"/>
    <s v="No"/>
    <n v="2"/>
    <s v="1-2 Miles"/>
    <s v="North America"/>
    <n v="31"/>
    <s v="Adults"/>
    <x v="1"/>
    <n v="1"/>
  </r>
  <r>
    <n v="15559"/>
    <s v="Married"/>
    <s v="Male"/>
    <n v="60000"/>
    <x v="0"/>
    <n v="5"/>
    <s v="Bachelors"/>
    <s v="Professional"/>
    <s v="Yes"/>
    <n v="1"/>
    <s v="2-5 Miles"/>
    <s v="North America"/>
    <n v="47"/>
    <s v="Middle-Aged"/>
    <x v="0"/>
    <n v="0"/>
  </r>
  <r>
    <n v="19235"/>
    <s v="Married"/>
    <s v="Female"/>
    <n v="50000"/>
    <x v="0"/>
    <n v="0"/>
    <s v="Graduate Degree"/>
    <s v="Skilled Manual"/>
    <s v="Yes"/>
    <n v="0"/>
    <s v="0-1 Miles"/>
    <s v="North America"/>
    <n v="34"/>
    <s v="Adults"/>
    <x v="0"/>
    <n v="0"/>
  </r>
  <r>
    <n v="15275"/>
    <s v="Married"/>
    <s v="Male"/>
    <n v="40000"/>
    <x v="0"/>
    <n v="0"/>
    <s v="Partial College"/>
    <s v="Skilled Manual"/>
    <s v="Yes"/>
    <n v="1"/>
    <s v="5-10 Miles"/>
    <s v="North America"/>
    <n v="29"/>
    <s v="Young Adults"/>
    <x v="0"/>
    <n v="0"/>
  </r>
  <r>
    <n v="20339"/>
    <s v="Married"/>
    <s v="Female"/>
    <n v="130000"/>
    <x v="2"/>
    <n v="1"/>
    <s v="Bachelors"/>
    <s v="Management"/>
    <s v="Yes"/>
    <n v="4"/>
    <s v="2-5 Miles"/>
    <s v="North America"/>
    <n v="44"/>
    <s v="Middle-Aged"/>
    <x v="1"/>
    <n v="1"/>
  </r>
  <r>
    <n v="25405"/>
    <s v="Married"/>
    <s v="Male"/>
    <n v="70000"/>
    <x v="1"/>
    <n v="2"/>
    <s v="Bachelors"/>
    <s v="Skilled Manual"/>
    <s v="Yes"/>
    <n v="1"/>
    <s v="2-5 Miles"/>
    <s v="North America"/>
    <n v="38"/>
    <s v="Adults"/>
    <x v="1"/>
    <n v="1"/>
  </r>
  <r>
    <n v="15940"/>
    <s v="Married"/>
    <s v="Male"/>
    <n v="100000"/>
    <x v="1"/>
    <n v="4"/>
    <s v="Partial College"/>
    <s v="Professional"/>
    <s v="Yes"/>
    <n v="4"/>
    <s v="0-1 Miles"/>
    <s v="North America"/>
    <n v="40"/>
    <s v="Middle-Aged"/>
    <x v="0"/>
    <n v="0"/>
  </r>
  <r>
    <n v="25074"/>
    <s v="Married"/>
    <s v="Female"/>
    <n v="70000"/>
    <x v="1"/>
    <n v="4"/>
    <s v="Bachelors"/>
    <s v="Professional"/>
    <s v="Yes"/>
    <n v="2"/>
    <s v="2-5 Miles"/>
    <s v="North America"/>
    <n v="42"/>
    <s v="Middle-Aged"/>
    <x v="1"/>
    <n v="1"/>
  </r>
  <r>
    <n v="24738"/>
    <s v="Married"/>
    <s v="Female"/>
    <n v="40000"/>
    <x v="0"/>
    <n v="1"/>
    <s v="Partial College"/>
    <s v="Clerical"/>
    <s v="Yes"/>
    <n v="1"/>
    <s v="1-2 Miles"/>
    <s v="North America"/>
    <n v="51"/>
    <s v="Middle-Aged"/>
    <x v="1"/>
    <n v="1"/>
  </r>
  <r>
    <n v="16337"/>
    <s v="Married"/>
    <s v="Male"/>
    <n v="60000"/>
    <x v="0"/>
    <n v="0"/>
    <s v="Partial College"/>
    <s v="Skilled Manual"/>
    <s v="No"/>
    <n v="2"/>
    <s v="1-2 Miles"/>
    <s v="North America"/>
    <n v="29"/>
    <s v="Young Adults"/>
    <x v="0"/>
    <n v="0"/>
  </r>
  <r>
    <n v="24357"/>
    <s v="Married"/>
    <s v="Male"/>
    <n v="80000"/>
    <x v="1"/>
    <n v="3"/>
    <s v="Bachelors"/>
    <s v="Professional"/>
    <s v="Yes"/>
    <n v="1"/>
    <s v="2-5 Miles"/>
    <s v="North America"/>
    <n v="48"/>
    <s v="Middle-Aged"/>
    <x v="1"/>
    <n v="1"/>
  </r>
  <r>
    <n v="18613"/>
    <s v="Single"/>
    <s v="Male"/>
    <n v="70000"/>
    <x v="1"/>
    <n v="0"/>
    <s v="Bachelors"/>
    <s v="Professional"/>
    <s v="No"/>
    <n v="1"/>
    <s v="2-5 Miles"/>
    <s v="North America"/>
    <n v="37"/>
    <s v="Adults"/>
    <x v="1"/>
    <n v="1"/>
  </r>
  <r>
    <n v="12207"/>
    <s v="Single"/>
    <s v="Male"/>
    <n v="80000"/>
    <x v="1"/>
    <n v="4"/>
    <s v="Bachelors"/>
    <s v="Management"/>
    <s v="Yes"/>
    <n v="0"/>
    <s v="5-10 Miles"/>
    <s v="North America"/>
    <n v="66"/>
    <s v="Seniors"/>
    <x v="1"/>
    <n v="1"/>
  </r>
  <r>
    <n v="18052"/>
    <s v="Married"/>
    <s v="Female"/>
    <n v="60000"/>
    <x v="0"/>
    <n v="1"/>
    <s v="Partial College"/>
    <s v="Skilled Manual"/>
    <s v="Yes"/>
    <n v="1"/>
    <s v="0-1 Miles"/>
    <s v="North America"/>
    <n v="45"/>
    <s v="Middle-Aged"/>
    <x v="1"/>
    <n v="1"/>
  </r>
  <r>
    <n v="13353"/>
    <s v="Single"/>
    <s v="Female"/>
    <n v="60000"/>
    <x v="0"/>
    <n v="4"/>
    <s v="Graduate Degree"/>
    <s v="Management"/>
    <s v="Yes"/>
    <n v="2"/>
    <s v="More than 10 Miles"/>
    <s v="North America"/>
    <n v="61"/>
    <s v="Seniors"/>
    <x v="1"/>
    <n v="1"/>
  </r>
  <r>
    <n v="19399"/>
    <s v="Single"/>
    <s v="Male"/>
    <n v="40000"/>
    <x v="0"/>
    <n v="0"/>
    <s v="Bachelors"/>
    <s v="Professional"/>
    <s v="No"/>
    <n v="1"/>
    <s v="2-5 Miles"/>
    <s v="North America"/>
    <n v="45"/>
    <s v="Middle-Aged"/>
    <x v="0"/>
    <n v="0"/>
  </r>
  <r>
    <n v="16154"/>
    <s v="Married"/>
    <s v="Female"/>
    <n v="70000"/>
    <x v="1"/>
    <n v="5"/>
    <s v="Bachelors"/>
    <s v="Professional"/>
    <s v="Yes"/>
    <n v="2"/>
    <s v="2-5 Miles"/>
    <s v="North America"/>
    <n v="47"/>
    <s v="Middle-Aged"/>
    <x v="0"/>
    <n v="0"/>
  </r>
  <r>
    <n v="22219"/>
    <s v="Married"/>
    <s v="Female"/>
    <n v="60000"/>
    <x v="0"/>
    <n v="2"/>
    <s v="High School"/>
    <s v="Professional"/>
    <s v="Yes"/>
    <n v="2"/>
    <s v="5-10 Miles"/>
    <s v="North America"/>
    <n v="49"/>
    <s v="Middle-Aged"/>
    <x v="0"/>
    <n v="0"/>
  </r>
  <r>
    <n v="17269"/>
    <s v="Single"/>
    <s v="Male"/>
    <n v="60000"/>
    <x v="0"/>
    <n v="3"/>
    <s v="Bachelors"/>
    <s v="Professional"/>
    <s v="No"/>
    <n v="0"/>
    <s v="0-1 Miles"/>
    <s v="North America"/>
    <n v="47"/>
    <s v="Middle-Aged"/>
    <x v="1"/>
    <n v="1"/>
  </r>
  <r>
    <n v="23586"/>
    <s v="Married"/>
    <s v="Female"/>
    <n v="80000"/>
    <x v="1"/>
    <n v="0"/>
    <s v="Bachelors"/>
    <s v="Management"/>
    <s v="Yes"/>
    <n v="1"/>
    <s v="1-2 Miles"/>
    <s v="North America"/>
    <n v="34"/>
    <s v="Adults"/>
    <x v="1"/>
    <n v="1"/>
  </r>
  <r>
    <n v="15740"/>
    <s v="Married"/>
    <s v="Male"/>
    <n v="80000"/>
    <x v="1"/>
    <n v="5"/>
    <s v="Bachelors"/>
    <s v="Management"/>
    <s v="Yes"/>
    <n v="2"/>
    <s v="1-2 Miles"/>
    <s v="North America"/>
    <n v="64"/>
    <s v="Seniors"/>
    <x v="0"/>
    <n v="0"/>
  </r>
  <r>
    <n v="27638"/>
    <s v="Single"/>
    <s v="Male"/>
    <n v="100000"/>
    <x v="1"/>
    <n v="1"/>
    <s v="Partial College"/>
    <s v="Professional"/>
    <s v="No"/>
    <n v="3"/>
    <s v="1-2 Miles"/>
    <s v="North America"/>
    <n v="44"/>
    <s v="Middle-Aged"/>
    <x v="0"/>
    <n v="0"/>
  </r>
  <r>
    <n v="18976"/>
    <s v="Single"/>
    <s v="Male"/>
    <n v="40000"/>
    <x v="0"/>
    <n v="4"/>
    <s v="High School"/>
    <s v="Professional"/>
    <s v="Yes"/>
    <n v="2"/>
    <s v="More than 10 Miles"/>
    <s v="North America"/>
    <n v="62"/>
    <s v="Seniors"/>
    <x v="1"/>
    <n v="1"/>
  </r>
  <r>
    <n v="19413"/>
    <s v="Single"/>
    <s v="Male"/>
    <n v="60000"/>
    <x v="0"/>
    <n v="3"/>
    <s v="Bachelors"/>
    <s v="Professional"/>
    <s v="No"/>
    <n v="1"/>
    <s v="0-1 Miles"/>
    <s v="North America"/>
    <n v="47"/>
    <s v="Middle-Aged"/>
    <x v="1"/>
    <n v="1"/>
  </r>
  <r>
    <n v="13283"/>
    <s v="Married"/>
    <s v="Male"/>
    <n v="80000"/>
    <x v="1"/>
    <n v="3"/>
    <s v="Partial College"/>
    <s v="Professional"/>
    <s v="No"/>
    <n v="2"/>
    <s v="0-1 Miles"/>
    <s v="North America"/>
    <n v="49"/>
    <s v="Middle-Aged"/>
    <x v="1"/>
    <n v="1"/>
  </r>
  <r>
    <n v="17471"/>
    <s v="Single"/>
    <s v="Female"/>
    <n v="80000"/>
    <x v="1"/>
    <n v="4"/>
    <s v="Graduate Degree"/>
    <s v="Management"/>
    <s v="Yes"/>
    <n v="2"/>
    <s v="5-10 Miles"/>
    <s v="North America"/>
    <n v="67"/>
    <s v="Seniors"/>
    <x v="0"/>
    <n v="0"/>
  </r>
  <r>
    <n v="16791"/>
    <s v="Single"/>
    <s v="Male"/>
    <n v="60000"/>
    <x v="0"/>
    <n v="5"/>
    <s v="Bachelors"/>
    <s v="Management"/>
    <s v="Yes"/>
    <n v="3"/>
    <s v="More than 10 Miles"/>
    <s v="North America"/>
    <n v="59"/>
    <s v="Middle-Aged"/>
    <x v="1"/>
    <n v="1"/>
  </r>
  <r>
    <n v="15382"/>
    <s v="Married"/>
    <s v="Female"/>
    <n v="110000"/>
    <x v="1"/>
    <n v="1"/>
    <s v="Bachelors"/>
    <s v="Management"/>
    <s v="Yes"/>
    <n v="2"/>
    <s v="1-2 Miles"/>
    <s v="North America"/>
    <n v="44"/>
    <s v="Middle-Aged"/>
    <x v="0"/>
    <n v="0"/>
  </r>
  <r>
    <n v="11641"/>
    <s v="Married"/>
    <s v="Male"/>
    <n v="50000"/>
    <x v="0"/>
    <n v="1"/>
    <s v="Bachelors"/>
    <s v="Skilled Manual"/>
    <s v="Yes"/>
    <n v="0"/>
    <s v="0-1 Miles"/>
    <s v="North America"/>
    <n v="36"/>
    <s v="Adults"/>
    <x v="0"/>
    <n v="0"/>
  </r>
  <r>
    <n v="11935"/>
    <s v="Single"/>
    <s v="Female"/>
    <n v="30000"/>
    <x v="0"/>
    <n v="0"/>
    <s v="Partial College"/>
    <s v="Skilled Manual"/>
    <s v="Yes"/>
    <n v="1"/>
    <s v="5-10 Miles"/>
    <s v="North America"/>
    <n v="28"/>
    <s v="Young Adults"/>
    <x v="0"/>
    <n v="0"/>
  </r>
  <r>
    <n v="13233"/>
    <s v="Married"/>
    <s v="Male"/>
    <n v="60000"/>
    <x v="0"/>
    <n v="2"/>
    <s v="Partial College"/>
    <s v="Professional"/>
    <s v="Yes"/>
    <n v="1"/>
    <s v="More than 10 Miles"/>
    <s v="North America"/>
    <n v="57"/>
    <s v="Middle-Aged"/>
    <x v="1"/>
    <n v="1"/>
  </r>
  <r>
    <n v="25909"/>
    <s v="Married"/>
    <s v="Male"/>
    <n v="60000"/>
    <x v="0"/>
    <n v="0"/>
    <s v="Partial College"/>
    <s v="Skilled Manual"/>
    <s v="Yes"/>
    <n v="1"/>
    <s v="5-10 Miles"/>
    <s v="North America"/>
    <n v="27"/>
    <s v="Young Adults"/>
    <x v="1"/>
    <n v="1"/>
  </r>
  <r>
    <n v="14092"/>
    <s v="Single"/>
    <s v="Male"/>
    <n v="30000"/>
    <x v="0"/>
    <n v="0"/>
    <s v="Partial High School"/>
    <s v="Clerical"/>
    <s v="Yes"/>
    <n v="2"/>
    <s v="5-10 Miles"/>
    <s v="North America"/>
    <n v="28"/>
    <s v="Young Adults"/>
    <x v="0"/>
    <n v="0"/>
  </r>
  <r>
    <n v="29143"/>
    <s v="Single"/>
    <s v="Female"/>
    <n v="60000"/>
    <x v="0"/>
    <n v="1"/>
    <s v="Bachelors"/>
    <s v="Professional"/>
    <s v="No"/>
    <n v="1"/>
    <s v="0-1 Miles"/>
    <s v="North America"/>
    <n v="44"/>
    <s v="Middle-Aged"/>
    <x v="1"/>
    <n v="1"/>
  </r>
  <r>
    <n v="24941"/>
    <s v="Married"/>
    <s v="Male"/>
    <n v="60000"/>
    <x v="0"/>
    <n v="3"/>
    <s v="Bachelors"/>
    <s v="Management"/>
    <s v="Yes"/>
    <n v="2"/>
    <s v="More than 10 Miles"/>
    <s v="North America"/>
    <n v="66"/>
    <s v="Seniors"/>
    <x v="0"/>
    <n v="0"/>
  </r>
  <r>
    <n v="24637"/>
    <s v="Married"/>
    <s v="Male"/>
    <n v="40000"/>
    <x v="0"/>
    <n v="4"/>
    <s v="High School"/>
    <s v="Professional"/>
    <s v="Yes"/>
    <n v="2"/>
    <s v="More than 10 Miles"/>
    <s v="North America"/>
    <n v="64"/>
    <s v="Seniors"/>
    <x v="0"/>
    <n v="0"/>
  </r>
  <r>
    <n v="23893"/>
    <s v="Married"/>
    <s v="Male"/>
    <n v="50000"/>
    <x v="0"/>
    <n v="3"/>
    <s v="Bachelors"/>
    <s v="Skilled Manual"/>
    <s v="Yes"/>
    <n v="3"/>
    <s v="More than 10 Miles"/>
    <s v="North America"/>
    <n v="41"/>
    <s v="Middle-Aged"/>
    <x v="0"/>
    <n v="0"/>
  </r>
  <r>
    <n v="13907"/>
    <s v="Single"/>
    <s v="Female"/>
    <n v="80000"/>
    <x v="1"/>
    <n v="3"/>
    <s v="Bachelors"/>
    <s v="Skilled Manual"/>
    <s v="Yes"/>
    <n v="1"/>
    <s v="0-1 Miles"/>
    <s v="North America"/>
    <n v="41"/>
    <s v="Middle-Aged"/>
    <x v="1"/>
    <n v="1"/>
  </r>
  <r>
    <n v="14900"/>
    <s v="Married"/>
    <s v="Female"/>
    <n v="40000"/>
    <x v="0"/>
    <n v="1"/>
    <s v="Partial College"/>
    <s v="Clerical"/>
    <s v="Yes"/>
    <n v="1"/>
    <s v="1-2 Miles"/>
    <s v="North America"/>
    <n v="49"/>
    <s v="Middle-Aged"/>
    <x v="1"/>
    <n v="1"/>
  </r>
  <r>
    <n v="11262"/>
    <s v="Married"/>
    <s v="Female"/>
    <n v="80000"/>
    <x v="1"/>
    <n v="4"/>
    <s v="Bachelors"/>
    <s v="Management"/>
    <s v="Yes"/>
    <n v="0"/>
    <s v="0-1 Miles"/>
    <s v="North America"/>
    <n v="42"/>
    <s v="Middle-Aged"/>
    <x v="0"/>
    <n v="0"/>
  </r>
  <r>
    <n v="22294"/>
    <s v="Single"/>
    <s v="Female"/>
    <n v="70000"/>
    <x v="1"/>
    <n v="0"/>
    <s v="Bachelors"/>
    <s v="Professional"/>
    <s v="No"/>
    <n v="1"/>
    <s v="2-5 Miles"/>
    <s v="North America"/>
    <n v="37"/>
    <s v="Adults"/>
    <x v="1"/>
    <n v="1"/>
  </r>
  <r>
    <n v="12195"/>
    <s v="Single"/>
    <s v="Female"/>
    <n v="70000"/>
    <x v="1"/>
    <n v="3"/>
    <s v="Graduate Degree"/>
    <s v="Management"/>
    <s v="Yes"/>
    <n v="2"/>
    <s v="1-2 Miles"/>
    <s v="North America"/>
    <n v="52"/>
    <s v="Middle-Aged"/>
    <x v="0"/>
    <n v="0"/>
  </r>
  <r>
    <n v="25375"/>
    <s v="Married"/>
    <s v="Male"/>
    <n v="50000"/>
    <x v="0"/>
    <n v="1"/>
    <s v="Graduate Degree"/>
    <s v="Skilled Manual"/>
    <s v="Yes"/>
    <n v="0"/>
    <s v="1-2 Miles"/>
    <s v="North America"/>
    <n v="34"/>
    <s v="Adults"/>
    <x v="0"/>
    <n v="0"/>
  </r>
  <r>
    <n v="11143"/>
    <s v="Married"/>
    <s v="Male"/>
    <n v="40000"/>
    <x v="0"/>
    <n v="0"/>
    <s v="High School"/>
    <s v="Skilled Manual"/>
    <s v="Yes"/>
    <n v="2"/>
    <s v="5-10 Miles"/>
    <s v="North America"/>
    <n v="29"/>
    <s v="Young Adults"/>
    <x v="0"/>
    <n v="0"/>
  </r>
  <r>
    <n v="25898"/>
    <s v="Married"/>
    <s v="Female"/>
    <n v="70000"/>
    <x v="1"/>
    <n v="2"/>
    <s v="High School"/>
    <s v="Professional"/>
    <s v="Yes"/>
    <n v="2"/>
    <s v="2-5 Miles"/>
    <s v="North America"/>
    <n v="53"/>
    <s v="Middle-Aged"/>
    <x v="0"/>
    <n v="0"/>
  </r>
  <r>
    <n v="24397"/>
    <s v="Single"/>
    <s v="Male"/>
    <n v="120000"/>
    <x v="1"/>
    <n v="2"/>
    <s v="Bachelors"/>
    <s v="Management"/>
    <s v="No"/>
    <n v="4"/>
    <s v="1-2 Miles"/>
    <s v="North America"/>
    <n v="40"/>
    <s v="Middle-Aged"/>
    <x v="0"/>
    <n v="0"/>
  </r>
  <r>
    <n v="19758"/>
    <s v="Single"/>
    <s v="Male"/>
    <n v="60000"/>
    <x v="0"/>
    <n v="0"/>
    <s v="Partial College"/>
    <s v="Skilled Manual"/>
    <s v="No"/>
    <n v="2"/>
    <s v="1-2 Miles"/>
    <s v="North America"/>
    <n v="29"/>
    <s v="Young Adults"/>
    <x v="0"/>
    <n v="0"/>
  </r>
  <r>
    <n v="15529"/>
    <s v="Married"/>
    <s v="Male"/>
    <n v="60000"/>
    <x v="0"/>
    <n v="4"/>
    <s v="Bachelors"/>
    <s v="Professional"/>
    <s v="Yes"/>
    <n v="2"/>
    <s v="2-5 Miles"/>
    <s v="North America"/>
    <n v="43"/>
    <s v="Middle-Aged"/>
    <x v="1"/>
    <n v="1"/>
  </r>
  <r>
    <n v="19884"/>
    <s v="Married"/>
    <s v="Male"/>
    <n v="60000"/>
    <x v="0"/>
    <n v="2"/>
    <s v="High School"/>
    <s v="Professional"/>
    <s v="Yes"/>
    <n v="2"/>
    <s v="2-5 Miles"/>
    <s v="North America"/>
    <n v="55"/>
    <s v="Middle-Aged"/>
    <x v="1"/>
    <n v="1"/>
  </r>
  <r>
    <n v="18674"/>
    <s v="Single"/>
    <s v="Female"/>
    <n v="80000"/>
    <x v="1"/>
    <n v="4"/>
    <s v="Graduate Degree"/>
    <s v="Skilled Manual"/>
    <s v="No"/>
    <n v="0"/>
    <s v="0-1 Miles"/>
    <s v="North America"/>
    <n v="48"/>
    <s v="Middle-Aged"/>
    <x v="0"/>
    <n v="0"/>
  </r>
  <r>
    <n v="13453"/>
    <s v="Married"/>
    <s v="Female"/>
    <n v="130000"/>
    <x v="2"/>
    <n v="3"/>
    <s v="Bachelors"/>
    <s v="Management"/>
    <s v="Yes"/>
    <n v="3"/>
    <s v="0-1 Miles"/>
    <s v="North America"/>
    <n v="45"/>
    <s v="Middle-Aged"/>
    <x v="1"/>
    <n v="1"/>
  </r>
  <r>
    <n v="14063"/>
    <s v="Single"/>
    <s v="Female"/>
    <n v="70000"/>
    <x v="1"/>
    <n v="0"/>
    <s v="Bachelors"/>
    <s v="Professional"/>
    <s v="No"/>
    <n v="1"/>
    <s v="0-1 Miles"/>
    <s v="Pacific"/>
    <n v="42"/>
    <s v="Middle-Aged"/>
    <x v="1"/>
    <n v="1"/>
  </r>
  <r>
    <n v="27393"/>
    <s v="Married"/>
    <s v="Female"/>
    <n v="50000"/>
    <x v="0"/>
    <n v="4"/>
    <s v="Bachelors"/>
    <s v="Management"/>
    <s v="Yes"/>
    <n v="2"/>
    <s v="More than 10 Miles"/>
    <s v="North America"/>
    <n v="63"/>
    <s v="Seniors"/>
    <x v="0"/>
    <n v="0"/>
  </r>
  <r>
    <n v="14417"/>
    <s v="Single"/>
    <s v="Male"/>
    <n v="60000"/>
    <x v="0"/>
    <n v="3"/>
    <s v="High School"/>
    <s v="Professional"/>
    <s v="Yes"/>
    <n v="2"/>
    <s v="More than 10 Miles"/>
    <s v="North America"/>
    <n v="54"/>
    <s v="Middle-Aged"/>
    <x v="1"/>
    <n v="1"/>
  </r>
  <r>
    <n v="17533"/>
    <s v="Married"/>
    <s v="Male"/>
    <n v="40000"/>
    <x v="0"/>
    <n v="3"/>
    <s v="Partial College"/>
    <s v="Professional"/>
    <s v="No"/>
    <n v="2"/>
    <s v="5-10 Miles"/>
    <s v="North America"/>
    <n v="73"/>
    <s v="Seniors"/>
    <x v="1"/>
    <n v="1"/>
  </r>
  <r>
    <n v="18580"/>
    <s v="Married"/>
    <s v="Female"/>
    <n v="60000"/>
    <x v="0"/>
    <n v="2"/>
    <s v="Graduate Degree"/>
    <s v="Professional"/>
    <s v="Yes"/>
    <n v="0"/>
    <s v="2-5 Miles"/>
    <s v="North America"/>
    <n v="40"/>
    <s v="Middle-Aged"/>
    <x v="1"/>
    <n v="1"/>
  </r>
  <r>
    <n v="17025"/>
    <s v="Single"/>
    <s v="Male"/>
    <n v="50000"/>
    <x v="0"/>
    <n v="0"/>
    <s v="Partial College"/>
    <s v="Skilled Manual"/>
    <s v="No"/>
    <n v="1"/>
    <s v="2-5 Miles"/>
    <s v="North America"/>
    <n v="39"/>
    <s v="Adults"/>
    <x v="1"/>
    <n v="1"/>
  </r>
  <r>
    <n v="25293"/>
    <s v="Married"/>
    <s v="Male"/>
    <n v="80000"/>
    <x v="1"/>
    <n v="4"/>
    <s v="Bachelors"/>
    <s v="Management"/>
    <s v="Yes"/>
    <n v="0"/>
    <s v="1-2 Miles"/>
    <s v="North America"/>
    <n v="42"/>
    <s v="Middle-Aged"/>
    <x v="0"/>
    <n v="0"/>
  </r>
  <r>
    <n v="24725"/>
    <s v="Married"/>
    <s v="Female"/>
    <n v="40000"/>
    <x v="0"/>
    <n v="3"/>
    <s v="Partial College"/>
    <s v="Clerical"/>
    <s v="Yes"/>
    <n v="0"/>
    <s v="1-2 Miles"/>
    <s v="North America"/>
    <n v="31"/>
    <s v="Adults"/>
    <x v="0"/>
    <n v="0"/>
  </r>
  <r>
    <n v="23200"/>
    <s v="Married"/>
    <s v="Female"/>
    <n v="50000"/>
    <x v="0"/>
    <n v="3"/>
    <s v="Bachelors"/>
    <s v="Skilled Manual"/>
    <s v="Yes"/>
    <n v="2"/>
    <s v="0-1 Miles"/>
    <s v="North America"/>
    <n v="41"/>
    <s v="Middle-Aged"/>
    <x v="0"/>
    <n v="0"/>
  </r>
  <r>
    <n v="15895"/>
    <s v="Single"/>
    <s v="Female"/>
    <n v="60000"/>
    <x v="0"/>
    <n v="2"/>
    <s v="Bachelors"/>
    <s v="Management"/>
    <s v="Yes"/>
    <n v="0"/>
    <s v="More than 10 Miles"/>
    <s v="North America"/>
    <n v="58"/>
    <s v="Middle-Aged"/>
    <x v="0"/>
    <n v="0"/>
  </r>
  <r>
    <n v="18577"/>
    <s v="Married"/>
    <s v="Female"/>
    <n v="60000"/>
    <x v="0"/>
    <n v="0"/>
    <s v="Graduate Degree"/>
    <s v="Professional"/>
    <s v="Yes"/>
    <n v="0"/>
    <s v="0-1 Miles"/>
    <s v="North America"/>
    <n v="40"/>
    <s v="Middle-Aged"/>
    <x v="0"/>
    <n v="0"/>
  </r>
  <r>
    <n v="27218"/>
    <s v="Married"/>
    <s v="Female"/>
    <n v="20000"/>
    <x v="0"/>
    <n v="2"/>
    <s v="Partial High School"/>
    <s v="Clerical"/>
    <s v="No"/>
    <n v="0"/>
    <s v="0-1 Miles"/>
    <s v="North America"/>
    <n v="48"/>
    <s v="Middle-Aged"/>
    <x v="0"/>
    <n v="0"/>
  </r>
  <r>
    <n v="18560"/>
    <s v="Married"/>
    <s v="Female"/>
    <n v="70000"/>
    <x v="1"/>
    <n v="2"/>
    <s v="Graduate Degree"/>
    <s v="Professional"/>
    <s v="Yes"/>
    <n v="0"/>
    <s v="2-5 Miles"/>
    <s v="North America"/>
    <n v="34"/>
    <s v="Adults"/>
    <x v="1"/>
    <n v="1"/>
  </r>
  <r>
    <n v="25006"/>
    <s v="Single"/>
    <s v="Female"/>
    <n v="30000"/>
    <x v="0"/>
    <n v="0"/>
    <s v="Partial College"/>
    <s v="Skilled Manual"/>
    <s v="Yes"/>
    <n v="1"/>
    <s v="5-10 Miles"/>
    <s v="North America"/>
    <n v="28"/>
    <s v="Young Adults"/>
    <x v="0"/>
    <n v="0"/>
  </r>
  <r>
    <n v="17369"/>
    <s v="Single"/>
    <s v="Male"/>
    <n v="30000"/>
    <x v="0"/>
    <n v="0"/>
    <s v="Partial College"/>
    <s v="Skilled Manual"/>
    <s v="Yes"/>
    <n v="1"/>
    <s v="5-10 Miles"/>
    <s v="North America"/>
    <n v="27"/>
    <s v="Young Adults"/>
    <x v="0"/>
    <n v="0"/>
  </r>
  <r>
    <n v="14495"/>
    <s v="Married"/>
    <s v="Male"/>
    <n v="40000"/>
    <x v="0"/>
    <n v="3"/>
    <s v="Partial College"/>
    <s v="Professional"/>
    <s v="No"/>
    <n v="2"/>
    <s v="5-10 Miles"/>
    <s v="North America"/>
    <n v="54"/>
    <s v="Middle-Aged"/>
    <x v="1"/>
    <n v="1"/>
  </r>
  <r>
    <n v="18847"/>
    <s v="Married"/>
    <s v="Female"/>
    <n v="60000"/>
    <x v="0"/>
    <n v="2"/>
    <s v="Graduate Degree"/>
    <s v="Management"/>
    <s v="Yes"/>
    <n v="2"/>
    <s v="5-10 Miles"/>
    <s v="North America"/>
    <n v="70"/>
    <s v="Seniors"/>
    <x v="0"/>
    <n v="0"/>
  </r>
  <r>
    <n v="14754"/>
    <s v="Married"/>
    <s v="Male"/>
    <n v="40000"/>
    <x v="0"/>
    <n v="1"/>
    <s v="Partial College"/>
    <s v="Clerical"/>
    <s v="Yes"/>
    <n v="1"/>
    <s v="1-2 Miles"/>
    <s v="North America"/>
    <n v="48"/>
    <s v="Middle-Aged"/>
    <x v="1"/>
    <n v="1"/>
  </r>
  <r>
    <n v="23378"/>
    <s v="Married"/>
    <s v="Male"/>
    <n v="70000"/>
    <x v="1"/>
    <n v="1"/>
    <s v="Partial College"/>
    <s v="Skilled Manual"/>
    <s v="Yes"/>
    <n v="1"/>
    <s v="2-5 Miles"/>
    <s v="North America"/>
    <n v="44"/>
    <s v="Middle-Aged"/>
    <x v="1"/>
    <n v="1"/>
  </r>
  <r>
    <n v="26452"/>
    <s v="Single"/>
    <s v="Male"/>
    <n v="50000"/>
    <x v="0"/>
    <n v="3"/>
    <s v="Graduate Degree"/>
    <s v="Management"/>
    <s v="Yes"/>
    <n v="2"/>
    <s v="More than 10 Miles"/>
    <s v="North America"/>
    <n v="69"/>
    <s v="Seniors"/>
    <x v="0"/>
    <n v="0"/>
  </r>
  <r>
    <n v="20370"/>
    <s v="Married"/>
    <s v="Male"/>
    <n v="70000"/>
    <x v="1"/>
    <n v="3"/>
    <s v="Partial High School"/>
    <s v="Skilled Manual"/>
    <s v="Yes"/>
    <n v="2"/>
    <s v="5-10 Miles"/>
    <s v="North America"/>
    <n v="52"/>
    <s v="Middle-Aged"/>
    <x v="0"/>
    <n v="0"/>
  </r>
  <r>
    <n v="20528"/>
    <s v="Married"/>
    <s v="Male"/>
    <n v="40000"/>
    <x v="0"/>
    <n v="2"/>
    <s v="Partial High School"/>
    <s v="Skilled Manual"/>
    <s v="Yes"/>
    <n v="2"/>
    <s v="2-5 Miles"/>
    <s v="North America"/>
    <n v="55"/>
    <s v="Middle-Aged"/>
    <x v="0"/>
    <n v="0"/>
  </r>
  <r>
    <n v="23549"/>
    <s v="Single"/>
    <s v="Male"/>
    <n v="30000"/>
    <x v="0"/>
    <n v="0"/>
    <s v="High School"/>
    <s v="Skilled Manual"/>
    <s v="Yes"/>
    <n v="2"/>
    <s v="5-10 Miles"/>
    <s v="North America"/>
    <n v="30"/>
    <s v="Adults"/>
    <x v="0"/>
    <n v="0"/>
  </r>
  <r>
    <n v="21751"/>
    <s v="Married"/>
    <s v="Male"/>
    <n v="60000"/>
    <x v="0"/>
    <n v="3"/>
    <s v="Graduate Degree"/>
    <s v="Management"/>
    <s v="Yes"/>
    <n v="2"/>
    <s v="1-2 Miles"/>
    <s v="North America"/>
    <n v="63"/>
    <s v="Seniors"/>
    <x v="0"/>
    <n v="0"/>
  </r>
  <r>
    <n v="21266"/>
    <s v="Single"/>
    <s v="Female"/>
    <n v="80000"/>
    <x v="1"/>
    <n v="0"/>
    <s v="Bachelors"/>
    <s v="Management"/>
    <s v="Yes"/>
    <n v="1"/>
    <s v="1-2 Miles"/>
    <s v="North America"/>
    <n v="34"/>
    <s v="Adults"/>
    <x v="1"/>
    <n v="1"/>
  </r>
  <r>
    <n v="13388"/>
    <s v="Single"/>
    <s v="Male"/>
    <n v="60000"/>
    <x v="0"/>
    <n v="2"/>
    <s v="Partial College"/>
    <s v="Professional"/>
    <s v="Yes"/>
    <n v="1"/>
    <s v="More than 10 Miles"/>
    <s v="North America"/>
    <n v="56"/>
    <s v="Middle-Aged"/>
    <x v="0"/>
    <n v="0"/>
  </r>
  <r>
    <n v="18752"/>
    <s v="Single"/>
    <s v="Female"/>
    <n v="40000"/>
    <x v="0"/>
    <n v="0"/>
    <s v="High School"/>
    <s v="Skilled Manual"/>
    <s v="Yes"/>
    <n v="1"/>
    <s v="5-10 Miles"/>
    <s v="North America"/>
    <n v="31"/>
    <s v="Adults"/>
    <x v="0"/>
    <n v="0"/>
  </r>
  <r>
    <n v="16917"/>
    <s v="Married"/>
    <s v="Male"/>
    <n v="120000"/>
    <x v="1"/>
    <n v="1"/>
    <s v="Bachelors"/>
    <s v="Management"/>
    <s v="Yes"/>
    <n v="4"/>
    <s v="0-1 Miles"/>
    <s v="North America"/>
    <n v="38"/>
    <s v="Adults"/>
    <x v="0"/>
    <n v="0"/>
  </r>
  <r>
    <n v="15313"/>
    <s v="Married"/>
    <s v="Male"/>
    <n v="60000"/>
    <x v="0"/>
    <n v="4"/>
    <s v="Bachelors"/>
    <s v="Management"/>
    <s v="Yes"/>
    <n v="2"/>
    <s v="2-5 Miles"/>
    <s v="North America"/>
    <n v="59"/>
    <s v="Middle-Aged"/>
    <x v="0"/>
    <n v="0"/>
  </r>
  <r>
    <n v="25329"/>
    <s v="Single"/>
    <s v="Female"/>
    <n v="40000"/>
    <x v="0"/>
    <n v="3"/>
    <s v="Partial College"/>
    <s v="Clerical"/>
    <s v="No"/>
    <n v="2"/>
    <s v="0-1 Miles"/>
    <s v="North America"/>
    <n v="32"/>
    <s v="Adults"/>
    <x v="0"/>
    <n v="0"/>
  </r>
  <r>
    <n v="20380"/>
    <s v="Married"/>
    <s v="Female"/>
    <n v="60000"/>
    <x v="0"/>
    <n v="3"/>
    <s v="Graduate Degree"/>
    <s v="Management"/>
    <s v="Yes"/>
    <n v="2"/>
    <s v="More than 10 Miles"/>
    <s v="North America"/>
    <n v="69"/>
    <s v="Seniors"/>
    <x v="0"/>
    <n v="0"/>
  </r>
  <r>
    <n v="23089"/>
    <s v="Married"/>
    <s v="Male"/>
    <n v="40000"/>
    <x v="0"/>
    <n v="0"/>
    <s v="Partial College"/>
    <s v="Skilled Manual"/>
    <s v="Yes"/>
    <n v="1"/>
    <s v="5-10 Miles"/>
    <s v="North America"/>
    <n v="28"/>
    <s v="Young Adults"/>
    <x v="0"/>
    <n v="0"/>
  </r>
  <r>
    <n v="13749"/>
    <s v="Married"/>
    <s v="Male"/>
    <n v="80000"/>
    <x v="1"/>
    <n v="4"/>
    <s v="Graduate Degree"/>
    <s v="Skilled Manual"/>
    <s v="Yes"/>
    <n v="0"/>
    <s v="1-2 Miles"/>
    <s v="North America"/>
    <n v="47"/>
    <s v="Middle-Aged"/>
    <x v="0"/>
    <n v="0"/>
  </r>
  <r>
    <n v="24943"/>
    <s v="Married"/>
    <s v="Male"/>
    <n v="60000"/>
    <x v="0"/>
    <n v="3"/>
    <s v="Bachelors"/>
    <s v="Management"/>
    <s v="Yes"/>
    <n v="2"/>
    <s v="More than 10 Miles"/>
    <s v="North America"/>
    <n v="66"/>
    <s v="Seniors"/>
    <x v="0"/>
    <n v="0"/>
  </r>
  <r>
    <n v="28667"/>
    <s v="Single"/>
    <s v="Male"/>
    <n v="70000"/>
    <x v="1"/>
    <n v="2"/>
    <s v="Bachelors"/>
    <s v="Skilled Manual"/>
    <s v="No"/>
    <n v="1"/>
    <s v="0-1 Miles"/>
    <s v="North America"/>
    <n v="37"/>
    <s v="Adults"/>
    <x v="1"/>
    <n v="1"/>
  </r>
  <r>
    <n v="15194"/>
    <s v="Single"/>
    <s v="Male"/>
    <n v="120000"/>
    <x v="1"/>
    <n v="2"/>
    <s v="Bachelors"/>
    <s v="Management"/>
    <s v="No"/>
    <n v="3"/>
    <s v="0-1 Miles"/>
    <s v="North America"/>
    <n v="39"/>
    <s v="Adults"/>
    <x v="1"/>
    <n v="1"/>
  </r>
  <r>
    <n v="17436"/>
    <s v="Married"/>
    <s v="Male"/>
    <n v="60000"/>
    <x v="0"/>
    <n v="2"/>
    <s v="High School"/>
    <s v="Professional"/>
    <s v="No"/>
    <n v="2"/>
    <s v="1-2 Miles"/>
    <s v="North America"/>
    <n v="51"/>
    <s v="Middle-Aged"/>
    <x v="0"/>
    <n v="0"/>
  </r>
  <r>
    <n v="18935"/>
    <s v="Married"/>
    <s v="Female"/>
    <n v="130000"/>
    <x v="2"/>
    <n v="0"/>
    <s v="Graduate Degree"/>
    <s v="Management"/>
    <s v="Yes"/>
    <n v="3"/>
    <s v="1-2 Miles"/>
    <s v="North America"/>
    <n v="40"/>
    <s v="Middle-Aged"/>
    <x v="0"/>
    <n v="0"/>
  </r>
  <r>
    <n v="16871"/>
    <s v="Married"/>
    <s v="Female"/>
    <n v="90000"/>
    <x v="1"/>
    <n v="2"/>
    <s v="High School"/>
    <s v="Professional"/>
    <s v="Yes"/>
    <n v="1"/>
    <s v="More than 10 Miles"/>
    <s v="North America"/>
    <n v="51"/>
    <s v="Middle-Aged"/>
    <x v="1"/>
    <n v="1"/>
  </r>
  <r>
    <n v="12100"/>
    <s v="Single"/>
    <s v="Male"/>
    <n v="60000"/>
    <x v="0"/>
    <n v="2"/>
    <s v="Bachelors"/>
    <s v="Management"/>
    <s v="Yes"/>
    <n v="0"/>
    <s v="More than 10 Miles"/>
    <s v="North America"/>
    <n v="57"/>
    <s v="Middle-Aged"/>
    <x v="0"/>
    <n v="0"/>
  </r>
  <r>
    <n v="23158"/>
    <s v="Married"/>
    <s v="Female"/>
    <n v="60000"/>
    <x v="0"/>
    <n v="1"/>
    <s v="Graduate Degree"/>
    <s v="Professional"/>
    <s v="No"/>
    <n v="0"/>
    <s v="0-1 Miles"/>
    <s v="North America"/>
    <n v="35"/>
    <s v="Adults"/>
    <x v="1"/>
    <n v="1"/>
  </r>
  <r>
    <n v="18545"/>
    <s v="Married"/>
    <s v="Male"/>
    <n v="40000"/>
    <x v="0"/>
    <n v="4"/>
    <s v="High School"/>
    <s v="Professional"/>
    <s v="No"/>
    <n v="2"/>
    <s v="More than 10 Miles"/>
    <s v="North America"/>
    <n v="61"/>
    <s v="Seniors"/>
    <x v="1"/>
    <n v="1"/>
  </r>
  <r>
    <n v="18391"/>
    <s v="Single"/>
    <s v="Female"/>
    <n v="80000"/>
    <x v="1"/>
    <n v="5"/>
    <s v="Partial College"/>
    <s v="Professional"/>
    <s v="Yes"/>
    <n v="2"/>
    <s v="5-10 Miles"/>
    <s v="North America"/>
    <n v="44"/>
    <s v="Middle-Aged"/>
    <x v="0"/>
    <n v="0"/>
  </r>
  <r>
    <n v="19812"/>
    <s v="Single"/>
    <s v="Female"/>
    <n v="70000"/>
    <x v="1"/>
    <n v="2"/>
    <s v="Partial College"/>
    <s v="Professional"/>
    <s v="Yes"/>
    <n v="0"/>
    <s v="5-10 Miles"/>
    <s v="North America"/>
    <n v="49"/>
    <s v="Middle-Aged"/>
    <x v="1"/>
    <n v="1"/>
  </r>
  <r>
    <n v="27660"/>
    <s v="Married"/>
    <s v="Male"/>
    <n v="80000"/>
    <x v="1"/>
    <n v="4"/>
    <s v="Graduate Degree"/>
    <s v="Management"/>
    <s v="Yes"/>
    <n v="2"/>
    <s v="5-10 Miles"/>
    <s v="North America"/>
    <n v="70"/>
    <s v="Seniors"/>
    <x v="0"/>
    <n v="0"/>
  </r>
  <r>
    <n v="18058"/>
    <s v="Single"/>
    <s v="Female"/>
    <n v="20000"/>
    <x v="0"/>
    <n v="3"/>
    <s v="High School"/>
    <s v="Skilled Manual"/>
    <s v="Yes"/>
    <n v="2"/>
    <s v="2-5 Miles"/>
    <s v="North America"/>
    <n v="78"/>
    <s v="Seniors"/>
    <x v="0"/>
    <n v="0"/>
  </r>
  <r>
    <n v="20343"/>
    <s v="Married"/>
    <s v="Female"/>
    <n v="90000"/>
    <x v="1"/>
    <n v="4"/>
    <s v="Partial College"/>
    <s v="Professional"/>
    <s v="Yes"/>
    <n v="1"/>
    <s v="1-2 Miles"/>
    <s v="North America"/>
    <n v="45"/>
    <s v="Middle-Aged"/>
    <x v="0"/>
    <n v="0"/>
  </r>
  <r>
    <n v="28997"/>
    <s v="Single"/>
    <s v="Male"/>
    <n v="40000"/>
    <x v="0"/>
    <n v="2"/>
    <s v="High School"/>
    <s v="Professional"/>
    <s v="No"/>
    <n v="1"/>
    <s v="2-5 Miles"/>
    <s v="North America"/>
    <n v="58"/>
    <s v="Middle-Aged"/>
    <x v="1"/>
    <n v="1"/>
  </r>
  <r>
    <n v="24398"/>
    <s v="Married"/>
    <s v="Male"/>
    <n v="130000"/>
    <x v="2"/>
    <n v="1"/>
    <s v="Graduate Degree"/>
    <s v="Management"/>
    <s v="Yes"/>
    <n v="4"/>
    <s v="0-1 Miles"/>
    <s v="North America"/>
    <n v="41"/>
    <s v="Middle-Aged"/>
    <x v="0"/>
    <n v="0"/>
  </r>
  <r>
    <n v="19002"/>
    <s v="Married"/>
    <s v="Female"/>
    <n v="60000"/>
    <x v="0"/>
    <n v="2"/>
    <s v="Partial College"/>
    <s v="Professional"/>
    <s v="Yes"/>
    <n v="1"/>
    <s v="2-5 Miles"/>
    <s v="North America"/>
    <n v="57"/>
    <s v="Middle-Aged"/>
    <x v="1"/>
    <n v="1"/>
  </r>
  <r>
    <n v="28609"/>
    <s v="Married"/>
    <s v="Male"/>
    <n v="30000"/>
    <x v="0"/>
    <n v="2"/>
    <s v="High School"/>
    <s v="Skilled Manual"/>
    <s v="No"/>
    <n v="2"/>
    <s v="0-1 Miles"/>
    <s v="North America"/>
    <n v="49"/>
    <s v="Middle-Aged"/>
    <x v="0"/>
    <n v="0"/>
  </r>
  <r>
    <n v="29231"/>
    <s v="Single"/>
    <s v="Male"/>
    <n v="80000"/>
    <x v="1"/>
    <n v="4"/>
    <s v="Partial College"/>
    <s v="Professional"/>
    <s v="No"/>
    <n v="2"/>
    <s v="0-1 Miles"/>
    <s v="North America"/>
    <n v="43"/>
    <s v="Middle-Aged"/>
    <x v="0"/>
    <n v="0"/>
  </r>
  <r>
    <n v="18858"/>
    <s v="Single"/>
    <s v="Male"/>
    <n v="60000"/>
    <x v="0"/>
    <n v="2"/>
    <s v="Partial High School"/>
    <s v="Skilled Manual"/>
    <s v="Yes"/>
    <n v="2"/>
    <s v="5-10 Miles"/>
    <s v="North America"/>
    <n v="52"/>
    <s v="Middle-Aged"/>
    <x v="1"/>
    <n v="1"/>
  </r>
  <r>
    <n v="20000"/>
    <s v="Married"/>
    <s v="Male"/>
    <n v="60000"/>
    <x v="0"/>
    <n v="1"/>
    <s v="Graduate Degree"/>
    <s v="Professional"/>
    <s v="Yes"/>
    <n v="0"/>
    <s v="0-1 Miles"/>
    <s v="North America"/>
    <n v="35"/>
    <s v="Adults"/>
    <x v="1"/>
    <n v="1"/>
  </r>
  <r>
    <n v="25261"/>
    <s v="Married"/>
    <s v="Male"/>
    <n v="40000"/>
    <x v="0"/>
    <n v="0"/>
    <s v="High School"/>
    <s v="Skilled Manual"/>
    <s v="Yes"/>
    <n v="2"/>
    <s v="5-10 Miles"/>
    <s v="North America"/>
    <n v="27"/>
    <s v="Young Adults"/>
    <x v="0"/>
    <n v="0"/>
  </r>
  <r>
    <n v="17458"/>
    <s v="Single"/>
    <s v="Male"/>
    <n v="70000"/>
    <x v="1"/>
    <n v="3"/>
    <s v="High School"/>
    <s v="Professional"/>
    <s v="Yes"/>
    <n v="0"/>
    <s v="5-10 Miles"/>
    <s v="North America"/>
    <n v="52"/>
    <s v="Middle-Aged"/>
    <x v="1"/>
    <n v="1"/>
  </r>
  <r>
    <n v="11644"/>
    <s v="Single"/>
    <s v="Male"/>
    <n v="40000"/>
    <x v="0"/>
    <n v="2"/>
    <s v="Bachelors"/>
    <s v="Skilled Manual"/>
    <s v="Yes"/>
    <n v="0"/>
    <s v="2-5 Miles"/>
    <s v="North America"/>
    <n v="36"/>
    <s v="Adults"/>
    <x v="0"/>
    <n v="0"/>
  </r>
  <r>
    <n v="16145"/>
    <s v="Single"/>
    <s v="Female"/>
    <n v="70000"/>
    <x v="1"/>
    <n v="5"/>
    <s v="Graduate Degree"/>
    <s v="Professional"/>
    <s v="Yes"/>
    <n v="3"/>
    <s v="More than 10 Miles"/>
    <s v="North America"/>
    <n v="46"/>
    <s v="Middle-Aged"/>
    <x v="1"/>
    <n v="1"/>
  </r>
  <r>
    <n v="16890"/>
    <s v="Married"/>
    <s v="Male"/>
    <n v="60000"/>
    <x v="0"/>
    <n v="3"/>
    <s v="Partial High School"/>
    <s v="Skilled Manual"/>
    <s v="Yes"/>
    <n v="2"/>
    <s v="5-10 Miles"/>
    <s v="North America"/>
    <n v="52"/>
    <s v="Middle-Aged"/>
    <x v="1"/>
    <n v="1"/>
  </r>
  <r>
    <n v="25983"/>
    <s v="Married"/>
    <s v="Male"/>
    <n v="70000"/>
    <x v="1"/>
    <n v="0"/>
    <s v="Bachelors"/>
    <s v="Professional"/>
    <s v="No"/>
    <n v="1"/>
    <s v="0-1 Miles"/>
    <s v="North America"/>
    <n v="43"/>
    <s v="Middle-Aged"/>
    <x v="0"/>
    <n v="0"/>
  </r>
  <r>
    <n v="14633"/>
    <s v="Married"/>
    <s v="Male"/>
    <n v="60000"/>
    <x v="0"/>
    <n v="1"/>
    <s v="Partial College"/>
    <s v="Skilled Manual"/>
    <s v="Yes"/>
    <n v="1"/>
    <s v="2-5 Miles"/>
    <s v="North America"/>
    <n v="44"/>
    <s v="Middle-Aged"/>
    <x v="0"/>
    <n v="0"/>
  </r>
  <r>
    <n v="22994"/>
    <s v="Married"/>
    <s v="Female"/>
    <n v="80000"/>
    <x v="1"/>
    <n v="0"/>
    <s v="Bachelors"/>
    <s v="Management"/>
    <s v="Yes"/>
    <n v="1"/>
    <s v="1-2 Miles"/>
    <s v="North America"/>
    <n v="34"/>
    <s v="Adults"/>
    <x v="1"/>
    <n v="1"/>
  </r>
  <r>
    <n v="22983"/>
    <s v="Single"/>
    <s v="Female"/>
    <n v="30000"/>
    <x v="0"/>
    <n v="0"/>
    <s v="Partial High School"/>
    <s v="Clerical"/>
    <s v="Yes"/>
    <n v="2"/>
    <s v="5-10 Miles"/>
    <s v="North America"/>
    <n v="27"/>
    <s v="Young Adults"/>
    <x v="0"/>
    <n v="0"/>
  </r>
  <r>
    <n v="25184"/>
    <s v="Single"/>
    <s v="Male"/>
    <n v="110000"/>
    <x v="1"/>
    <n v="1"/>
    <s v="Partial College"/>
    <s v="Professional"/>
    <s v="Yes"/>
    <n v="4"/>
    <s v="5-10 Miles"/>
    <s v="North America"/>
    <n v="45"/>
    <s v="Middle-Aged"/>
    <x v="1"/>
    <n v="1"/>
  </r>
  <r>
    <n v="14469"/>
    <s v="Married"/>
    <s v="Female"/>
    <n v="100000"/>
    <x v="1"/>
    <n v="3"/>
    <s v="Partial College"/>
    <s v="Professional"/>
    <s v="Yes"/>
    <n v="4"/>
    <s v="1-2 Miles"/>
    <s v="North America"/>
    <n v="45"/>
    <s v="Middle-Aged"/>
    <x v="0"/>
    <n v="0"/>
  </r>
  <r>
    <n v="11538"/>
    <s v="Single"/>
    <s v="Female"/>
    <n v="60000"/>
    <x v="0"/>
    <n v="4"/>
    <s v="Graduate Degree"/>
    <s v="Skilled Manual"/>
    <s v="No"/>
    <n v="0"/>
    <s v="0-1 Miles"/>
    <s v="North America"/>
    <n v="47"/>
    <s v="Middle-Aged"/>
    <x v="1"/>
    <n v="1"/>
  </r>
  <r>
    <n v="16245"/>
    <s v="Single"/>
    <s v="Female"/>
    <n v="80000"/>
    <x v="1"/>
    <n v="4"/>
    <s v="Graduate Degree"/>
    <s v="Skilled Manual"/>
    <s v="Yes"/>
    <n v="0"/>
    <s v="1-2 Miles"/>
    <s v="North America"/>
    <n v="47"/>
    <s v="Middle-Aged"/>
    <x v="0"/>
    <n v="0"/>
  </r>
  <r>
    <n v="17858"/>
    <s v="Married"/>
    <s v="Male"/>
    <n v="40000"/>
    <x v="0"/>
    <n v="4"/>
    <s v="High School"/>
    <s v="Skilled Manual"/>
    <s v="Yes"/>
    <n v="2"/>
    <s v="2-5 Miles"/>
    <s v="North America"/>
    <n v="44"/>
    <s v="Middle-Aged"/>
    <x v="1"/>
    <n v="1"/>
  </r>
  <r>
    <n v="25347"/>
    <s v="Single"/>
    <s v="Female"/>
    <n v="20000"/>
    <x v="0"/>
    <n v="3"/>
    <s v="Partial High School"/>
    <s v="Clerical"/>
    <s v="No"/>
    <n v="2"/>
    <s v="0-1 Miles"/>
    <s v="North America"/>
    <n v="49"/>
    <s v="Middle-Aged"/>
    <x v="0"/>
    <n v="0"/>
  </r>
  <r>
    <n v="15814"/>
    <s v="Single"/>
    <s v="Female"/>
    <n v="40000"/>
    <x v="0"/>
    <n v="0"/>
    <s v="High School"/>
    <s v="Skilled Manual"/>
    <s v="Yes"/>
    <n v="1"/>
    <s v="5-10 Miles"/>
    <s v="North America"/>
    <n v="30"/>
    <s v="Adults"/>
    <x v="0"/>
    <n v="0"/>
  </r>
  <r>
    <n v="11259"/>
    <s v="Married"/>
    <s v="Female"/>
    <n v="100000"/>
    <x v="1"/>
    <n v="4"/>
    <s v="Partial College"/>
    <s v="Professional"/>
    <s v="Yes"/>
    <n v="4"/>
    <s v="2-5 Miles"/>
    <s v="North America"/>
    <n v="41"/>
    <s v="Middle-Aged"/>
    <x v="1"/>
    <n v="1"/>
  </r>
  <r>
    <n v="11200"/>
    <s v="Married"/>
    <s v="Male"/>
    <n v="70000"/>
    <x v="1"/>
    <n v="4"/>
    <s v="Bachelors"/>
    <s v="Management"/>
    <s v="Yes"/>
    <n v="1"/>
    <s v="1-2 Miles"/>
    <s v="North America"/>
    <n v="58"/>
    <s v="Middle-Aged"/>
    <x v="0"/>
    <n v="0"/>
  </r>
  <r>
    <n v="25101"/>
    <s v="Married"/>
    <s v="Male"/>
    <n v="60000"/>
    <x v="0"/>
    <n v="5"/>
    <s v="Bachelors"/>
    <s v="Professional"/>
    <s v="Yes"/>
    <n v="1"/>
    <s v="2-5 Miles"/>
    <s v="North America"/>
    <n v="47"/>
    <s v="Middle-Aged"/>
    <x v="0"/>
    <n v="0"/>
  </r>
  <r>
    <n v="21801"/>
    <s v="Married"/>
    <s v="Female"/>
    <n v="70000"/>
    <x v="1"/>
    <n v="4"/>
    <s v="Partial College"/>
    <s v="Professional"/>
    <s v="Yes"/>
    <n v="1"/>
    <s v="1-2 Miles"/>
    <s v="North America"/>
    <n v="55"/>
    <s v="Middle-Aged"/>
    <x v="0"/>
    <n v="0"/>
  </r>
  <r>
    <n v="25943"/>
    <s v="Single"/>
    <s v="Female"/>
    <n v="70000"/>
    <x v="1"/>
    <n v="0"/>
    <s v="Partial College"/>
    <s v="Skilled Manual"/>
    <s v="No"/>
    <n v="2"/>
    <s v="0-1 Miles"/>
    <s v="North America"/>
    <n v="27"/>
    <s v="Young Adults"/>
    <x v="1"/>
    <n v="1"/>
  </r>
  <r>
    <n v="22127"/>
    <s v="Married"/>
    <s v="Male"/>
    <n v="60000"/>
    <x v="0"/>
    <n v="3"/>
    <s v="Graduate Degree"/>
    <s v="Management"/>
    <s v="Yes"/>
    <n v="2"/>
    <s v="1-2 Miles"/>
    <s v="North America"/>
    <n v="67"/>
    <s v="Seniors"/>
    <x v="0"/>
    <n v="0"/>
  </r>
  <r>
    <n v="20414"/>
    <s v="Married"/>
    <s v="Female"/>
    <n v="60000"/>
    <x v="0"/>
    <n v="0"/>
    <s v="Partial College"/>
    <s v="Skilled Manual"/>
    <s v="Yes"/>
    <n v="2"/>
    <s v="5-10 Miles"/>
    <s v="North America"/>
    <n v="29"/>
    <s v="Young Adults"/>
    <x v="0"/>
    <n v="0"/>
  </r>
  <r>
    <n v="23672"/>
    <s v="Married"/>
    <s v="Female"/>
    <n v="60000"/>
    <x v="0"/>
    <n v="3"/>
    <s v="Graduate Degree"/>
    <s v="Management"/>
    <s v="Yes"/>
    <n v="2"/>
    <s v="1-2 Miles"/>
    <s v="North America"/>
    <n v="67"/>
    <s v="Seniors"/>
    <x v="0"/>
    <n v="0"/>
  </r>
  <r>
    <n v="29255"/>
    <s v="Single"/>
    <s v="Male"/>
    <n v="80000"/>
    <x v="1"/>
    <n v="3"/>
    <s v="Partial College"/>
    <s v="Professional"/>
    <s v="No"/>
    <n v="1"/>
    <s v="1-2 Miles"/>
    <s v="North America"/>
    <n v="51"/>
    <s v="Middle-Aged"/>
    <x v="1"/>
    <n v="1"/>
  </r>
  <r>
    <n v="28815"/>
    <s v="Married"/>
    <s v="Female"/>
    <n v="50000"/>
    <x v="0"/>
    <n v="1"/>
    <s v="Graduate Degree"/>
    <s v="Skilled Manual"/>
    <s v="Yes"/>
    <n v="0"/>
    <s v="0-1 Miles"/>
    <s v="North America"/>
    <n v="35"/>
    <s v="Adults"/>
    <x v="0"/>
    <n v="0"/>
  </r>
  <r>
    <n v="27753"/>
    <s v="Married"/>
    <s v="Male"/>
    <n v="40000"/>
    <x v="0"/>
    <n v="0"/>
    <s v="High School"/>
    <s v="Skilled Manual"/>
    <s v="No"/>
    <n v="2"/>
    <s v="1-2 Miles"/>
    <s v="North America"/>
    <n v="30"/>
    <s v="Adults"/>
    <x v="0"/>
    <n v="0"/>
  </r>
  <r>
    <n v="27643"/>
    <s v="Single"/>
    <s v="Male"/>
    <n v="70000"/>
    <x v="1"/>
    <n v="5"/>
    <s v="Partial College"/>
    <s v="Professional"/>
    <s v="Yes"/>
    <n v="3"/>
    <s v="2-5 Miles"/>
    <s v="North America"/>
    <n v="44"/>
    <s v="Middle-Aged"/>
    <x v="0"/>
    <n v="0"/>
  </r>
  <r>
    <n v="13754"/>
    <s v="Single"/>
    <s v="Female"/>
    <n v="80000"/>
    <x v="1"/>
    <n v="4"/>
    <s v="Graduate Degree"/>
    <s v="Skilled Manual"/>
    <s v="Yes"/>
    <n v="0"/>
    <s v="1-2 Miles"/>
    <s v="North America"/>
    <n v="48"/>
    <s v="Middle-Aged"/>
    <x v="0"/>
    <n v="0"/>
  </r>
  <r>
    <n v="22088"/>
    <s v="Married"/>
    <s v="Female"/>
    <n v="130000"/>
    <x v="2"/>
    <n v="1"/>
    <s v="Bachelors"/>
    <s v="Management"/>
    <s v="Yes"/>
    <n v="2"/>
    <s v="0-1 Miles"/>
    <s v="North America"/>
    <n v="45"/>
    <s v="Middle-Aged"/>
    <x v="1"/>
    <n v="1"/>
  </r>
  <r>
    <n v="27388"/>
    <s v="Married"/>
    <s v="Male"/>
    <n v="60000"/>
    <x v="0"/>
    <n v="3"/>
    <s v="Bachelors"/>
    <s v="Management"/>
    <s v="No"/>
    <n v="2"/>
    <s v="1-2 Miles"/>
    <s v="North America"/>
    <n v="66"/>
    <s v="Seniors"/>
    <x v="0"/>
    <n v="0"/>
  </r>
  <r>
    <n v="24745"/>
    <s v="Single"/>
    <s v="Female"/>
    <n v="30000"/>
    <x v="0"/>
    <n v="2"/>
    <s v="High School"/>
    <s v="Skilled Manual"/>
    <s v="No"/>
    <n v="2"/>
    <s v="0-1 Miles"/>
    <s v="North America"/>
    <n v="49"/>
    <s v="Middle-Aged"/>
    <x v="0"/>
    <n v="0"/>
  </r>
  <r>
    <n v="29237"/>
    <s v="Single"/>
    <s v="Female"/>
    <n v="120000"/>
    <x v="1"/>
    <n v="4"/>
    <s v="Partial College"/>
    <s v="Professional"/>
    <s v="Yes"/>
    <n v="3"/>
    <s v="5-10 Miles"/>
    <s v="North America"/>
    <n v="43"/>
    <s v="Middle-Aged"/>
    <x v="1"/>
    <n v="1"/>
  </r>
  <r>
    <n v="15272"/>
    <s v="Single"/>
    <s v="Male"/>
    <n v="40000"/>
    <x v="0"/>
    <n v="0"/>
    <s v="High School"/>
    <s v="Skilled Manual"/>
    <s v="No"/>
    <n v="2"/>
    <s v="1-2 Miles"/>
    <s v="North America"/>
    <n v="30"/>
    <s v="Adults"/>
    <x v="0"/>
    <n v="0"/>
  </r>
  <r>
    <n v="18949"/>
    <s v="Single"/>
    <s v="Male"/>
    <n v="70000"/>
    <x v="1"/>
    <n v="0"/>
    <s v="Graduate Degree"/>
    <s v="Management"/>
    <s v="Yes"/>
    <n v="2"/>
    <s v="5-10 Miles"/>
    <s v="North America"/>
    <n v="74"/>
    <s v="Seniors"/>
    <x v="1"/>
    <n v="1"/>
  </r>
  <r>
    <n v="14507"/>
    <s v="Married"/>
    <s v="Male"/>
    <n v="100000"/>
    <x v="1"/>
    <n v="2"/>
    <s v="Graduate Degree"/>
    <s v="Management"/>
    <s v="Yes"/>
    <n v="3"/>
    <s v="1-2 Miles"/>
    <s v="North America"/>
    <n v="65"/>
    <s v="Seniors"/>
    <x v="0"/>
    <n v="0"/>
  </r>
  <r>
    <n v="25886"/>
    <s v="Married"/>
    <s v="Female"/>
    <n v="60000"/>
    <x v="0"/>
    <n v="2"/>
    <s v="Partial College"/>
    <s v="Professional"/>
    <s v="Yes"/>
    <n v="2"/>
    <s v="2-5 Miles"/>
    <s v="North America"/>
    <n v="56"/>
    <s v="Middle-Aged"/>
    <x v="1"/>
    <n v="1"/>
  </r>
  <r>
    <n v="21441"/>
    <s v="Married"/>
    <s v="Male"/>
    <n v="50000"/>
    <x v="0"/>
    <n v="4"/>
    <s v="Bachelors"/>
    <s v="Management"/>
    <s v="Yes"/>
    <n v="2"/>
    <s v="More than 10 Miles"/>
    <s v="North America"/>
    <n v="64"/>
    <s v="Seniors"/>
    <x v="0"/>
    <n v="0"/>
  </r>
  <r>
    <n v="21741"/>
    <s v="Married"/>
    <s v="Female"/>
    <n v="70000"/>
    <x v="1"/>
    <n v="3"/>
    <s v="Partial College"/>
    <s v="Professional"/>
    <s v="Yes"/>
    <n v="2"/>
    <s v="5-10 Miles"/>
    <s v="North America"/>
    <n v="50"/>
    <s v="Middle-Aged"/>
    <x v="1"/>
    <n v="1"/>
  </r>
  <r>
    <n v="14572"/>
    <s v="Married"/>
    <s v="Female"/>
    <n v="70000"/>
    <x v="1"/>
    <n v="3"/>
    <s v="Graduate Degree"/>
    <s v="Professional"/>
    <s v="Yes"/>
    <n v="0"/>
    <s v="2-5 Miles"/>
    <s v="North America"/>
    <n v="35"/>
    <s v="Adults"/>
    <x v="1"/>
    <n v="1"/>
  </r>
  <r>
    <n v="23368"/>
    <s v="Married"/>
    <s v="Female"/>
    <n v="60000"/>
    <x v="0"/>
    <n v="5"/>
    <s v="Bachelors"/>
    <s v="Skilled Manual"/>
    <s v="Yes"/>
    <n v="3"/>
    <s v="More than 10 Miles"/>
    <s v="North America"/>
    <n v="41"/>
    <s v="Middle-Aged"/>
    <x v="0"/>
    <n v="0"/>
  </r>
  <r>
    <n v="16217"/>
    <s v="Single"/>
    <s v="Female"/>
    <n v="60000"/>
    <x v="0"/>
    <n v="0"/>
    <s v="Graduate Degree"/>
    <s v="Skilled Manual"/>
    <s v="Yes"/>
    <n v="0"/>
    <s v="0-1 Miles"/>
    <s v="North America"/>
    <n v="39"/>
    <s v="Adults"/>
    <x v="0"/>
    <n v="0"/>
  </r>
  <r>
    <n v="16247"/>
    <s v="Single"/>
    <s v="Female"/>
    <n v="60000"/>
    <x v="0"/>
    <n v="4"/>
    <s v="Graduate Degree"/>
    <s v="Skilled Manual"/>
    <s v="No"/>
    <n v="0"/>
    <s v="1-2 Miles"/>
    <s v="North America"/>
    <n v="47"/>
    <s v="Middle-Aged"/>
    <x v="0"/>
    <n v="0"/>
  </r>
  <r>
    <n v="22010"/>
    <s v="Single"/>
    <s v="Male"/>
    <n v="40000"/>
    <x v="0"/>
    <n v="0"/>
    <s v="High School"/>
    <s v="Skilled Manual"/>
    <s v="Yes"/>
    <n v="2"/>
    <s v="5-10 Miles"/>
    <s v="North America"/>
    <n v="31"/>
    <s v="Adults"/>
    <x v="0"/>
    <n v="0"/>
  </r>
  <r>
    <n v="25872"/>
    <s v="Single"/>
    <s v="Female"/>
    <n v="70000"/>
    <x v="1"/>
    <n v="2"/>
    <s v="Bachelors"/>
    <s v="Management"/>
    <s v="No"/>
    <n v="1"/>
    <s v="2-5 Miles"/>
    <s v="North America"/>
    <n v="58"/>
    <s v="Middle-Aged"/>
    <x v="1"/>
    <n v="1"/>
  </r>
  <r>
    <n v="19164"/>
    <s v="Single"/>
    <s v="Female"/>
    <n v="70000"/>
    <x v="1"/>
    <n v="0"/>
    <s v="Bachelors"/>
    <s v="Professional"/>
    <s v="No"/>
    <n v="1"/>
    <s v="2-5 Miles"/>
    <s v="North America"/>
    <n v="38"/>
    <s v="Adults"/>
    <x v="1"/>
    <n v="1"/>
  </r>
  <r>
    <n v="18435"/>
    <s v="Single"/>
    <s v="Female"/>
    <n v="70000"/>
    <x v="1"/>
    <n v="5"/>
    <s v="Graduate Degree"/>
    <s v="Management"/>
    <s v="Yes"/>
    <n v="2"/>
    <s v="More than 10 Miles"/>
    <s v="North America"/>
    <n v="67"/>
    <s v="Seniors"/>
    <x v="1"/>
    <n v="1"/>
  </r>
  <r>
    <n v="14284"/>
    <s v="Single"/>
    <s v="Male"/>
    <n v="60000"/>
    <x v="0"/>
    <n v="0"/>
    <s v="Partial College"/>
    <s v="Professional"/>
    <s v="No"/>
    <n v="2"/>
    <s v="1-2 Miles"/>
    <s v="North America"/>
    <n v="32"/>
    <s v="Adults"/>
    <x v="1"/>
    <n v="1"/>
  </r>
  <r>
    <n v="11287"/>
    <s v="Married"/>
    <s v="Male"/>
    <n v="70000"/>
    <x v="1"/>
    <n v="5"/>
    <s v="Partial College"/>
    <s v="Professional"/>
    <s v="No"/>
    <n v="3"/>
    <s v="5-10 Miles"/>
    <s v="North America"/>
    <n v="45"/>
    <s v="Middle-Aged"/>
    <x v="0"/>
    <n v="0"/>
  </r>
  <r>
    <n v="13066"/>
    <s v="Single"/>
    <s v="Male"/>
    <n v="30000"/>
    <x v="0"/>
    <n v="0"/>
    <s v="High School"/>
    <s v="Skilled Manual"/>
    <s v="No"/>
    <n v="2"/>
    <s v="1-2 Miles"/>
    <s v="North America"/>
    <n v="31"/>
    <s v="Adults"/>
    <x v="1"/>
    <n v="1"/>
  </r>
  <r>
    <n v="29106"/>
    <s v="Single"/>
    <s v="Male"/>
    <n v="40000"/>
    <x v="0"/>
    <n v="0"/>
    <s v="High School"/>
    <s v="Skilled Manual"/>
    <s v="No"/>
    <n v="2"/>
    <s v="1-2 Miles"/>
    <s v="North America"/>
    <n v="31"/>
    <s v="Adults"/>
    <x v="1"/>
    <n v="1"/>
  </r>
  <r>
    <n v="26236"/>
    <s v="Married"/>
    <s v="Female"/>
    <n v="40000"/>
    <x v="0"/>
    <n v="3"/>
    <s v="Partial College"/>
    <s v="Clerical"/>
    <s v="Yes"/>
    <n v="1"/>
    <s v="0-1 Miles"/>
    <s v="North America"/>
    <n v="31"/>
    <s v="Adults"/>
    <x v="0"/>
    <n v="0"/>
  </r>
  <r>
    <n v="17531"/>
    <s v="Married"/>
    <s v="Male"/>
    <n v="60000"/>
    <x v="0"/>
    <n v="2"/>
    <s v="High School"/>
    <s v="Professional"/>
    <s v="No"/>
    <n v="2"/>
    <s v="5-10 Miles"/>
    <s v="North America"/>
    <n v="50"/>
    <s v="Middle-Aged"/>
    <x v="0"/>
    <n v="0"/>
  </r>
  <r>
    <n v="12964"/>
    <s v="Married"/>
    <s v="Male"/>
    <n v="70000"/>
    <x v="1"/>
    <n v="1"/>
    <s v="Partial College"/>
    <s v="Skilled Manual"/>
    <s v="Yes"/>
    <n v="1"/>
    <s v="0-1 Miles"/>
    <s v="North America"/>
    <n v="44"/>
    <s v="Middle-Aged"/>
    <x v="0"/>
    <n v="0"/>
  </r>
  <r>
    <n v="19133"/>
    <s v="Single"/>
    <s v="Male"/>
    <n v="50000"/>
    <x v="0"/>
    <n v="2"/>
    <s v="Bachelors"/>
    <s v="Skilled Manual"/>
    <s v="Yes"/>
    <n v="1"/>
    <s v="2-5 Miles"/>
    <s v="North America"/>
    <n v="38"/>
    <s v="Adults"/>
    <x v="1"/>
    <n v="1"/>
  </r>
  <r>
    <n v="24643"/>
    <s v="Single"/>
    <s v="Female"/>
    <n v="60000"/>
    <x v="0"/>
    <n v="4"/>
    <s v="Bachelors"/>
    <s v="Management"/>
    <s v="Yes"/>
    <n v="2"/>
    <s v="More than 10 Miles"/>
    <s v="North America"/>
    <n v="63"/>
    <s v="Seniors"/>
    <x v="0"/>
    <n v="0"/>
  </r>
  <r>
    <n v="21599"/>
    <s v="Married"/>
    <s v="Female"/>
    <n v="60000"/>
    <x v="0"/>
    <n v="1"/>
    <s v="Graduate Degree"/>
    <s v="Professional"/>
    <s v="Yes"/>
    <n v="0"/>
    <s v="2-5 Miles"/>
    <s v="North America"/>
    <n v="36"/>
    <s v="Adults"/>
    <x v="1"/>
    <n v="1"/>
  </r>
  <r>
    <n v="22976"/>
    <s v="Single"/>
    <s v="Male"/>
    <n v="40000"/>
    <x v="0"/>
    <n v="0"/>
    <s v="High School"/>
    <s v="Skilled Manual"/>
    <s v="No"/>
    <n v="2"/>
    <s v="0-1 Miles"/>
    <s v="North America"/>
    <n v="28"/>
    <s v="Young Adults"/>
    <x v="1"/>
    <n v="1"/>
  </r>
  <r>
    <n v="27637"/>
    <s v="Single"/>
    <s v="Female"/>
    <n v="100000"/>
    <x v="1"/>
    <n v="1"/>
    <s v="Partial College"/>
    <s v="Professional"/>
    <s v="No"/>
    <n v="3"/>
    <s v="1-2 Miles"/>
    <s v="North America"/>
    <n v="44"/>
    <s v="Middle-Aged"/>
    <x v="0"/>
    <n v="0"/>
  </r>
  <r>
    <n v="11890"/>
    <s v="Married"/>
    <s v="Female"/>
    <n v="70000"/>
    <x v="1"/>
    <n v="5"/>
    <s v="Graduate Degree"/>
    <s v="Professional"/>
    <s v="Yes"/>
    <n v="1"/>
    <s v="0-1 Miles"/>
    <s v="North America"/>
    <n v="47"/>
    <s v="Middle-Aged"/>
    <x v="0"/>
    <n v="0"/>
  </r>
  <r>
    <n v="28580"/>
    <s v="Married"/>
    <s v="Female"/>
    <n v="80000"/>
    <x v="1"/>
    <n v="0"/>
    <s v="Graduate Degree"/>
    <s v="Skilled Manual"/>
    <s v="Yes"/>
    <n v="0"/>
    <s v="1-2 Miles"/>
    <s v="North America"/>
    <n v="40"/>
    <s v="Middle-Aged"/>
    <x v="1"/>
    <n v="1"/>
  </r>
  <r>
    <n v="14443"/>
    <s v="Married"/>
    <s v="Male"/>
    <n v="130000"/>
    <x v="2"/>
    <n v="1"/>
    <s v="Graduate Degree"/>
    <s v="Management"/>
    <s v="Yes"/>
    <n v="4"/>
    <s v="0-1 Miles"/>
    <s v="North America"/>
    <n v="40"/>
    <s v="Middle-Aged"/>
    <x v="0"/>
    <n v="0"/>
  </r>
  <r>
    <n v="17864"/>
    <s v="Married"/>
    <s v="Female"/>
    <n v="60000"/>
    <x v="0"/>
    <n v="1"/>
    <s v="Partial College"/>
    <s v="Skilled Manual"/>
    <s v="Yes"/>
    <n v="1"/>
    <s v="2-5 Miles"/>
    <s v="North America"/>
    <n v="46"/>
    <s v="Middle-Aged"/>
    <x v="1"/>
    <n v="1"/>
  </r>
  <r>
    <n v="20505"/>
    <s v="Married"/>
    <s v="Female"/>
    <n v="40000"/>
    <x v="0"/>
    <n v="5"/>
    <s v="High School"/>
    <s v="Professional"/>
    <s v="No"/>
    <n v="2"/>
    <s v="More than 10 Miles"/>
    <s v="North America"/>
    <n v="61"/>
    <s v="Seniors"/>
    <x v="0"/>
    <n v="0"/>
  </r>
  <r>
    <n v="14592"/>
    <s v="Married"/>
    <s v="Female"/>
    <n v="60000"/>
    <x v="0"/>
    <n v="0"/>
    <s v="Graduate Degree"/>
    <s v="Professional"/>
    <s v="Yes"/>
    <n v="0"/>
    <s v="0-1 Miles"/>
    <s v="North America"/>
    <n v="40"/>
    <s v="Middle-Aged"/>
    <x v="0"/>
    <n v="0"/>
  </r>
  <r>
    <n v="22227"/>
    <s v="Married"/>
    <s v="Female"/>
    <n v="60000"/>
    <x v="0"/>
    <n v="2"/>
    <s v="High School"/>
    <s v="Professional"/>
    <s v="Yes"/>
    <n v="2"/>
    <s v="5-10 Miles"/>
    <s v="North America"/>
    <n v="50"/>
    <s v="Middle-Aged"/>
    <x v="0"/>
    <n v="0"/>
  </r>
  <r>
    <n v="21471"/>
    <s v="Married"/>
    <s v="Male"/>
    <n v="70000"/>
    <x v="1"/>
    <n v="2"/>
    <s v="Partial College"/>
    <s v="Professional"/>
    <s v="Yes"/>
    <n v="1"/>
    <s v="More than 10 Miles"/>
    <s v="North America"/>
    <n v="59"/>
    <s v="Middle-Aged"/>
    <x v="0"/>
    <n v="0"/>
  </r>
  <r>
    <n v="22252"/>
    <s v="Single"/>
    <s v="Female"/>
    <n v="60000"/>
    <x v="0"/>
    <n v="1"/>
    <s v="Graduate Degree"/>
    <s v="Professional"/>
    <s v="Yes"/>
    <n v="0"/>
    <s v="2-5 Miles"/>
    <s v="North America"/>
    <n v="36"/>
    <s v="Adults"/>
    <x v="1"/>
    <n v="1"/>
  </r>
  <r>
    <n v="21260"/>
    <s v="Single"/>
    <s v="Female"/>
    <n v="40000"/>
    <x v="0"/>
    <n v="0"/>
    <s v="High School"/>
    <s v="Skilled Manual"/>
    <s v="Yes"/>
    <n v="2"/>
    <s v="5-10 Miles"/>
    <s v="North America"/>
    <n v="30"/>
    <s v="Adults"/>
    <x v="0"/>
    <n v="0"/>
  </r>
  <r>
    <n v="11817"/>
    <s v="Single"/>
    <s v="Female"/>
    <n v="70000"/>
    <x v="1"/>
    <n v="4"/>
    <s v="Graduate Degree"/>
    <s v="Professional"/>
    <s v="Yes"/>
    <n v="0"/>
    <s v="2-5 Miles"/>
    <s v="North America"/>
    <n v="35"/>
    <s v="Adults"/>
    <x v="1"/>
    <n v="1"/>
  </r>
  <r>
    <n v="19223"/>
    <s v="Married"/>
    <s v="Female"/>
    <n v="30000"/>
    <x v="0"/>
    <n v="2"/>
    <s v="High School"/>
    <s v="Skilled Manual"/>
    <s v="Yes"/>
    <n v="2"/>
    <s v="1-2 Miles"/>
    <s v="North America"/>
    <n v="48"/>
    <s v="Middle-Aged"/>
    <x v="0"/>
    <n v="0"/>
  </r>
  <r>
    <n v="18517"/>
    <s v="Married"/>
    <s v="Male"/>
    <n v="100000"/>
    <x v="1"/>
    <n v="3"/>
    <s v="Bachelors"/>
    <s v="Management"/>
    <s v="Yes"/>
    <n v="4"/>
    <s v="0-1 Miles"/>
    <s v="North America"/>
    <n v="41"/>
    <s v="Middle-Aged"/>
    <x v="0"/>
    <n v="0"/>
  </r>
  <r>
    <n v="21717"/>
    <s v="Married"/>
    <s v="Male"/>
    <n v="40000"/>
    <x v="0"/>
    <n v="2"/>
    <s v="Partial College"/>
    <s v="Clerical"/>
    <s v="Yes"/>
    <n v="1"/>
    <s v="0-1 Miles"/>
    <s v="North America"/>
    <n v="47"/>
    <s v="Middle-Aged"/>
    <x v="0"/>
    <n v="0"/>
  </r>
  <r>
    <n v="13760"/>
    <s v="Married"/>
    <s v="Male"/>
    <n v="60000"/>
    <x v="0"/>
    <n v="4"/>
    <s v="Graduate Degree"/>
    <s v="Skilled Manual"/>
    <s v="No"/>
    <n v="0"/>
    <s v="0-1 Miles"/>
    <s v="North America"/>
    <n v="47"/>
    <s v="Middle-Aged"/>
    <x v="0"/>
    <n v="0"/>
  </r>
  <r>
    <n v="18145"/>
    <s v="Married"/>
    <s v="Male"/>
    <n v="80000"/>
    <x v="1"/>
    <n v="5"/>
    <s v="Bachelors"/>
    <s v="Management"/>
    <s v="No"/>
    <n v="2"/>
    <s v="2-5 Miles"/>
    <s v="Europe"/>
    <n v="62"/>
    <s v="Seniors"/>
    <x v="0"/>
    <n v="0"/>
  </r>
  <r>
    <n v="21770"/>
    <s v="Married"/>
    <s v="Male"/>
    <n v="60000"/>
    <x v="0"/>
    <n v="4"/>
    <s v="Bachelors"/>
    <s v="Management"/>
    <s v="Yes"/>
    <n v="2"/>
    <s v="More than 10 Miles"/>
    <s v="North America"/>
    <n v="60"/>
    <s v="Seniors"/>
    <x v="0"/>
    <n v="0"/>
  </r>
  <r>
    <n v="11165"/>
    <s v="Married"/>
    <s v="Female"/>
    <n v="60000"/>
    <x v="0"/>
    <n v="0"/>
    <s v="Partial College"/>
    <s v="Skilled Manual"/>
    <s v="No"/>
    <n v="1"/>
    <s v="1-2 Miles"/>
    <s v="North America"/>
    <n v="33"/>
    <s v="Adults"/>
    <x v="0"/>
    <n v="0"/>
  </r>
  <r>
    <n v="16377"/>
    <s v="Single"/>
    <s v="Female"/>
    <n v="80000"/>
    <x v="1"/>
    <n v="4"/>
    <s v="Graduate Degree"/>
    <s v="Skilled Manual"/>
    <s v="No"/>
    <n v="0"/>
    <s v="0-1 Miles"/>
    <s v="North America"/>
    <n v="47"/>
    <s v="Middle-Aged"/>
    <x v="0"/>
    <n v="0"/>
  </r>
  <r>
    <n v="26248"/>
    <s v="Married"/>
    <s v="Male"/>
    <n v="20000"/>
    <x v="0"/>
    <n v="3"/>
    <s v="Partial High School"/>
    <s v="Clerical"/>
    <s v="No"/>
    <n v="2"/>
    <s v="0-1 Miles"/>
    <s v="North America"/>
    <n v="52"/>
    <s v="Middle-Aged"/>
    <x v="0"/>
    <n v="0"/>
  </r>
  <r>
    <n v="23461"/>
    <s v="Married"/>
    <s v="Female"/>
    <n v="90000"/>
    <x v="1"/>
    <n v="5"/>
    <s v="Partial College"/>
    <s v="Professional"/>
    <s v="Yes"/>
    <n v="3"/>
    <s v="2-5 Miles"/>
    <s v="North America"/>
    <n v="40"/>
    <s v="Middle-Aged"/>
    <x v="0"/>
    <n v="0"/>
  </r>
  <r>
    <n v="29133"/>
    <s v="Single"/>
    <s v="Female"/>
    <n v="60000"/>
    <x v="0"/>
    <n v="4"/>
    <s v="Bachelors"/>
    <s v="Skilled Manual"/>
    <s v="No"/>
    <n v="2"/>
    <s v="0-1 Miles"/>
    <s v="North America"/>
    <n v="42"/>
    <s v="Middle-Aged"/>
    <x v="0"/>
    <n v="0"/>
  </r>
  <r>
    <n v="27673"/>
    <s v="Single"/>
    <s v="Female"/>
    <n v="60000"/>
    <x v="0"/>
    <n v="3"/>
    <s v="Graduate Degree"/>
    <s v="Management"/>
    <s v="Yes"/>
    <n v="2"/>
    <s v="5-10 Miles"/>
    <s v="North America"/>
    <n v="53"/>
    <s v="Middle-Aged"/>
    <x v="1"/>
    <n v="1"/>
  </r>
  <r>
    <n v="12774"/>
    <s v="Married"/>
    <s v="Female"/>
    <n v="40000"/>
    <x v="0"/>
    <n v="1"/>
    <s v="Partial College"/>
    <s v="Clerical"/>
    <s v="Yes"/>
    <n v="1"/>
    <s v="1-2 Miles"/>
    <s v="North America"/>
    <n v="51"/>
    <s v="Middle-Aged"/>
    <x v="1"/>
    <n v="1"/>
  </r>
  <r>
    <n v="18910"/>
    <s v="Single"/>
    <s v="Male"/>
    <n v="30000"/>
    <x v="0"/>
    <n v="0"/>
    <s v="Partial College"/>
    <s v="Skilled Manual"/>
    <s v="Yes"/>
    <n v="2"/>
    <s v="5-10 Miles"/>
    <s v="North America"/>
    <n v="30"/>
    <s v="Adults"/>
    <x v="0"/>
    <n v="0"/>
  </r>
  <r>
    <n v="11699"/>
    <s v="Single"/>
    <s v="Male"/>
    <n v="60000"/>
    <x v="0"/>
    <n v="0"/>
    <s v="Bachelors"/>
    <s v="Skilled Manual"/>
    <s v="No"/>
    <n v="2"/>
    <s v="0-1 Miles"/>
    <s v="North America"/>
    <n v="30"/>
    <s v="Adults"/>
    <x v="0"/>
    <n v="0"/>
  </r>
  <r>
    <n v="16725"/>
    <s v="Married"/>
    <s v="Male"/>
    <n v="30000"/>
    <x v="0"/>
    <n v="0"/>
    <s v="High School"/>
    <s v="Skilled Manual"/>
    <s v="Yes"/>
    <n v="2"/>
    <s v="5-10 Miles"/>
    <s v="North America"/>
    <n v="26"/>
    <s v="Young Adults"/>
    <x v="0"/>
    <n v="0"/>
  </r>
  <r>
    <n v="28269"/>
    <s v="Single"/>
    <s v="Female"/>
    <n v="130000"/>
    <x v="2"/>
    <n v="1"/>
    <s v="Bachelors"/>
    <s v="Management"/>
    <s v="No"/>
    <n v="1"/>
    <s v="2-5 Miles"/>
    <s v="North America"/>
    <n v="45"/>
    <s v="Middle-Aged"/>
    <x v="0"/>
    <n v="0"/>
  </r>
  <r>
    <n v="23144"/>
    <s v="Married"/>
    <s v="Male"/>
    <n v="50000"/>
    <x v="0"/>
    <n v="1"/>
    <s v="Bachelors"/>
    <s v="Skilled Manual"/>
    <s v="Yes"/>
    <n v="0"/>
    <s v="0-1 Miles"/>
    <s v="North America"/>
    <n v="34"/>
    <s v="Adults"/>
    <x v="1"/>
    <n v="1"/>
  </r>
  <r>
    <n v="23376"/>
    <s v="Married"/>
    <s v="Male"/>
    <n v="70000"/>
    <x v="1"/>
    <n v="1"/>
    <s v="Bachelors"/>
    <s v="Professional"/>
    <s v="Yes"/>
    <n v="1"/>
    <s v="2-5 Miles"/>
    <s v="North America"/>
    <n v="44"/>
    <s v="Middle-Aged"/>
    <x v="1"/>
    <n v="1"/>
  </r>
  <r>
    <n v="25970"/>
    <s v="Single"/>
    <s v="Female"/>
    <n v="60000"/>
    <x v="0"/>
    <n v="4"/>
    <s v="Bachelors"/>
    <s v="Skilled Manual"/>
    <s v="No"/>
    <n v="2"/>
    <s v="0-1 Miles"/>
    <s v="North America"/>
    <n v="41"/>
    <s v="Middle-Aged"/>
    <x v="1"/>
    <n v="1"/>
  </r>
  <r>
    <n v="28068"/>
    <s v="Single"/>
    <s v="Female"/>
    <n v="80000"/>
    <x v="1"/>
    <n v="3"/>
    <s v="Graduate Degree"/>
    <s v="Professional"/>
    <s v="No"/>
    <n v="0"/>
    <s v="0-1 Miles"/>
    <s v="North America"/>
    <n v="36"/>
    <s v="Adults"/>
    <x v="1"/>
    <n v="1"/>
  </r>
  <r>
    <n v="18390"/>
    <s v="Married"/>
    <s v="Male"/>
    <n v="80000"/>
    <x v="1"/>
    <n v="5"/>
    <s v="Partial College"/>
    <s v="Professional"/>
    <s v="Yes"/>
    <n v="2"/>
    <s v="0-1 Miles"/>
    <s v="North America"/>
    <n v="44"/>
    <s v="Middle-Aged"/>
    <x v="0"/>
    <n v="0"/>
  </r>
  <r>
    <n v="29112"/>
    <s v="Single"/>
    <s v="Male"/>
    <n v="60000"/>
    <x v="0"/>
    <n v="0"/>
    <s v="Partial College"/>
    <s v="Professional"/>
    <s v="No"/>
    <n v="2"/>
    <s v="1-2 Miles"/>
    <s v="North America"/>
    <n v="30"/>
    <s v="Adults"/>
    <x v="0"/>
    <n v="0"/>
  </r>
  <r>
    <n v="14090"/>
    <s v="Married"/>
    <s v="Female"/>
    <n v="30000"/>
    <x v="0"/>
    <n v="0"/>
    <s v="Partial High School"/>
    <s v="Clerical"/>
    <s v="No"/>
    <n v="2"/>
    <s v="0-1 Miles"/>
    <s v="North America"/>
    <n v="28"/>
    <s v="Young Adults"/>
    <x v="0"/>
    <n v="0"/>
  </r>
  <r>
    <n v="27040"/>
    <s v="Married"/>
    <s v="Male"/>
    <n v="20000"/>
    <x v="0"/>
    <n v="2"/>
    <s v="Partial High School"/>
    <s v="Clerical"/>
    <s v="Yes"/>
    <n v="2"/>
    <s v="1-2 Miles"/>
    <s v="North America"/>
    <n v="49"/>
    <s v="Middle-Aged"/>
    <x v="0"/>
    <n v="0"/>
  </r>
  <r>
    <n v="23479"/>
    <s v="Single"/>
    <s v="Male"/>
    <n v="90000"/>
    <x v="1"/>
    <n v="0"/>
    <s v="Partial College"/>
    <s v="Professional"/>
    <s v="No"/>
    <n v="2"/>
    <s v="0-1 Miles"/>
    <s v="North America"/>
    <n v="43"/>
    <s v="Middle-Aged"/>
    <x v="1"/>
    <n v="1"/>
  </r>
  <r>
    <n v="16795"/>
    <s v="Married"/>
    <s v="Female"/>
    <n v="70000"/>
    <x v="1"/>
    <n v="4"/>
    <s v="Bachelors"/>
    <s v="Management"/>
    <s v="Yes"/>
    <n v="1"/>
    <s v="1-2 Miles"/>
    <s v="North America"/>
    <n v="59"/>
    <s v="Middle-Aged"/>
    <x v="0"/>
    <n v="0"/>
  </r>
  <r>
    <n v="22014"/>
    <s v="Single"/>
    <s v="Male"/>
    <n v="30000"/>
    <x v="0"/>
    <n v="0"/>
    <s v="High School"/>
    <s v="Skilled Manual"/>
    <s v="Yes"/>
    <n v="2"/>
    <s v="5-10 Miles"/>
    <s v="North America"/>
    <n v="26"/>
    <s v="Young Adults"/>
    <x v="0"/>
    <n v="0"/>
  </r>
  <r>
    <n v="13314"/>
    <s v="Married"/>
    <s v="Male"/>
    <n v="120000"/>
    <x v="1"/>
    <n v="1"/>
    <s v="High School"/>
    <s v="Professional"/>
    <s v="Yes"/>
    <n v="4"/>
    <s v="5-10 Miles"/>
    <s v="North America"/>
    <n v="46"/>
    <s v="Middle-Aged"/>
    <x v="1"/>
    <n v="1"/>
  </r>
  <r>
    <n v="11619"/>
    <s v="Single"/>
    <s v="Female"/>
    <n v="50000"/>
    <x v="0"/>
    <n v="0"/>
    <s v="Graduate Degree"/>
    <s v="Skilled Manual"/>
    <s v="Yes"/>
    <n v="0"/>
    <s v="1-2 Miles"/>
    <s v="North America"/>
    <n v="33"/>
    <s v="Adults"/>
    <x v="0"/>
    <n v="0"/>
  </r>
  <r>
    <n v="29132"/>
    <s v="Single"/>
    <s v="Female"/>
    <n v="40000"/>
    <x v="0"/>
    <n v="0"/>
    <s v="Bachelors"/>
    <s v="Professional"/>
    <s v="Yes"/>
    <n v="1"/>
    <s v="2-5 Miles"/>
    <s v="North America"/>
    <n v="42"/>
    <s v="Middle-Aged"/>
    <x v="1"/>
    <n v="1"/>
  </r>
  <r>
    <n v="11199"/>
    <s v="Married"/>
    <s v="Female"/>
    <n v="70000"/>
    <x v="1"/>
    <n v="4"/>
    <s v="Bachelors"/>
    <s v="Management"/>
    <s v="Yes"/>
    <n v="1"/>
    <s v="More than 10 Miles"/>
    <s v="North America"/>
    <n v="59"/>
    <s v="Middle-Aged"/>
    <x v="0"/>
    <n v="0"/>
  </r>
  <r>
    <n v="20296"/>
    <s v="Single"/>
    <s v="Female"/>
    <n v="60000"/>
    <x v="0"/>
    <n v="0"/>
    <s v="Partial College"/>
    <s v="Skilled Manual"/>
    <s v="No"/>
    <n v="1"/>
    <s v="1-2 Miles"/>
    <s v="North America"/>
    <n v="33"/>
    <s v="Adults"/>
    <x v="1"/>
    <n v="1"/>
  </r>
  <r>
    <n v="17546"/>
    <s v="Married"/>
    <s v="Female"/>
    <n v="70000"/>
    <x v="1"/>
    <n v="1"/>
    <s v="Partial College"/>
    <s v="Skilled Manual"/>
    <s v="Yes"/>
    <n v="1"/>
    <s v="0-1 Miles"/>
    <s v="North America"/>
    <n v="44"/>
    <s v="Middle-Aged"/>
    <x v="1"/>
    <n v="1"/>
  </r>
  <r>
    <n v="18069"/>
    <s v="Married"/>
    <s v="Male"/>
    <n v="70000"/>
    <x v="1"/>
    <n v="5"/>
    <s v="Bachelors"/>
    <s v="Management"/>
    <s v="Yes"/>
    <n v="4"/>
    <s v="More than 10 Miles"/>
    <s v="North America"/>
    <n v="60"/>
    <s v="Seniors"/>
    <x v="0"/>
    <n v="0"/>
  </r>
  <r>
    <n v="23712"/>
    <s v="Single"/>
    <s v="Female"/>
    <n v="70000"/>
    <x v="1"/>
    <n v="2"/>
    <s v="Bachelors"/>
    <s v="Management"/>
    <s v="Yes"/>
    <n v="1"/>
    <s v="More than 10 Miles"/>
    <s v="North America"/>
    <n v="59"/>
    <s v="Middle-Aged"/>
    <x v="0"/>
    <n v="0"/>
  </r>
  <r>
    <n v="23358"/>
    <s v="Married"/>
    <s v="Male"/>
    <n v="60000"/>
    <x v="0"/>
    <n v="0"/>
    <s v="High School"/>
    <s v="Professional"/>
    <s v="Yes"/>
    <n v="2"/>
    <s v="5-10 Miles"/>
    <s v="North America"/>
    <n v="32"/>
    <s v="Adults"/>
    <x v="1"/>
    <n v="1"/>
  </r>
  <r>
    <n v="20518"/>
    <s v="Married"/>
    <s v="Female"/>
    <n v="70000"/>
    <x v="1"/>
    <n v="2"/>
    <s v="Partial College"/>
    <s v="Professional"/>
    <s v="Yes"/>
    <n v="1"/>
    <s v="More than 10 Miles"/>
    <s v="North America"/>
    <n v="58"/>
    <s v="Middle-Aged"/>
    <x v="0"/>
    <n v="0"/>
  </r>
  <r>
    <n v="28026"/>
    <s v="Married"/>
    <s v="Female"/>
    <n v="40000"/>
    <x v="0"/>
    <n v="2"/>
    <s v="High School"/>
    <s v="Professional"/>
    <s v="No"/>
    <n v="2"/>
    <s v="2-5 Miles"/>
    <s v="North America"/>
    <n v="59"/>
    <s v="Middle-Aged"/>
    <x v="0"/>
    <n v="0"/>
  </r>
  <r>
    <n v="11669"/>
    <s v="Single"/>
    <s v="Female"/>
    <n v="70000"/>
    <x v="1"/>
    <n v="2"/>
    <s v="Bachelors"/>
    <s v="Skilled Manual"/>
    <s v="Yes"/>
    <n v="1"/>
    <s v="2-5 Miles"/>
    <s v="North America"/>
    <n v="38"/>
    <s v="Adults"/>
    <x v="0"/>
    <n v="0"/>
  </r>
  <r>
    <n v="16020"/>
    <s v="Married"/>
    <s v="Male"/>
    <n v="40000"/>
    <x v="0"/>
    <n v="0"/>
    <s v="High School"/>
    <s v="Skilled Manual"/>
    <s v="Yes"/>
    <n v="2"/>
    <s v="5-10 Miles"/>
    <s v="North America"/>
    <n v="28"/>
    <s v="Young Adults"/>
    <x v="1"/>
    <n v="1"/>
  </r>
  <r>
    <n v="27090"/>
    <s v="Married"/>
    <s v="Female"/>
    <n v="60000"/>
    <x v="0"/>
    <n v="1"/>
    <s v="Graduate Degree"/>
    <s v="Professional"/>
    <s v="Yes"/>
    <n v="0"/>
    <s v="2-5 Miles"/>
    <s v="North America"/>
    <n v="37"/>
    <s v="Adults"/>
    <x v="1"/>
    <n v="1"/>
  </r>
  <r>
    <n v="27198"/>
    <s v="Single"/>
    <s v="Female"/>
    <n v="80000"/>
    <x v="1"/>
    <n v="0"/>
    <s v="Graduate Degree"/>
    <s v="Skilled Manual"/>
    <s v="No"/>
    <n v="0"/>
    <s v="0-1 Miles"/>
    <s v="North America"/>
    <n v="40"/>
    <s v="Middle-Aged"/>
    <x v="0"/>
    <n v="0"/>
  </r>
  <r>
    <n v="19661"/>
    <s v="Single"/>
    <s v="Male"/>
    <n v="90000"/>
    <x v="1"/>
    <n v="4"/>
    <s v="Bachelors"/>
    <s v="Management"/>
    <s v="Yes"/>
    <n v="1"/>
    <s v="1-2 Miles"/>
    <s v="North America"/>
    <n v="38"/>
    <s v="Adults"/>
    <x v="1"/>
    <n v="1"/>
  </r>
  <r>
    <n v="26327"/>
    <s v="Married"/>
    <s v="Male"/>
    <n v="70000"/>
    <x v="1"/>
    <n v="4"/>
    <s v="Graduate Degree"/>
    <s v="Professional"/>
    <s v="Yes"/>
    <n v="0"/>
    <s v="2-5 Miles"/>
    <s v="North America"/>
    <n v="36"/>
    <s v="Adults"/>
    <x v="1"/>
    <n v="1"/>
  </r>
  <r>
    <n v="26341"/>
    <s v="Married"/>
    <s v="Female"/>
    <n v="70000"/>
    <x v="1"/>
    <n v="5"/>
    <s v="Graduate Degree"/>
    <s v="Professional"/>
    <s v="Yes"/>
    <n v="2"/>
    <s v="0-1 Miles"/>
    <s v="North America"/>
    <n v="37"/>
    <s v="Adults"/>
    <x v="0"/>
    <n v="0"/>
  </r>
  <r>
    <n v="24958"/>
    <s v="Single"/>
    <s v="Female"/>
    <n v="40000"/>
    <x v="0"/>
    <n v="5"/>
    <s v="High School"/>
    <s v="Professional"/>
    <s v="No"/>
    <n v="3"/>
    <s v="2-5 Miles"/>
    <s v="North America"/>
    <n v="60"/>
    <s v="Seniors"/>
    <x v="1"/>
    <n v="1"/>
  </r>
  <r>
    <n v="13287"/>
    <s v="Single"/>
    <s v="Male"/>
    <n v="110000"/>
    <x v="1"/>
    <n v="4"/>
    <s v="Bachelors"/>
    <s v="Management"/>
    <s v="Yes"/>
    <n v="4"/>
    <s v="5-10 Miles"/>
    <s v="North America"/>
    <n v="42"/>
    <s v="Middle-Aged"/>
    <x v="1"/>
    <n v="1"/>
  </r>
  <r>
    <n v="14493"/>
    <s v="Single"/>
    <s v="Female"/>
    <n v="70000"/>
    <x v="1"/>
    <n v="3"/>
    <s v="Graduate Degree"/>
    <s v="Management"/>
    <s v="No"/>
    <n v="2"/>
    <s v="1-2 Miles"/>
    <s v="North America"/>
    <n v="53"/>
    <s v="Middle-Aged"/>
    <x v="0"/>
    <n v="0"/>
  </r>
  <r>
    <n v="26678"/>
    <s v="Single"/>
    <s v="Female"/>
    <n v="80000"/>
    <x v="1"/>
    <n v="2"/>
    <s v="Partial High School"/>
    <s v="Skilled Manual"/>
    <s v="Yes"/>
    <n v="2"/>
    <s v="5-10 Miles"/>
    <s v="North America"/>
    <n v="49"/>
    <s v="Middle-Aged"/>
    <x v="0"/>
    <n v="0"/>
  </r>
  <r>
    <n v="23275"/>
    <s v="Married"/>
    <s v="Male"/>
    <n v="30000"/>
    <x v="0"/>
    <n v="2"/>
    <s v="High School"/>
    <s v="Skilled Manual"/>
    <s v="Yes"/>
    <n v="2"/>
    <s v="1-2 Miles"/>
    <s v="North America"/>
    <n v="49"/>
    <s v="Middle-Aged"/>
    <x v="0"/>
    <n v="0"/>
  </r>
  <r>
    <n v="11270"/>
    <s v="Married"/>
    <s v="Male"/>
    <n v="130000"/>
    <x v="2"/>
    <n v="2"/>
    <s v="Graduate Degree"/>
    <s v="Management"/>
    <s v="Yes"/>
    <n v="3"/>
    <s v="0-1 Miles"/>
    <s v="North America"/>
    <n v="42"/>
    <s v="Middle-Aged"/>
    <x v="1"/>
    <n v="1"/>
  </r>
  <r>
    <n v="20084"/>
    <s v="Married"/>
    <s v="Male"/>
    <n v="20000"/>
    <x v="0"/>
    <n v="2"/>
    <s v="High School"/>
    <s v="Manual"/>
    <s v="No"/>
    <n v="2"/>
    <s v="0-1 Miles"/>
    <s v="North America"/>
    <n v="53"/>
    <s v="Middle-Aged"/>
    <x v="0"/>
    <n v="0"/>
  </r>
  <r>
    <n v="16144"/>
    <s v="Married"/>
    <s v="Male"/>
    <n v="70000"/>
    <x v="1"/>
    <n v="1"/>
    <s v="Graduate Degree"/>
    <s v="Professional"/>
    <s v="Yes"/>
    <n v="1"/>
    <s v="0-1 Miles"/>
    <s v="North America"/>
    <n v="46"/>
    <s v="Middle-Aged"/>
    <x v="1"/>
    <n v="1"/>
  </r>
  <r>
    <n v="27731"/>
    <s v="Married"/>
    <s v="Male"/>
    <n v="40000"/>
    <x v="0"/>
    <n v="0"/>
    <s v="High School"/>
    <s v="Skilled Manual"/>
    <s v="Yes"/>
    <n v="2"/>
    <s v="5-10 Miles"/>
    <s v="North America"/>
    <n v="27"/>
    <s v="Young Adults"/>
    <x v="0"/>
    <n v="0"/>
  </r>
  <r>
    <n v="11886"/>
    <s v="Married"/>
    <s v="Female"/>
    <n v="60000"/>
    <x v="0"/>
    <n v="3"/>
    <s v="Bachelors"/>
    <s v="Professional"/>
    <s v="Yes"/>
    <n v="1"/>
    <s v="0-1 Miles"/>
    <s v="North America"/>
    <n v="48"/>
    <s v="Middle-Aged"/>
    <x v="1"/>
    <n v="1"/>
  </r>
  <r>
    <n v="24324"/>
    <s v="Single"/>
    <s v="Female"/>
    <n v="60000"/>
    <x v="0"/>
    <n v="4"/>
    <s v="Bachelors"/>
    <s v="Skilled Manual"/>
    <s v="Yes"/>
    <n v="2"/>
    <s v="2-5 Miles"/>
    <s v="North America"/>
    <n v="41"/>
    <s v="Middle-Aged"/>
    <x v="1"/>
    <n v="1"/>
  </r>
  <r>
    <n v="22220"/>
    <s v="Married"/>
    <s v="Male"/>
    <n v="60000"/>
    <x v="0"/>
    <n v="2"/>
    <s v="High School"/>
    <s v="Professional"/>
    <s v="No"/>
    <n v="2"/>
    <s v="1-2 Miles"/>
    <s v="North America"/>
    <n v="49"/>
    <s v="Middle-Aged"/>
    <x v="1"/>
    <n v="1"/>
  </r>
  <r>
    <n v="26625"/>
    <s v="Single"/>
    <s v="Female"/>
    <n v="60000"/>
    <x v="0"/>
    <n v="0"/>
    <s v="Graduate Degree"/>
    <s v="Professional"/>
    <s v="Yes"/>
    <n v="1"/>
    <s v="2-5 Miles"/>
    <s v="North America"/>
    <n v="38"/>
    <s v="Adults"/>
    <x v="1"/>
    <n v="1"/>
  </r>
  <r>
    <n v="23027"/>
    <s v="Single"/>
    <s v="Male"/>
    <n v="130000"/>
    <x v="2"/>
    <n v="1"/>
    <s v="Bachelors"/>
    <s v="Management"/>
    <s v="No"/>
    <n v="4"/>
    <s v="0-1 Miles"/>
    <s v="North America"/>
    <n v="44"/>
    <s v="Middle-Aged"/>
    <x v="0"/>
    <n v="0"/>
  </r>
  <r>
    <n v="16867"/>
    <s v="Single"/>
    <s v="Female"/>
    <n v="130000"/>
    <x v="2"/>
    <n v="1"/>
    <s v="Bachelors"/>
    <s v="Management"/>
    <s v="No"/>
    <n v="3"/>
    <s v="0-1 Miles"/>
    <s v="North America"/>
    <n v="45"/>
    <s v="Middle-Aged"/>
    <x v="1"/>
    <n v="1"/>
  </r>
  <r>
    <n v="14514"/>
    <s v="Single"/>
    <s v="Female"/>
    <n v="30000"/>
    <x v="0"/>
    <n v="0"/>
    <s v="Partial College"/>
    <s v="Skilled Manual"/>
    <s v="Yes"/>
    <n v="1"/>
    <s v="5-10 Miles"/>
    <s v="North America"/>
    <n v="26"/>
    <s v="Young Adults"/>
    <x v="0"/>
    <n v="0"/>
  </r>
  <r>
    <n v="19634"/>
    <s v="Married"/>
    <s v="Male"/>
    <n v="40000"/>
    <x v="0"/>
    <n v="0"/>
    <s v="High School"/>
    <s v="Skilled Manual"/>
    <s v="Yes"/>
    <n v="1"/>
    <s v="5-10 Miles"/>
    <s v="North America"/>
    <n v="31"/>
    <s v="Adults"/>
    <x v="0"/>
    <n v="0"/>
  </r>
  <r>
    <n v="18504"/>
    <s v="Married"/>
    <s v="Male"/>
    <n v="70000"/>
    <x v="1"/>
    <n v="2"/>
    <s v="Partial High School"/>
    <s v="Skilled Manual"/>
    <s v="No"/>
    <n v="2"/>
    <s v="1-2 Miles"/>
    <s v="North America"/>
    <n v="49"/>
    <s v="Middle-Aged"/>
    <x v="0"/>
    <n v="0"/>
  </r>
  <r>
    <n v="28799"/>
    <s v="Single"/>
    <s v="Female"/>
    <n v="40000"/>
    <x v="0"/>
    <n v="2"/>
    <s v="Partial College"/>
    <s v="Clerical"/>
    <s v="No"/>
    <n v="1"/>
    <s v="1-2 Miles"/>
    <s v="North America"/>
    <n v="47"/>
    <s v="Middle-Aged"/>
    <x v="1"/>
    <n v="1"/>
  </r>
  <r>
    <n v="11225"/>
    <s v="Married"/>
    <s v="Female"/>
    <n v="60000"/>
    <x v="0"/>
    <n v="2"/>
    <s v="Partial College"/>
    <s v="Professional"/>
    <s v="Yes"/>
    <n v="1"/>
    <s v="More than 10 Miles"/>
    <s v="North America"/>
    <n v="55"/>
    <s v="Middle-Aged"/>
    <x v="0"/>
    <n v="0"/>
  </r>
  <r>
    <n v="17657"/>
    <s v="Married"/>
    <s v="Male"/>
    <n v="40000"/>
    <x v="0"/>
    <n v="4"/>
    <s v="Partial College"/>
    <s v="Clerical"/>
    <s v="No"/>
    <n v="0"/>
    <s v="0-1 Miles"/>
    <s v="North America"/>
    <n v="30"/>
    <s v="Adults"/>
    <x v="0"/>
    <n v="0"/>
  </r>
  <r>
    <n v="14913"/>
    <s v="Married"/>
    <s v="Female"/>
    <n v="40000"/>
    <x v="0"/>
    <n v="1"/>
    <s v="Partial College"/>
    <s v="Clerical"/>
    <s v="Yes"/>
    <n v="1"/>
    <s v="1-2 Miles"/>
    <s v="North America"/>
    <n v="48"/>
    <s v="Middle-Aged"/>
    <x v="1"/>
    <n v="1"/>
  </r>
  <r>
    <n v="14077"/>
    <s v="Single"/>
    <s v="Male"/>
    <n v="30000"/>
    <x v="0"/>
    <n v="0"/>
    <s v="High School"/>
    <s v="Skilled Manual"/>
    <s v="Yes"/>
    <n v="2"/>
    <s v="5-10 Miles"/>
    <s v="North America"/>
    <n v="30"/>
    <s v="Adults"/>
    <x v="0"/>
    <n v="0"/>
  </r>
  <r>
    <n v="13296"/>
    <s v="Married"/>
    <s v="Male"/>
    <n v="110000"/>
    <x v="1"/>
    <n v="1"/>
    <s v="Bachelors"/>
    <s v="Management"/>
    <s v="Yes"/>
    <n v="3"/>
    <s v="5-10 Miles"/>
    <s v="North America"/>
    <n v="45"/>
    <s v="Middle-Aged"/>
    <x v="0"/>
    <n v="0"/>
  </r>
  <r>
    <n v="20535"/>
    <s v="Married"/>
    <s v="Female"/>
    <n v="70000"/>
    <x v="1"/>
    <n v="4"/>
    <s v="Partial College"/>
    <s v="Professional"/>
    <s v="Yes"/>
    <n v="1"/>
    <s v="More than 10 Miles"/>
    <s v="North America"/>
    <n v="56"/>
    <s v="Middle-Aged"/>
    <x v="0"/>
    <n v="0"/>
  </r>
  <r>
    <n v="12452"/>
    <s v="Married"/>
    <s v="Male"/>
    <n v="60000"/>
    <x v="0"/>
    <n v="4"/>
    <s v="Graduate Degree"/>
    <s v="Skilled Manual"/>
    <s v="Yes"/>
    <n v="0"/>
    <s v="1-2 Miles"/>
    <s v="North America"/>
    <n v="47"/>
    <s v="Middle-Aged"/>
    <x v="1"/>
    <n v="1"/>
  </r>
  <r>
    <n v="28043"/>
    <s v="Married"/>
    <s v="Female"/>
    <n v="60000"/>
    <x v="0"/>
    <n v="2"/>
    <s v="Bachelors"/>
    <s v="Management"/>
    <s v="Yes"/>
    <n v="0"/>
    <s v="More than 10 Miles"/>
    <s v="North America"/>
    <n v="56"/>
    <s v="Middle-Aged"/>
    <x v="0"/>
    <n v="0"/>
  </r>
  <r>
    <n v="12957"/>
    <s v="Single"/>
    <s v="Female"/>
    <n v="70000"/>
    <x v="1"/>
    <n v="1"/>
    <s v="Bachelors"/>
    <s v="Professional"/>
    <s v="No"/>
    <n v="1"/>
    <s v="0-1 Miles"/>
    <s v="North America"/>
    <n v="44"/>
    <s v="Middle-Aged"/>
    <x v="0"/>
    <n v="0"/>
  </r>
  <r>
    <n v="15412"/>
    <s v="Married"/>
    <s v="Male"/>
    <n v="130000"/>
    <x v="2"/>
    <n v="2"/>
    <s v="Graduate Degree"/>
    <s v="Management"/>
    <s v="Yes"/>
    <n v="3"/>
    <s v="2-5 Miles"/>
    <s v="North America"/>
    <n v="69"/>
    <s v="Seniors"/>
    <x v="0"/>
    <n v="0"/>
  </r>
  <r>
    <n v="20514"/>
    <s v="Married"/>
    <s v="Female"/>
    <n v="70000"/>
    <x v="1"/>
    <n v="2"/>
    <s v="Partial College"/>
    <s v="Professional"/>
    <s v="Yes"/>
    <n v="1"/>
    <s v="2-5 Miles"/>
    <s v="North America"/>
    <n v="59"/>
    <s v="Middle-Aged"/>
    <x v="0"/>
    <n v="0"/>
  </r>
  <r>
    <n v="20758"/>
    <s v="Married"/>
    <s v="Male"/>
    <n v="30000"/>
    <x v="0"/>
    <n v="2"/>
    <s v="High School"/>
    <s v="Skilled Manual"/>
    <s v="Yes"/>
    <n v="2"/>
    <s v="1-2 Miles"/>
    <s v="North America"/>
    <n v="50"/>
    <s v="Middle-Aged"/>
    <x v="0"/>
    <n v="0"/>
  </r>
  <r>
    <n v="11801"/>
    <s v="Married"/>
    <s v="Male"/>
    <n v="60000"/>
    <x v="0"/>
    <n v="1"/>
    <s v="Graduate Degree"/>
    <s v="Professional"/>
    <s v="Yes"/>
    <n v="0"/>
    <s v="2-5 Miles"/>
    <s v="North America"/>
    <n v="36"/>
    <s v="Adults"/>
    <x v="0"/>
    <n v="0"/>
  </r>
  <r>
    <n v="22211"/>
    <s v="Married"/>
    <s v="Male"/>
    <n v="60000"/>
    <x v="0"/>
    <n v="0"/>
    <s v="Partial College"/>
    <s v="Professional"/>
    <s v="Yes"/>
    <n v="2"/>
    <s v="5-10 Miles"/>
    <s v="North America"/>
    <n v="32"/>
    <s v="Adults"/>
    <x v="0"/>
    <n v="0"/>
  </r>
  <r>
    <n v="28087"/>
    <s v="Single"/>
    <s v="Female"/>
    <n v="40000"/>
    <x v="0"/>
    <n v="0"/>
    <s v="Partial College"/>
    <s v="Skilled Manual"/>
    <s v="No"/>
    <n v="1"/>
    <s v="1-2 Miles"/>
    <s v="North America"/>
    <n v="27"/>
    <s v="Young Adults"/>
    <x v="0"/>
    <n v="0"/>
  </r>
  <r>
    <n v="23668"/>
    <s v="Married"/>
    <s v="Female"/>
    <n v="40000"/>
    <x v="0"/>
    <n v="4"/>
    <s v="High School"/>
    <s v="Professional"/>
    <s v="Yes"/>
    <n v="2"/>
    <s v="5-10 Miles"/>
    <s v="North America"/>
    <n v="59"/>
    <s v="Middle-Aged"/>
    <x v="1"/>
    <n v="1"/>
  </r>
  <r>
    <n v="27441"/>
    <s v="Married"/>
    <s v="Male"/>
    <n v="60000"/>
    <x v="0"/>
    <n v="3"/>
    <s v="High School"/>
    <s v="Professional"/>
    <s v="No"/>
    <n v="2"/>
    <s v="2-5 Miles"/>
    <s v="North America"/>
    <n v="53"/>
    <s v="Middle-Aged"/>
    <x v="0"/>
    <n v="0"/>
  </r>
  <r>
    <n v="27261"/>
    <s v="Married"/>
    <s v="Male"/>
    <n v="40000"/>
    <x v="0"/>
    <n v="1"/>
    <s v="Bachelors"/>
    <s v="Skilled Manual"/>
    <s v="No"/>
    <n v="1"/>
    <s v="0-1 Miles"/>
    <s v="North America"/>
    <n v="36"/>
    <s v="Adults"/>
    <x v="1"/>
    <n v="1"/>
  </r>
  <r>
    <n v="18649"/>
    <s v="Single"/>
    <s v="Male"/>
    <n v="30000"/>
    <x v="0"/>
    <n v="1"/>
    <s v="High School"/>
    <s v="Clerical"/>
    <s v="Yes"/>
    <n v="2"/>
    <s v="1-2 Miles"/>
    <s v="North America"/>
    <n v="51"/>
    <s v="Middle-Aged"/>
    <x v="1"/>
    <n v="1"/>
  </r>
  <r>
    <n v="21714"/>
    <s v="Single"/>
    <s v="Female"/>
    <n v="80000"/>
    <x v="1"/>
    <n v="5"/>
    <s v="Graduate Degree"/>
    <s v="Skilled Manual"/>
    <s v="No"/>
    <n v="0"/>
    <s v="0-1 Miles"/>
    <s v="North America"/>
    <n v="47"/>
    <s v="Middle-Aged"/>
    <x v="0"/>
    <n v="0"/>
  </r>
  <r>
    <n v="23217"/>
    <s v="Single"/>
    <s v="Female"/>
    <n v="60000"/>
    <x v="0"/>
    <n v="3"/>
    <s v="Graduate Degree"/>
    <s v="Professional"/>
    <s v="Yes"/>
    <n v="0"/>
    <s v="2-5 Miles"/>
    <s v="North America"/>
    <n v="43"/>
    <s v="Middle-Aged"/>
    <x v="1"/>
    <n v="1"/>
  </r>
  <r>
    <n v="23797"/>
    <s v="Single"/>
    <s v="Male"/>
    <n v="20000"/>
    <x v="0"/>
    <n v="3"/>
    <s v="Partial High School"/>
    <s v="Clerical"/>
    <s v="No"/>
    <n v="2"/>
    <s v="0-1 Miles"/>
    <s v="North America"/>
    <n v="50"/>
    <s v="Middle-Aged"/>
    <x v="0"/>
    <n v="0"/>
  </r>
  <r>
    <n v="13216"/>
    <s v="Married"/>
    <s v="Female"/>
    <n v="60000"/>
    <x v="0"/>
    <n v="5"/>
    <s v="Bachelors"/>
    <s v="Management"/>
    <s v="Yes"/>
    <n v="3"/>
    <s v="More than 10 Miles"/>
    <s v="North America"/>
    <n v="59"/>
    <s v="Middle-Aged"/>
    <x v="0"/>
    <n v="0"/>
  </r>
  <r>
    <n v="20657"/>
    <s v="Single"/>
    <s v="Male"/>
    <n v="50000"/>
    <x v="0"/>
    <n v="2"/>
    <s v="Bachelors"/>
    <s v="Skilled Manual"/>
    <s v="Yes"/>
    <n v="0"/>
    <s v="2-5 Miles"/>
    <s v="North America"/>
    <n v="37"/>
    <s v="Adults"/>
    <x v="1"/>
    <n v="1"/>
  </r>
  <r>
    <n v="12882"/>
    <s v="Married"/>
    <s v="Male"/>
    <n v="50000"/>
    <x v="0"/>
    <n v="1"/>
    <s v="Graduate Degree"/>
    <s v="Skilled Manual"/>
    <s v="Yes"/>
    <n v="0"/>
    <s v="0-1 Miles"/>
    <s v="North America"/>
    <n v="33"/>
    <s v="Adults"/>
    <x v="1"/>
    <n v="1"/>
  </r>
  <r>
    <n v="25908"/>
    <s v="Married"/>
    <s v="Female"/>
    <n v="60000"/>
    <x v="0"/>
    <n v="0"/>
    <s v="Partial College"/>
    <s v="Skilled Manual"/>
    <s v="No"/>
    <n v="1"/>
    <s v="1-2 Miles"/>
    <s v="North America"/>
    <n v="27"/>
    <s v="Young Adults"/>
    <x v="0"/>
    <n v="0"/>
  </r>
  <r>
    <n v="16753"/>
    <s v="Single"/>
    <s v="Female"/>
    <n v="70000"/>
    <x v="1"/>
    <n v="0"/>
    <s v="Partial College"/>
    <s v="Skilled Manual"/>
    <s v="Yes"/>
    <n v="2"/>
    <s v="5-10 Miles"/>
    <s v="North America"/>
    <n v="34"/>
    <s v="Adults"/>
    <x v="1"/>
    <n v="1"/>
  </r>
  <r>
    <n v="14608"/>
    <s v="Married"/>
    <s v="Male"/>
    <n v="50000"/>
    <x v="0"/>
    <n v="4"/>
    <s v="Bachelors"/>
    <s v="Skilled Manual"/>
    <s v="Yes"/>
    <n v="3"/>
    <s v="More than 10 Miles"/>
    <s v="North America"/>
    <n v="42"/>
    <s v="Middle-Aged"/>
    <x v="0"/>
    <n v="0"/>
  </r>
  <r>
    <n v="24979"/>
    <s v="Married"/>
    <s v="Female"/>
    <n v="60000"/>
    <x v="0"/>
    <n v="2"/>
    <s v="Partial College"/>
    <s v="Professional"/>
    <s v="Yes"/>
    <n v="2"/>
    <s v="2-5 Miles"/>
    <s v="North America"/>
    <n v="57"/>
    <s v="Middle-Aged"/>
    <x v="1"/>
    <n v="1"/>
  </r>
  <r>
    <n v="13313"/>
    <s v="Married"/>
    <s v="Female"/>
    <n v="120000"/>
    <x v="1"/>
    <n v="1"/>
    <s v="High School"/>
    <s v="Professional"/>
    <s v="No"/>
    <n v="4"/>
    <s v="2-5 Miles"/>
    <s v="North America"/>
    <n v="45"/>
    <s v="Middle-Aged"/>
    <x v="0"/>
    <n v="0"/>
  </r>
  <r>
    <n v="18952"/>
    <s v="Married"/>
    <s v="Female"/>
    <n v="100000"/>
    <x v="1"/>
    <n v="4"/>
    <s v="Bachelors"/>
    <s v="Management"/>
    <s v="Yes"/>
    <n v="4"/>
    <s v="0-1 Miles"/>
    <s v="North America"/>
    <n v="40"/>
    <s v="Middle-Aged"/>
    <x v="0"/>
    <n v="0"/>
  </r>
  <r>
    <n v="17699"/>
    <s v="Married"/>
    <s v="Male"/>
    <n v="60000"/>
    <x v="0"/>
    <n v="1"/>
    <s v="Graduate Degree"/>
    <s v="Skilled Manual"/>
    <s v="No"/>
    <n v="0"/>
    <s v="0-1 Miles"/>
    <s v="North America"/>
    <n v="55"/>
    <s v="Middle-Aged"/>
    <x v="0"/>
    <n v="0"/>
  </r>
  <r>
    <n v="14657"/>
    <s v="Married"/>
    <s v="Male"/>
    <n v="80000"/>
    <x v="1"/>
    <n v="1"/>
    <s v="Partial College"/>
    <s v="Skilled Manual"/>
    <s v="No"/>
    <n v="1"/>
    <s v="0-1 Miles"/>
    <s v="North America"/>
    <n v="47"/>
    <s v="Middle-Aged"/>
    <x v="1"/>
    <n v="1"/>
  </r>
  <r>
    <n v="11540"/>
    <s v="Single"/>
    <s v="Male"/>
    <n v="60000"/>
    <x v="0"/>
    <n v="4"/>
    <s v="Graduate Degree"/>
    <s v="Skilled Manual"/>
    <s v="Yes"/>
    <n v="0"/>
    <s v="1-2 Miles"/>
    <s v="North America"/>
    <n v="47"/>
    <s v="Middle-Aged"/>
    <x v="1"/>
    <n v="1"/>
  </r>
  <r>
    <n v="11783"/>
    <s v="Married"/>
    <s v="Female"/>
    <n v="60000"/>
    <x v="0"/>
    <n v="1"/>
    <s v="Graduate Degree"/>
    <s v="Skilled Manual"/>
    <s v="Yes"/>
    <n v="0"/>
    <s v="0-1 Miles"/>
    <s v="North America"/>
    <n v="34"/>
    <s v="Adults"/>
    <x v="0"/>
    <n v="0"/>
  </r>
  <r>
    <n v="14602"/>
    <s v="Married"/>
    <s v="Female"/>
    <n v="80000"/>
    <x v="1"/>
    <n v="3"/>
    <s v="Graduate Degree"/>
    <s v="Professional"/>
    <s v="Yes"/>
    <n v="0"/>
    <s v="0-1 Miles"/>
    <s v="North America"/>
    <n v="36"/>
    <s v="Adults"/>
    <x v="1"/>
    <n v="1"/>
  </r>
  <r>
    <n v="29030"/>
    <s v="Married"/>
    <s v="Male"/>
    <n v="70000"/>
    <x v="1"/>
    <n v="2"/>
    <s v="Partial High School"/>
    <s v="Skilled Manual"/>
    <s v="Yes"/>
    <n v="2"/>
    <s v="More than 10 Miles"/>
    <s v="North America"/>
    <n v="54"/>
    <s v="Middle-Aged"/>
    <x v="0"/>
    <n v="0"/>
  </r>
  <r>
    <n v="26490"/>
    <s v="Single"/>
    <s v="Male"/>
    <n v="70000"/>
    <x v="1"/>
    <n v="2"/>
    <s v="Bachelors"/>
    <s v="Management"/>
    <s v="No"/>
    <n v="1"/>
    <s v="2-5 Miles"/>
    <s v="North America"/>
    <n v="59"/>
    <s v="Middle-Aged"/>
    <x v="1"/>
    <n v="1"/>
  </r>
  <r>
    <n v="13151"/>
    <s v="Single"/>
    <s v="Male"/>
    <n v="40000"/>
    <x v="0"/>
    <n v="0"/>
    <s v="High School"/>
    <s v="Skilled Manual"/>
    <s v="Yes"/>
    <n v="2"/>
    <s v="5-10 Miles"/>
    <s v="North America"/>
    <n v="27"/>
    <s v="Young Adults"/>
    <x v="0"/>
    <n v="0"/>
  </r>
  <r>
    <n v="17260"/>
    <s v="Married"/>
    <s v="Male"/>
    <n v="90000"/>
    <x v="1"/>
    <n v="5"/>
    <s v="Partial College"/>
    <s v="Professional"/>
    <s v="Yes"/>
    <n v="3"/>
    <s v="0-1 Miles"/>
    <s v="North America"/>
    <n v="41"/>
    <s v="Middle-Aged"/>
    <x v="0"/>
    <n v="0"/>
  </r>
  <r>
    <n v="15372"/>
    <s v="Married"/>
    <s v="Male"/>
    <n v="80000"/>
    <x v="1"/>
    <n v="3"/>
    <s v="Partial College"/>
    <s v="Professional"/>
    <s v="No"/>
    <n v="2"/>
    <s v="2-5 Miles"/>
    <s v="North America"/>
    <n v="50"/>
    <s v="Middle-Aged"/>
    <x v="1"/>
    <n v="1"/>
  </r>
  <r>
    <n v="18105"/>
    <s v="Married"/>
    <s v="Female"/>
    <n v="60000"/>
    <x v="0"/>
    <n v="2"/>
    <s v="Partial College"/>
    <s v="Professional"/>
    <s v="Yes"/>
    <n v="1"/>
    <s v="More than 10 Miles"/>
    <s v="North America"/>
    <n v="55"/>
    <s v="Middle-Aged"/>
    <x v="0"/>
    <n v="0"/>
  </r>
  <r>
    <n v="19660"/>
    <s v="Married"/>
    <s v="Male"/>
    <n v="80000"/>
    <x v="1"/>
    <n v="4"/>
    <s v="Bachelors"/>
    <s v="Management"/>
    <s v="Yes"/>
    <n v="0"/>
    <s v="0-1 Miles"/>
    <s v="North America"/>
    <n v="43"/>
    <s v="Middle-Aged"/>
    <x v="0"/>
    <n v="0"/>
  </r>
  <r>
    <n v="16112"/>
    <s v="Single"/>
    <s v="Male"/>
    <n v="70000"/>
    <x v="1"/>
    <n v="4"/>
    <s v="Bachelors"/>
    <s v="Professional"/>
    <s v="Yes"/>
    <n v="2"/>
    <s v="2-5 Miles"/>
    <s v="North America"/>
    <n v="43"/>
    <s v="Middle-Aged"/>
    <x v="1"/>
    <n v="1"/>
  </r>
  <r>
    <n v="20698"/>
    <s v="Married"/>
    <s v="Male"/>
    <n v="60000"/>
    <x v="0"/>
    <n v="4"/>
    <s v="Bachelors"/>
    <s v="Skilled Manual"/>
    <s v="Yes"/>
    <n v="3"/>
    <s v="5-10 Miles"/>
    <s v="North America"/>
    <n v="42"/>
    <s v="Middle-Aged"/>
    <x v="0"/>
    <n v="0"/>
  </r>
  <r>
    <n v="20076"/>
    <s v="Single"/>
    <s v="Female"/>
    <n v="10000"/>
    <x v="0"/>
    <n v="2"/>
    <s v="High School"/>
    <s v="Manual"/>
    <s v="Yes"/>
    <n v="2"/>
    <s v="1-2 Miles"/>
    <s v="North America"/>
    <n v="53"/>
    <s v="Middle-Aged"/>
    <x v="1"/>
    <n v="1"/>
  </r>
  <r>
    <n v="24496"/>
    <s v="Single"/>
    <s v="Female"/>
    <n v="40000"/>
    <x v="0"/>
    <n v="0"/>
    <s v="High School"/>
    <s v="Skilled Manual"/>
    <s v="No"/>
    <n v="2"/>
    <s v="0-1 Miles"/>
    <s v="North America"/>
    <n v="28"/>
    <s v="Young Adults"/>
    <x v="1"/>
    <n v="1"/>
  </r>
  <r>
    <n v="15468"/>
    <s v="Married"/>
    <s v="Female"/>
    <n v="50000"/>
    <x v="0"/>
    <n v="1"/>
    <s v="Bachelors"/>
    <s v="Skilled Manual"/>
    <s v="Yes"/>
    <n v="1"/>
    <s v="0-1 Miles"/>
    <s v="North America"/>
    <n v="35"/>
    <s v="Adults"/>
    <x v="0"/>
    <n v="0"/>
  </r>
  <r>
    <n v="28031"/>
    <s v="Single"/>
    <s v="Female"/>
    <n v="70000"/>
    <x v="1"/>
    <n v="2"/>
    <s v="Bachelors"/>
    <s v="Management"/>
    <s v="No"/>
    <n v="1"/>
    <s v="2-5 Miles"/>
    <s v="North America"/>
    <n v="59"/>
    <s v="Middle-Aged"/>
    <x v="1"/>
    <n v="1"/>
  </r>
  <r>
    <n v="26270"/>
    <s v="Single"/>
    <s v="Female"/>
    <n v="20000"/>
    <x v="0"/>
    <n v="2"/>
    <s v="Partial High School"/>
    <s v="Clerical"/>
    <s v="Yes"/>
    <n v="2"/>
    <s v="1-2 Miles"/>
    <s v="North America"/>
    <n v="49"/>
    <s v="Middle-Aged"/>
    <x v="0"/>
    <n v="0"/>
  </r>
  <r>
    <n v="22221"/>
    <s v="Married"/>
    <s v="Male"/>
    <n v="60000"/>
    <x v="0"/>
    <n v="2"/>
    <s v="High School"/>
    <s v="Professional"/>
    <s v="No"/>
    <n v="2"/>
    <s v="1-2 Miles"/>
    <s v="North America"/>
    <n v="48"/>
    <s v="Middle-Aged"/>
    <x v="1"/>
    <n v="1"/>
  </r>
  <r>
    <n v="28228"/>
    <s v="Single"/>
    <s v="Female"/>
    <n v="80000"/>
    <x v="1"/>
    <n v="2"/>
    <s v="Partial High School"/>
    <s v="Skilled Manual"/>
    <s v="No"/>
    <n v="2"/>
    <s v="1-2 Miles"/>
    <s v="North America"/>
    <n v="50"/>
    <s v="Middle-Aged"/>
    <x v="0"/>
    <n v="0"/>
  </r>
  <r>
    <n v="18363"/>
    <s v="Married"/>
    <s v="Male"/>
    <n v="40000"/>
    <x v="0"/>
    <n v="0"/>
    <s v="High School"/>
    <s v="Skilled Manual"/>
    <s v="Yes"/>
    <n v="2"/>
    <s v="5-10 Miles"/>
    <s v="North America"/>
    <n v="28"/>
    <s v="Young Adults"/>
    <x v="1"/>
    <n v="1"/>
  </r>
  <r>
    <n v="23256"/>
    <s v="Single"/>
    <s v="Male"/>
    <n v="30000"/>
    <x v="0"/>
    <n v="1"/>
    <s v="High School"/>
    <s v="Clerical"/>
    <s v="No"/>
    <n v="1"/>
    <s v="5-10 Miles"/>
    <s v="North America"/>
    <n v="52"/>
    <s v="Middle-Aged"/>
    <x v="0"/>
    <n v="0"/>
  </r>
  <r>
    <n v="12768"/>
    <s v="Married"/>
    <s v="Male"/>
    <n v="30000"/>
    <x v="0"/>
    <n v="1"/>
    <s v="High School"/>
    <s v="Clerical"/>
    <s v="Yes"/>
    <n v="1"/>
    <s v="2-5 Miles"/>
    <s v="North America"/>
    <n v="52"/>
    <s v="Middle-Aged"/>
    <x v="1"/>
    <n v="1"/>
  </r>
  <r>
    <n v="20361"/>
    <s v="Married"/>
    <s v="Male"/>
    <n v="50000"/>
    <x v="0"/>
    <n v="2"/>
    <s v="Graduate Degree"/>
    <s v="Management"/>
    <s v="Yes"/>
    <n v="2"/>
    <s v="5-10 Miles"/>
    <s v="North America"/>
    <n v="69"/>
    <s v="Seniors"/>
    <x v="0"/>
    <n v="0"/>
  </r>
  <r>
    <n v="21306"/>
    <s v="Single"/>
    <s v="Male"/>
    <n v="60000"/>
    <x v="0"/>
    <n v="2"/>
    <s v="High School"/>
    <s v="Professional"/>
    <s v="Yes"/>
    <n v="2"/>
    <s v="5-10 Miles"/>
    <s v="North America"/>
    <n v="51"/>
    <s v="Middle-Aged"/>
    <x v="0"/>
    <n v="0"/>
  </r>
  <r>
    <n v="13382"/>
    <s v="Married"/>
    <s v="Male"/>
    <n v="70000"/>
    <x v="1"/>
    <n v="5"/>
    <s v="Partial College"/>
    <s v="Professional"/>
    <s v="Yes"/>
    <n v="2"/>
    <s v="1-2 Miles"/>
    <s v="North America"/>
    <n v="57"/>
    <s v="Middle-Aged"/>
    <x v="1"/>
    <n v="1"/>
  </r>
  <r>
    <n v="20310"/>
    <s v="Single"/>
    <s v="Male"/>
    <n v="60000"/>
    <x v="0"/>
    <n v="0"/>
    <s v="Partial College"/>
    <s v="Skilled Manual"/>
    <s v="Yes"/>
    <n v="1"/>
    <s v="5-10 Miles"/>
    <s v="North America"/>
    <n v="27"/>
    <s v="Young Adults"/>
    <x v="1"/>
    <n v="1"/>
  </r>
  <r>
    <n v="22971"/>
    <s v="Single"/>
    <s v="Female"/>
    <n v="30000"/>
    <x v="0"/>
    <n v="0"/>
    <s v="High School"/>
    <s v="Skilled Manual"/>
    <s v="No"/>
    <n v="2"/>
    <s v="0-1 Miles"/>
    <s v="North America"/>
    <n v="25"/>
    <s v="Young Adults"/>
    <x v="1"/>
    <n v="1"/>
  </r>
  <r>
    <n v="15287"/>
    <s v="Single"/>
    <s v="Female"/>
    <n v="50000"/>
    <x v="0"/>
    <n v="1"/>
    <s v="Graduate Degree"/>
    <s v="Skilled Manual"/>
    <s v="Yes"/>
    <n v="0"/>
    <s v="1-2 Miles"/>
    <s v="North America"/>
    <n v="33"/>
    <s v="Adults"/>
    <x v="1"/>
    <n v="1"/>
  </r>
  <r>
    <n v="15532"/>
    <s v="Single"/>
    <s v="Male"/>
    <n v="60000"/>
    <x v="0"/>
    <n v="4"/>
    <s v="Bachelors"/>
    <s v="Professional"/>
    <s v="Yes"/>
    <n v="2"/>
    <s v="2-5 Miles"/>
    <s v="North America"/>
    <n v="43"/>
    <s v="Middle-Aged"/>
    <x v="1"/>
    <n v="1"/>
  </r>
  <r>
    <n v="11255"/>
    <s v="Married"/>
    <s v="Male"/>
    <n v="70000"/>
    <x v="1"/>
    <n v="4"/>
    <s v="Graduate Degree"/>
    <s v="Management"/>
    <s v="Yes"/>
    <n v="2"/>
    <s v="5-10 Miles"/>
    <s v="North America"/>
    <n v="73"/>
    <s v="Seniors"/>
    <x v="0"/>
    <n v="0"/>
  </r>
  <r>
    <n v="28090"/>
    <s v="Married"/>
    <s v="Male"/>
    <n v="40000"/>
    <x v="0"/>
    <n v="0"/>
    <s v="Partial College"/>
    <s v="Skilled Manual"/>
    <s v="Yes"/>
    <n v="1"/>
    <s v="5-10 Miles"/>
    <s v="North America"/>
    <n v="27"/>
    <s v="Young Adults"/>
    <x v="0"/>
    <n v="0"/>
  </r>
  <r>
    <n v="15255"/>
    <s v="Married"/>
    <s v="Male"/>
    <n v="40000"/>
    <x v="0"/>
    <n v="0"/>
    <s v="High School"/>
    <s v="Skilled Manual"/>
    <s v="Yes"/>
    <n v="2"/>
    <s v="5-10 Miles"/>
    <s v="North America"/>
    <n v="28"/>
    <s v="Young Adults"/>
    <x v="1"/>
    <n v="1"/>
  </r>
  <r>
    <n v="13154"/>
    <s v="Married"/>
    <s v="Male"/>
    <n v="40000"/>
    <x v="0"/>
    <n v="0"/>
    <s v="High School"/>
    <s v="Skilled Manual"/>
    <s v="No"/>
    <n v="2"/>
    <s v="0-1 Miles"/>
    <s v="North America"/>
    <n v="27"/>
    <s v="Young Adults"/>
    <x v="1"/>
    <n v="1"/>
  </r>
  <r>
    <n v="26778"/>
    <s v="Single"/>
    <s v="Female"/>
    <n v="40000"/>
    <x v="0"/>
    <n v="0"/>
    <s v="High School"/>
    <s v="Skilled Manual"/>
    <s v="Yes"/>
    <n v="2"/>
    <s v="5-10 Miles"/>
    <s v="North America"/>
    <n v="31"/>
    <s v="Adults"/>
    <x v="0"/>
    <n v="0"/>
  </r>
  <r>
    <n v="23248"/>
    <s v="Married"/>
    <s v="Female"/>
    <n v="10000"/>
    <x v="0"/>
    <n v="2"/>
    <s v="High School"/>
    <s v="Manual"/>
    <s v="Yes"/>
    <n v="2"/>
    <s v="1-2 Miles"/>
    <s v="North America"/>
    <n v="53"/>
    <s v="Middle-Aged"/>
    <x v="0"/>
    <n v="0"/>
  </r>
  <r>
    <n v="21417"/>
    <s v="Single"/>
    <s v="Female"/>
    <n v="60000"/>
    <x v="0"/>
    <n v="0"/>
    <s v="Partial College"/>
    <s v="Professional"/>
    <s v="No"/>
    <n v="2"/>
    <s v="1-2 Miles"/>
    <s v="North America"/>
    <n v="32"/>
    <s v="Adults"/>
    <x v="1"/>
    <n v="1"/>
  </r>
  <r>
    <n v="17668"/>
    <s v="Single"/>
    <s v="Male"/>
    <n v="30000"/>
    <x v="0"/>
    <n v="2"/>
    <s v="High School"/>
    <s v="Skilled Manual"/>
    <s v="Yes"/>
    <n v="2"/>
    <s v="1-2 Miles"/>
    <s v="North America"/>
    <n v="50"/>
    <s v="Middle-Aged"/>
    <x v="1"/>
    <n v="1"/>
  </r>
  <r>
    <n v="27994"/>
    <s v="Married"/>
    <s v="Female"/>
    <n v="40000"/>
    <x v="0"/>
    <n v="4"/>
    <s v="High School"/>
    <s v="Professional"/>
    <s v="Yes"/>
    <n v="2"/>
    <s v="5-10 Miles"/>
    <s v="North America"/>
    <n v="69"/>
    <s v="Seniors"/>
    <x v="0"/>
    <n v="0"/>
  </r>
  <r>
    <n v="20376"/>
    <s v="Single"/>
    <s v="Female"/>
    <n v="70000"/>
    <x v="1"/>
    <n v="3"/>
    <s v="Graduate Degree"/>
    <s v="Management"/>
    <s v="Yes"/>
    <n v="2"/>
    <s v="5-10 Miles"/>
    <s v="North America"/>
    <n v="52"/>
    <s v="Middle-Aged"/>
    <x v="1"/>
    <n v="1"/>
  </r>
  <r>
    <n v="25954"/>
    <s v="Married"/>
    <s v="Male"/>
    <n v="60000"/>
    <x v="0"/>
    <n v="0"/>
    <s v="Partial College"/>
    <s v="Skilled Manual"/>
    <s v="No"/>
    <n v="2"/>
    <s v="1-2 Miles"/>
    <s v="North America"/>
    <n v="31"/>
    <s v="Adults"/>
    <x v="0"/>
    <n v="0"/>
  </r>
  <r>
    <n v="15749"/>
    <s v="Single"/>
    <s v="Female"/>
    <n v="70000"/>
    <x v="1"/>
    <n v="4"/>
    <s v="Bachelors"/>
    <s v="Management"/>
    <s v="Yes"/>
    <n v="2"/>
    <s v="More than 10 Miles"/>
    <s v="North America"/>
    <n v="61"/>
    <s v="Seniors"/>
    <x v="0"/>
    <n v="0"/>
  </r>
  <r>
    <n v="25899"/>
    <s v="Married"/>
    <s v="Female"/>
    <n v="70000"/>
    <x v="1"/>
    <n v="2"/>
    <s v="High School"/>
    <s v="Professional"/>
    <s v="Yes"/>
    <n v="2"/>
    <s v="More than 10 Miles"/>
    <s v="North America"/>
    <n v="53"/>
    <s v="Middle-Aged"/>
    <x v="0"/>
    <n v="0"/>
  </r>
  <r>
    <n v="13351"/>
    <s v="Single"/>
    <s v="Female"/>
    <n v="70000"/>
    <x v="1"/>
    <n v="4"/>
    <s v="Bachelors"/>
    <s v="Management"/>
    <s v="Yes"/>
    <n v="2"/>
    <s v="1-2 Miles"/>
    <s v="North America"/>
    <n v="62"/>
    <s v="Seniors"/>
    <x v="1"/>
    <n v="1"/>
  </r>
  <r>
    <n v="23333"/>
    <s v="Married"/>
    <s v="Male"/>
    <n v="40000"/>
    <x v="0"/>
    <n v="0"/>
    <s v="Partial College"/>
    <s v="Skilled Manual"/>
    <s v="No"/>
    <n v="2"/>
    <s v="1-2 Miles"/>
    <s v="North America"/>
    <n v="30"/>
    <s v="Adults"/>
    <x v="0"/>
    <n v="0"/>
  </r>
  <r>
    <n v="21660"/>
    <s v="Married"/>
    <s v="Female"/>
    <n v="60000"/>
    <x v="0"/>
    <n v="3"/>
    <s v="Graduate Degree"/>
    <s v="Professional"/>
    <s v="Yes"/>
    <n v="0"/>
    <s v="2-5 Miles"/>
    <s v="North America"/>
    <n v="43"/>
    <s v="Middle-Aged"/>
    <x v="1"/>
    <n v="1"/>
  </r>
  <r>
    <n v="17012"/>
    <s v="Married"/>
    <s v="Female"/>
    <n v="60000"/>
    <x v="0"/>
    <n v="3"/>
    <s v="Graduate Degree"/>
    <s v="Professional"/>
    <s v="Yes"/>
    <n v="0"/>
    <s v="2-5 Miles"/>
    <s v="North America"/>
    <n v="42"/>
    <s v="Middle-Aged"/>
    <x v="1"/>
    <n v="1"/>
  </r>
  <r>
    <n v="24514"/>
    <s v="Married"/>
    <s v="Male"/>
    <n v="40000"/>
    <x v="0"/>
    <n v="0"/>
    <s v="Partial College"/>
    <s v="Skilled Manual"/>
    <s v="Yes"/>
    <n v="1"/>
    <s v="5-10 Miles"/>
    <s v="North America"/>
    <n v="30"/>
    <s v="Adults"/>
    <x v="0"/>
    <n v="0"/>
  </r>
  <r>
    <n v="27505"/>
    <s v="Single"/>
    <s v="Female"/>
    <n v="40000"/>
    <x v="0"/>
    <n v="0"/>
    <s v="High School"/>
    <s v="Skilled Manual"/>
    <s v="Yes"/>
    <n v="2"/>
    <s v="5-10 Miles"/>
    <s v="North America"/>
    <n v="30"/>
    <s v="Adults"/>
    <x v="0"/>
    <n v="0"/>
  </r>
  <r>
    <n v="29243"/>
    <s v="Single"/>
    <s v="Male"/>
    <n v="110000"/>
    <x v="1"/>
    <n v="1"/>
    <s v="Bachelors"/>
    <s v="Management"/>
    <s v="Yes"/>
    <n v="1"/>
    <s v="5-10 Miles"/>
    <s v="North America"/>
    <n v="43"/>
    <s v="Middle-Aged"/>
    <x v="0"/>
    <n v="0"/>
  </r>
  <r>
    <n v="26582"/>
    <s v="Married"/>
    <s v="Male"/>
    <n v="60000"/>
    <x v="0"/>
    <n v="0"/>
    <s v="Partial College"/>
    <s v="Skilled Manual"/>
    <s v="Yes"/>
    <n v="2"/>
    <s v="5-10 Miles"/>
    <s v="North America"/>
    <n v="33"/>
    <s v="Adults"/>
    <x v="1"/>
    <n v="1"/>
  </r>
  <r>
    <n v="14271"/>
    <s v="Married"/>
    <s v="Male"/>
    <n v="30000"/>
    <x v="0"/>
    <n v="0"/>
    <s v="High School"/>
    <s v="Skilled Manual"/>
    <s v="Yes"/>
    <n v="2"/>
    <s v="5-10 Miles"/>
    <s v="North America"/>
    <n v="32"/>
    <s v="Adults"/>
    <x v="0"/>
    <n v="0"/>
  </r>
  <r>
    <n v="23041"/>
    <s v="Single"/>
    <s v="Female"/>
    <n v="70000"/>
    <x v="1"/>
    <n v="4"/>
    <s v="High School"/>
    <s v="Professional"/>
    <s v="Yes"/>
    <n v="0"/>
    <s v="5-10 Miles"/>
    <s v="North America"/>
    <n v="50"/>
    <s v="Middle-Aged"/>
    <x v="1"/>
    <n v="1"/>
  </r>
  <r>
    <n v="29048"/>
    <s v="Single"/>
    <s v="Male"/>
    <n v="110000"/>
    <x v="1"/>
    <n v="2"/>
    <s v="Bachelors"/>
    <s v="Management"/>
    <s v="No"/>
    <n v="3"/>
    <s v="0-1 Miles"/>
    <s v="North America"/>
    <n v="37"/>
    <s v="Adults"/>
    <x v="1"/>
    <n v="1"/>
  </r>
  <r>
    <n v="24433"/>
    <s v="Married"/>
    <s v="Male"/>
    <n v="70000"/>
    <x v="1"/>
    <n v="3"/>
    <s v="High School"/>
    <s v="Professional"/>
    <s v="No"/>
    <n v="1"/>
    <s v="1-2 Miles"/>
    <s v="North America"/>
    <n v="52"/>
    <s v="Middle-Aged"/>
    <x v="1"/>
    <n v="1"/>
  </r>
  <r>
    <n v="15501"/>
    <s v="Married"/>
    <s v="Male"/>
    <n v="70000"/>
    <x v="1"/>
    <n v="4"/>
    <s v="Graduate Degree"/>
    <s v="Professional"/>
    <s v="Yes"/>
    <n v="0"/>
    <s v="2-5 Miles"/>
    <s v="North America"/>
    <n v="36"/>
    <s v="Adults"/>
    <x v="1"/>
    <n v="1"/>
  </r>
  <r>
    <n v="13911"/>
    <s v="Single"/>
    <s v="Female"/>
    <n v="80000"/>
    <x v="1"/>
    <n v="3"/>
    <s v="Bachelors"/>
    <s v="Skilled Manual"/>
    <s v="Yes"/>
    <n v="2"/>
    <s v="2-5 Miles"/>
    <s v="North America"/>
    <n v="41"/>
    <s v="Middle-Aged"/>
    <x v="1"/>
    <n v="1"/>
  </r>
  <r>
    <n v="20421"/>
    <s v="Single"/>
    <s v="Female"/>
    <n v="40000"/>
    <x v="0"/>
    <n v="0"/>
    <s v="Partial High School"/>
    <s v="Clerical"/>
    <s v="Yes"/>
    <n v="2"/>
    <s v="5-10 Miles"/>
    <s v="North America"/>
    <n v="26"/>
    <s v="Young Adults"/>
    <x v="0"/>
    <n v="0"/>
  </r>
  <r>
    <n v="16009"/>
    <s v="Single"/>
    <s v="Male"/>
    <n v="170000"/>
    <x v="2"/>
    <n v="1"/>
    <s v="Graduate Degree"/>
    <s v="Management"/>
    <s v="No"/>
    <n v="4"/>
    <s v="0-1 Miles"/>
    <s v="North America"/>
    <n v="66"/>
    <s v="Seniors"/>
    <x v="0"/>
    <n v="0"/>
  </r>
  <r>
    <n v="18411"/>
    <s v="Married"/>
    <s v="Male"/>
    <n v="60000"/>
    <x v="0"/>
    <n v="2"/>
    <s v="High School"/>
    <s v="Professional"/>
    <s v="No"/>
    <n v="2"/>
    <s v="5-10 Miles"/>
    <s v="North America"/>
    <n v="51"/>
    <s v="Middle-Aged"/>
    <x v="0"/>
    <n v="0"/>
  </r>
  <r>
    <n v="19163"/>
    <s v="Married"/>
    <s v="Female"/>
    <n v="70000"/>
    <x v="1"/>
    <n v="4"/>
    <s v="Bachelors"/>
    <s v="Professional"/>
    <s v="Yes"/>
    <n v="2"/>
    <s v="0-1 Miles"/>
    <s v="North America"/>
    <n v="43"/>
    <s v="Middle-Aged"/>
    <x v="1"/>
    <n v="1"/>
  </r>
  <r>
    <n v="18572"/>
    <s v="Married"/>
    <s v="Female"/>
    <n v="60000"/>
    <x v="0"/>
    <n v="0"/>
    <s v="Graduate Degree"/>
    <s v="Professional"/>
    <s v="Yes"/>
    <n v="0"/>
    <s v="0-1 Miles"/>
    <s v="North America"/>
    <n v="39"/>
    <s v="Adults"/>
    <x v="0"/>
    <n v="0"/>
  </r>
  <r>
    <n v="27540"/>
    <s v="Single"/>
    <s v="Female"/>
    <n v="70000"/>
    <x v="1"/>
    <n v="0"/>
    <s v="Bachelors"/>
    <s v="Professional"/>
    <s v="No"/>
    <n v="1"/>
    <s v="0-1 Miles"/>
    <s v="North America"/>
    <n v="37"/>
    <s v="Adults"/>
    <x v="1"/>
    <n v="1"/>
  </r>
  <r>
    <n v="19889"/>
    <s v="Single"/>
    <s v="Female"/>
    <n v="70000"/>
    <x v="1"/>
    <n v="2"/>
    <s v="Partial High School"/>
    <s v="Skilled Manual"/>
    <s v="No"/>
    <n v="2"/>
    <s v="2-5 Miles"/>
    <s v="North America"/>
    <n v="54"/>
    <s v="Middle-Aged"/>
    <x v="1"/>
    <n v="1"/>
  </r>
  <r>
    <n v="12922"/>
    <s v="Single"/>
    <s v="Female"/>
    <n v="60000"/>
    <x v="0"/>
    <n v="3"/>
    <s v="Bachelors"/>
    <s v="Skilled Manual"/>
    <s v="Yes"/>
    <n v="0"/>
    <s v="2-5 Miles"/>
    <s v="North America"/>
    <n v="40"/>
    <s v="Middle-Aged"/>
    <x v="1"/>
    <n v="1"/>
  </r>
  <r>
    <n v="18891"/>
    <s v="Married"/>
    <s v="Female"/>
    <n v="40000"/>
    <x v="0"/>
    <n v="0"/>
    <s v="Partial College"/>
    <s v="Skilled Manual"/>
    <s v="Yes"/>
    <n v="2"/>
    <s v="5-10 Miles"/>
    <s v="North America"/>
    <n v="28"/>
    <s v="Young Adults"/>
    <x v="0"/>
    <n v="0"/>
  </r>
  <r>
    <n v="16773"/>
    <s v="Married"/>
    <s v="Male"/>
    <n v="60000"/>
    <x v="0"/>
    <n v="1"/>
    <s v="Graduate Degree"/>
    <s v="Skilled Manual"/>
    <s v="Yes"/>
    <n v="0"/>
    <s v="0-1 Miles"/>
    <s v="North America"/>
    <n v="33"/>
    <s v="Adults"/>
    <x v="0"/>
    <n v="0"/>
  </r>
  <r>
    <n v="19143"/>
    <s v="Single"/>
    <s v="Female"/>
    <n v="80000"/>
    <x v="1"/>
    <n v="3"/>
    <s v="Bachelors"/>
    <s v="Skilled Manual"/>
    <s v="Yes"/>
    <n v="2"/>
    <s v="2-5 Miles"/>
    <s v="North America"/>
    <n v="41"/>
    <s v="Middle-Aged"/>
    <x v="1"/>
    <n v="1"/>
  </r>
  <r>
    <n v="23882"/>
    <s v="Single"/>
    <s v="Female"/>
    <n v="80000"/>
    <x v="1"/>
    <n v="3"/>
    <s v="Graduate Degree"/>
    <s v="Professional"/>
    <s v="Yes"/>
    <n v="0"/>
    <s v="0-1 Miles"/>
    <s v="North America"/>
    <n v="37"/>
    <s v="Adults"/>
    <x v="1"/>
    <n v="1"/>
  </r>
  <r>
    <n v="11233"/>
    <s v="Married"/>
    <s v="Male"/>
    <n v="70000"/>
    <x v="1"/>
    <n v="4"/>
    <s v="Partial College"/>
    <s v="Professional"/>
    <s v="Yes"/>
    <n v="2"/>
    <s v="More than 10 Miles"/>
    <s v="North America"/>
    <n v="53"/>
    <s v="Middle-Aged"/>
    <x v="0"/>
    <n v="0"/>
  </r>
  <r>
    <n v="12056"/>
    <s v="Married"/>
    <s v="Male"/>
    <n v="120000"/>
    <x v="1"/>
    <n v="2"/>
    <s v="Graduate Degree"/>
    <s v="Management"/>
    <s v="Yes"/>
    <n v="3"/>
    <s v="5-10 Miles"/>
    <s v="North America"/>
    <n v="64"/>
    <s v="Seniors"/>
    <x v="0"/>
    <n v="0"/>
  </r>
  <r>
    <n v="15555"/>
    <s v="Married"/>
    <s v="Female"/>
    <n v="60000"/>
    <x v="0"/>
    <n v="1"/>
    <s v="Partial College"/>
    <s v="Skilled Manual"/>
    <s v="Yes"/>
    <n v="1"/>
    <s v="2-5 Miles"/>
    <s v="North America"/>
    <n v="45"/>
    <s v="Middle-Aged"/>
    <x v="1"/>
    <n v="1"/>
  </r>
  <r>
    <n v="18423"/>
    <s v="Single"/>
    <s v="Male"/>
    <n v="80000"/>
    <x v="1"/>
    <n v="2"/>
    <s v="Partial High School"/>
    <s v="Skilled Manual"/>
    <s v="No"/>
    <n v="2"/>
    <s v="1-2 Miles"/>
    <s v="North America"/>
    <n v="52"/>
    <s v="Middle-Aged"/>
    <x v="0"/>
    <n v="0"/>
  </r>
  <r>
    <n v="22743"/>
    <s v="Married"/>
    <s v="Female"/>
    <n v="40000"/>
    <x v="0"/>
    <n v="5"/>
    <s v="High School"/>
    <s v="Professional"/>
    <s v="Yes"/>
    <n v="2"/>
    <s v="More than 10 Miles"/>
    <s v="North America"/>
    <n v="60"/>
    <s v="Seniors"/>
    <x v="0"/>
    <n v="0"/>
  </r>
  <r>
    <n v="25343"/>
    <s v="Single"/>
    <s v="Female"/>
    <n v="20000"/>
    <x v="0"/>
    <n v="3"/>
    <s v="Partial High School"/>
    <s v="Clerical"/>
    <s v="Yes"/>
    <n v="2"/>
    <s v="1-2 Miles"/>
    <s v="North America"/>
    <n v="50"/>
    <s v="Middle-Aged"/>
    <x v="0"/>
    <n v="0"/>
  </r>
  <r>
    <n v="13390"/>
    <s v="Married"/>
    <s v="Female"/>
    <n v="70000"/>
    <x v="1"/>
    <n v="4"/>
    <s v="Partial College"/>
    <s v="Professional"/>
    <s v="No"/>
    <n v="1"/>
    <s v="1-2 Miles"/>
    <s v="North America"/>
    <n v="56"/>
    <s v="Middle-Aged"/>
    <x v="0"/>
    <n v="0"/>
  </r>
  <r>
    <n v="17482"/>
    <s v="Single"/>
    <s v="Female"/>
    <n v="40000"/>
    <x v="0"/>
    <n v="0"/>
    <s v="Partial High School"/>
    <s v="Clerical"/>
    <s v="Yes"/>
    <n v="2"/>
    <s v="5-10 Miles"/>
    <s v="North America"/>
    <n v="29"/>
    <s v="Young Adults"/>
    <x v="0"/>
    <n v="0"/>
  </r>
  <r>
    <n v="13176"/>
    <s v="Single"/>
    <s v="Male"/>
    <n v="130000"/>
    <x v="2"/>
    <n v="0"/>
    <s v="Graduate Degree"/>
    <s v="Management"/>
    <s v="No"/>
    <n v="2"/>
    <s v="0-1 Miles"/>
    <s v="North America"/>
    <n v="38"/>
    <s v="Adults"/>
    <x v="1"/>
    <n v="1"/>
  </r>
  <r>
    <n v="20504"/>
    <s v="Married"/>
    <s v="Female"/>
    <n v="40000"/>
    <x v="0"/>
    <n v="5"/>
    <s v="High School"/>
    <s v="Professional"/>
    <s v="No"/>
    <n v="2"/>
    <s v="2-5 Miles"/>
    <s v="North America"/>
    <n v="60"/>
    <s v="Seniors"/>
    <x v="0"/>
    <n v="0"/>
  </r>
  <r>
    <n v="12205"/>
    <s v="Single"/>
    <s v="Female"/>
    <n v="130000"/>
    <x v="2"/>
    <n v="2"/>
    <s v="Bachelors"/>
    <s v="Management"/>
    <s v="No"/>
    <n v="4"/>
    <s v="0-1 Miles"/>
    <s v="North America"/>
    <n v="67"/>
    <s v="Seniors"/>
    <x v="0"/>
    <n v="0"/>
  </r>
  <r>
    <n v="16751"/>
    <s v="Married"/>
    <s v="Male"/>
    <n v="60000"/>
    <x v="0"/>
    <n v="0"/>
    <s v="Partial College"/>
    <s v="Skilled Manual"/>
    <s v="Yes"/>
    <n v="1"/>
    <s v="5-10 Miles"/>
    <s v="North America"/>
    <n v="32"/>
    <s v="Adults"/>
    <x v="1"/>
    <n v="1"/>
  </r>
  <r>
    <n v="21613"/>
    <s v="Single"/>
    <s v="Male"/>
    <n v="50000"/>
    <x v="0"/>
    <n v="2"/>
    <s v="Bachelors"/>
    <s v="Skilled Manual"/>
    <s v="No"/>
    <n v="1"/>
    <s v="0-1 Miles"/>
    <s v="North America"/>
    <n v="39"/>
    <s v="Adults"/>
    <x v="1"/>
    <n v="1"/>
  </r>
  <r>
    <n v="24801"/>
    <s v="Single"/>
    <s v="Male"/>
    <n v="60000"/>
    <x v="0"/>
    <n v="1"/>
    <s v="Graduate Degree"/>
    <s v="Professional"/>
    <s v="Yes"/>
    <n v="0"/>
    <s v="2-5 Miles"/>
    <s v="North America"/>
    <n v="35"/>
    <s v="Adults"/>
    <x v="1"/>
    <n v="1"/>
  </r>
  <r>
    <n v="17519"/>
    <s v="Married"/>
    <s v="Female"/>
    <n v="60000"/>
    <x v="0"/>
    <n v="0"/>
    <s v="Partial College"/>
    <s v="Professional"/>
    <s v="Yes"/>
    <n v="2"/>
    <s v="5-10 Miles"/>
    <s v="North America"/>
    <n v="32"/>
    <s v="Adults"/>
    <x v="0"/>
    <n v="0"/>
  </r>
  <r>
    <n v="18347"/>
    <s v="Single"/>
    <s v="Female"/>
    <n v="30000"/>
    <x v="0"/>
    <n v="0"/>
    <s v="Partial College"/>
    <s v="Skilled Manual"/>
    <s v="No"/>
    <n v="1"/>
    <s v="1-2 Miles"/>
    <s v="North America"/>
    <n v="31"/>
    <s v="Adults"/>
    <x v="0"/>
    <n v="0"/>
  </r>
  <r>
    <n v="29052"/>
    <s v="Single"/>
    <s v="Male"/>
    <n v="40000"/>
    <x v="0"/>
    <n v="0"/>
    <s v="Partial College"/>
    <s v="Skilled Manual"/>
    <s v="Yes"/>
    <n v="1"/>
    <s v="5-10 Miles"/>
    <s v="North America"/>
    <n v="27"/>
    <s v="Young Adults"/>
    <x v="0"/>
    <n v="0"/>
  </r>
  <r>
    <n v="11745"/>
    <s v="Married"/>
    <s v="Female"/>
    <n v="60000"/>
    <x v="0"/>
    <n v="1"/>
    <s v="Bachelors"/>
    <s v="Professional"/>
    <s v="Yes"/>
    <n v="1"/>
    <s v="0-1 Miles"/>
    <s v="North America"/>
    <n v="47"/>
    <s v="Middle-Aged"/>
    <x v="1"/>
    <n v="1"/>
  </r>
  <r>
    <n v="19147"/>
    <s v="Married"/>
    <s v="Male"/>
    <n v="40000"/>
    <x v="0"/>
    <n v="0"/>
    <s v="Bachelors"/>
    <s v="Professional"/>
    <s v="No"/>
    <n v="1"/>
    <s v="0-1 Miles"/>
    <s v="North America"/>
    <n v="42"/>
    <s v="Middle-Aged"/>
    <x v="0"/>
    <n v="0"/>
  </r>
  <r>
    <n v="19217"/>
    <s v="Married"/>
    <s v="Male"/>
    <n v="30000"/>
    <x v="0"/>
    <n v="2"/>
    <s v="High School"/>
    <s v="Skilled Manual"/>
    <s v="Yes"/>
    <n v="2"/>
    <s v="1-2 Miles"/>
    <s v="North America"/>
    <n v="49"/>
    <s v="Middle-Aged"/>
    <x v="0"/>
    <n v="0"/>
  </r>
  <r>
    <n v="15839"/>
    <s v="Single"/>
    <s v="Male"/>
    <n v="30000"/>
    <x v="0"/>
    <n v="0"/>
    <s v="Partial College"/>
    <s v="Skilled Manual"/>
    <s v="Yes"/>
    <n v="1"/>
    <s v="5-10 Miles"/>
    <s v="North America"/>
    <n v="32"/>
    <s v="Adults"/>
    <x v="0"/>
    <n v="0"/>
  </r>
  <r>
    <n v="13714"/>
    <s v="Married"/>
    <s v="Female"/>
    <n v="20000"/>
    <x v="0"/>
    <n v="2"/>
    <s v="High School"/>
    <s v="Manual"/>
    <s v="No"/>
    <n v="2"/>
    <s v="1-2 Miles"/>
    <s v="North America"/>
    <n v="53"/>
    <s v="Middle-Aged"/>
    <x v="1"/>
    <n v="1"/>
  </r>
  <r>
    <n v="22330"/>
    <s v="Married"/>
    <s v="Male"/>
    <n v="50000"/>
    <x v="0"/>
    <n v="0"/>
    <s v="Graduate Degree"/>
    <s v="Skilled Manual"/>
    <s v="Yes"/>
    <n v="0"/>
    <s v="1-2 Miles"/>
    <s v="North America"/>
    <n v="32"/>
    <s v="Adults"/>
    <x v="1"/>
    <n v="1"/>
  </r>
  <r>
    <n v="18783"/>
    <s v="Single"/>
    <s v="Male"/>
    <n v="80000"/>
    <x v="1"/>
    <n v="0"/>
    <s v="Bachelors"/>
    <s v="Management"/>
    <s v="No"/>
    <n v="1"/>
    <s v="0-1 Miles"/>
    <s v="North America"/>
    <n v="38"/>
    <s v="Adults"/>
    <x v="1"/>
    <n v="1"/>
  </r>
  <r>
    <n v="25041"/>
    <s v="Single"/>
    <s v="Male"/>
    <n v="40000"/>
    <x v="0"/>
    <n v="0"/>
    <s v="High School"/>
    <s v="Skilled Manual"/>
    <s v="Yes"/>
    <n v="2"/>
    <s v="5-10 Miles"/>
    <s v="North America"/>
    <n v="31"/>
    <s v="Adults"/>
    <x v="0"/>
    <n v="0"/>
  </r>
  <r>
    <n v="22046"/>
    <s v="Single"/>
    <s v="Female"/>
    <n v="80000"/>
    <x v="1"/>
    <n v="0"/>
    <s v="Bachelors"/>
    <s v="Management"/>
    <s v="No"/>
    <n v="1"/>
    <s v="0-1 Miles"/>
    <s v="North America"/>
    <n v="38"/>
    <s v="Adults"/>
    <x v="1"/>
    <n v="1"/>
  </r>
  <r>
    <n v="28052"/>
    <s v="Married"/>
    <s v="Male"/>
    <n v="60000"/>
    <x v="0"/>
    <n v="2"/>
    <s v="High School"/>
    <s v="Professional"/>
    <s v="Yes"/>
    <n v="2"/>
    <s v="More than 10 Miles"/>
    <s v="North America"/>
    <n v="55"/>
    <s v="Middle-Aged"/>
    <x v="0"/>
    <n v="0"/>
  </r>
  <r>
    <n v="26693"/>
    <s v="Married"/>
    <s v="Male"/>
    <n v="70000"/>
    <x v="1"/>
    <n v="3"/>
    <s v="Partial College"/>
    <s v="Professional"/>
    <s v="Yes"/>
    <n v="1"/>
    <s v="5-10 Miles"/>
    <s v="North America"/>
    <n v="49"/>
    <s v="Middle-Aged"/>
    <x v="0"/>
    <n v="0"/>
  </r>
  <r>
    <n v="24955"/>
    <s v="Single"/>
    <s v="Male"/>
    <n v="30000"/>
    <x v="0"/>
    <n v="5"/>
    <s v="Partial High School"/>
    <s v="Skilled Manual"/>
    <s v="Yes"/>
    <n v="3"/>
    <s v="More than 10 Miles"/>
    <s v="North America"/>
    <n v="60"/>
    <s v="Seniors"/>
    <x v="1"/>
    <n v="1"/>
  </r>
  <r>
    <n v="26065"/>
    <s v="Single"/>
    <s v="Female"/>
    <n v="110000"/>
    <x v="1"/>
    <n v="3"/>
    <s v="Bachelors"/>
    <s v="Management"/>
    <s v="No"/>
    <n v="4"/>
    <s v="1-2 Miles"/>
    <s v="North America"/>
    <n v="42"/>
    <s v="Middle-Aged"/>
    <x v="0"/>
    <n v="0"/>
  </r>
  <r>
    <n v="13942"/>
    <s v="Married"/>
    <s v="Male"/>
    <n v="60000"/>
    <x v="0"/>
    <n v="1"/>
    <s v="Partial College"/>
    <s v="Skilled Manual"/>
    <s v="Yes"/>
    <n v="1"/>
    <s v="0-1 Miles"/>
    <s v="North America"/>
    <n v="46"/>
    <s v="Middle-Aged"/>
    <x v="0"/>
    <n v="0"/>
  </r>
  <r>
    <n v="11219"/>
    <s v="Married"/>
    <s v="Male"/>
    <n v="60000"/>
    <x v="0"/>
    <n v="2"/>
    <s v="High School"/>
    <s v="Professional"/>
    <s v="Yes"/>
    <n v="2"/>
    <s v="More than 10 Miles"/>
    <s v="North America"/>
    <n v="55"/>
    <s v="Middle-Aged"/>
    <x v="0"/>
    <n v="0"/>
  </r>
  <r>
    <n v="22118"/>
    <s v="Single"/>
    <s v="Female"/>
    <n v="70000"/>
    <x v="1"/>
    <n v="3"/>
    <s v="Graduate Degree"/>
    <s v="Management"/>
    <s v="Yes"/>
    <n v="2"/>
    <s v="5-10 Miles"/>
    <s v="North America"/>
    <n v="53"/>
    <s v="Middle-Aged"/>
    <x v="1"/>
    <n v="1"/>
  </r>
  <r>
    <n v="23197"/>
    <s v="Married"/>
    <s v="Male"/>
    <n v="50000"/>
    <x v="0"/>
    <n v="3"/>
    <s v="Bachelors"/>
    <s v="Skilled Manual"/>
    <s v="Yes"/>
    <n v="2"/>
    <s v="2-5 Miles"/>
    <s v="North America"/>
    <n v="40"/>
    <s v="Middle-Aged"/>
    <x v="0"/>
    <n v="0"/>
  </r>
  <r>
    <n v="14883"/>
    <s v="Married"/>
    <s v="Female"/>
    <n v="30000"/>
    <x v="0"/>
    <n v="1"/>
    <s v="Bachelors"/>
    <s v="Skilled Manual"/>
    <s v="Yes"/>
    <n v="1"/>
    <s v="5-10 Miles"/>
    <s v="North America"/>
    <n v="53"/>
    <s v="Middle-Aged"/>
    <x v="1"/>
    <n v="1"/>
  </r>
  <r>
    <n v="27279"/>
    <s v="Single"/>
    <s v="Female"/>
    <n v="70000"/>
    <x v="1"/>
    <n v="2"/>
    <s v="Bachelors"/>
    <s v="Skilled Manual"/>
    <s v="Yes"/>
    <n v="0"/>
    <s v="2-5 Miles"/>
    <s v="North America"/>
    <n v="38"/>
    <s v="Adults"/>
    <x v="1"/>
    <n v="1"/>
  </r>
  <r>
    <n v="18322"/>
    <s v="Single"/>
    <s v="Male"/>
    <n v="30000"/>
    <x v="0"/>
    <n v="0"/>
    <s v="Partial High School"/>
    <s v="Clerical"/>
    <s v="No"/>
    <n v="2"/>
    <s v="0-1 Miles"/>
    <s v="North America"/>
    <n v="26"/>
    <s v="Young Adults"/>
    <x v="0"/>
    <n v="0"/>
  </r>
  <r>
    <n v="15879"/>
    <s v="Married"/>
    <s v="Male"/>
    <n v="70000"/>
    <x v="1"/>
    <n v="5"/>
    <s v="Bachelors"/>
    <s v="Management"/>
    <s v="Yes"/>
    <n v="2"/>
    <s v="2-5 Miles"/>
    <s v="North America"/>
    <n v="61"/>
    <s v="Seniors"/>
    <x v="0"/>
    <n v="0"/>
  </r>
  <r>
    <n v="28278"/>
    <s v="Married"/>
    <s v="Male"/>
    <n v="50000"/>
    <x v="0"/>
    <n v="2"/>
    <s v="Graduate Degree"/>
    <s v="Management"/>
    <s v="Yes"/>
    <n v="2"/>
    <s v="5-10 Miles"/>
    <s v="North America"/>
    <n v="71"/>
    <s v="Seniors"/>
    <x v="0"/>
    <n v="0"/>
  </r>
  <r>
    <n v="24416"/>
    <s v="Married"/>
    <s v="Male"/>
    <n v="90000"/>
    <x v="1"/>
    <n v="4"/>
    <s v="High School"/>
    <s v="Professional"/>
    <s v="Yes"/>
    <n v="2"/>
    <s v="1-2 Miles"/>
    <s v="North America"/>
    <n v="45"/>
    <s v="Middle-Aged"/>
    <x v="0"/>
    <n v="0"/>
  </r>
  <r>
    <n v="28066"/>
    <s v="Married"/>
    <s v="Male"/>
    <n v="80000"/>
    <x v="1"/>
    <n v="2"/>
    <s v="Graduate Degree"/>
    <s v="Professional"/>
    <s v="Yes"/>
    <n v="0"/>
    <s v="0-1 Miles"/>
    <s v="North America"/>
    <n v="37"/>
    <s v="Adults"/>
    <x v="1"/>
    <n v="1"/>
  </r>
  <r>
    <n v="11275"/>
    <s v="Married"/>
    <s v="Female"/>
    <n v="80000"/>
    <x v="1"/>
    <n v="4"/>
    <s v="Graduate Degree"/>
    <s v="Management"/>
    <s v="Yes"/>
    <n v="2"/>
    <s v="0-1 Miles"/>
    <s v="North America"/>
    <n v="72"/>
    <s v="Seniors"/>
    <x v="1"/>
    <n v="1"/>
  </r>
  <r>
    <n v="14872"/>
    <s v="Married"/>
    <s v="Male"/>
    <n v="30000"/>
    <x v="0"/>
    <n v="0"/>
    <s v="Graduate Degree"/>
    <s v="Skilled Manual"/>
    <s v="Yes"/>
    <n v="0"/>
    <s v="0-1 Miles"/>
    <s v="North America"/>
    <n v="32"/>
    <s v="Adults"/>
    <x v="0"/>
    <n v="0"/>
  </r>
  <r>
    <n v="16151"/>
    <s v="Married"/>
    <s v="Female"/>
    <n v="60000"/>
    <x v="0"/>
    <n v="1"/>
    <s v="Bachelors"/>
    <s v="Professional"/>
    <s v="Yes"/>
    <n v="1"/>
    <s v="2-5 Miles"/>
    <s v="North America"/>
    <n v="48"/>
    <s v="Middle-Aged"/>
    <x v="1"/>
    <n v="1"/>
  </r>
  <r>
    <n v="19731"/>
    <s v="Married"/>
    <s v="Male"/>
    <n v="80000"/>
    <x v="1"/>
    <n v="4"/>
    <s v="Graduate Degree"/>
    <s v="Management"/>
    <s v="Yes"/>
    <n v="2"/>
    <s v="5-10 Miles"/>
    <s v="North America"/>
    <n v="68"/>
    <s v="Seniors"/>
    <x v="0"/>
    <n v="0"/>
  </r>
  <r>
    <n v="23801"/>
    <s v="Married"/>
    <s v="Female"/>
    <n v="20000"/>
    <x v="0"/>
    <n v="2"/>
    <s v="Partial High School"/>
    <s v="Clerical"/>
    <s v="Yes"/>
    <n v="2"/>
    <s v="0-1 Miles"/>
    <s v="North America"/>
    <n v="49"/>
    <s v="Middle-Aged"/>
    <x v="0"/>
    <n v="0"/>
  </r>
  <r>
    <n v="11807"/>
    <s v="Married"/>
    <s v="Male"/>
    <n v="70000"/>
    <x v="1"/>
    <n v="3"/>
    <s v="Graduate Degree"/>
    <s v="Professional"/>
    <s v="Yes"/>
    <n v="0"/>
    <s v="2-5 Miles"/>
    <s v="North America"/>
    <n v="34"/>
    <s v="Adults"/>
    <x v="0"/>
    <n v="0"/>
  </r>
  <r>
    <n v="11622"/>
    <s v="Married"/>
    <s v="Male"/>
    <n v="50000"/>
    <x v="0"/>
    <n v="0"/>
    <s v="Graduate Degree"/>
    <s v="Skilled Manual"/>
    <s v="Yes"/>
    <n v="0"/>
    <s v="0-1 Miles"/>
    <s v="North America"/>
    <n v="32"/>
    <s v="Adults"/>
    <x v="0"/>
    <n v="0"/>
  </r>
  <r>
    <n v="26597"/>
    <s v="Single"/>
    <s v="Female"/>
    <n v="60000"/>
    <x v="0"/>
    <n v="4"/>
    <s v="Bachelors"/>
    <s v="Skilled Manual"/>
    <s v="No"/>
    <n v="2"/>
    <s v="0-1 Miles"/>
    <s v="North America"/>
    <n v="42"/>
    <s v="Middle-Aged"/>
    <x v="0"/>
    <n v="0"/>
  </r>
  <r>
    <n v="27074"/>
    <s v="Married"/>
    <s v="Female"/>
    <n v="70000"/>
    <x v="1"/>
    <n v="1"/>
    <s v="Graduate Degree"/>
    <s v="Skilled Manual"/>
    <s v="Yes"/>
    <n v="0"/>
    <s v="0-1 Miles"/>
    <s v="North America"/>
    <n v="35"/>
    <s v="Adults"/>
    <x v="1"/>
    <n v="1"/>
  </r>
  <r>
    <n v="19228"/>
    <s v="Married"/>
    <s v="Female"/>
    <n v="40000"/>
    <x v="0"/>
    <n v="2"/>
    <s v="Partial College"/>
    <s v="Clerical"/>
    <s v="Yes"/>
    <n v="1"/>
    <s v="0-1 Miles"/>
    <s v="North America"/>
    <n v="48"/>
    <s v="Middle-Aged"/>
    <x v="0"/>
    <n v="0"/>
  </r>
  <r>
    <n v="13415"/>
    <s v="Single"/>
    <s v="Male"/>
    <n v="100000"/>
    <x v="1"/>
    <n v="1"/>
    <s v="Graduate Degree"/>
    <s v="Management"/>
    <s v="Yes"/>
    <n v="3"/>
    <s v="2-5 Miles"/>
    <s v="North America"/>
    <n v="73"/>
    <s v="Seniors"/>
    <x v="1"/>
    <n v="1"/>
  </r>
  <r>
    <n v="17000"/>
    <s v="Single"/>
    <s v="Female"/>
    <n v="70000"/>
    <x v="1"/>
    <n v="4"/>
    <s v="Bachelors"/>
    <s v="Skilled Manual"/>
    <s v="Yes"/>
    <n v="2"/>
    <s v="2-5 Miles"/>
    <s v="North America"/>
    <n v="43"/>
    <s v="Middle-Aged"/>
    <x v="1"/>
    <n v="1"/>
  </r>
  <r>
    <n v="14569"/>
    <s v="Married"/>
    <s v="Male"/>
    <n v="60000"/>
    <x v="0"/>
    <n v="1"/>
    <s v="Graduate Degree"/>
    <s v="Professional"/>
    <s v="Yes"/>
    <n v="0"/>
    <s v="0-1 Miles"/>
    <s v="North America"/>
    <n v="35"/>
    <s v="Adults"/>
    <x v="0"/>
    <n v="0"/>
  </r>
  <r>
    <n v="13873"/>
    <s v="Married"/>
    <s v="Male"/>
    <n v="70000"/>
    <x v="1"/>
    <n v="3"/>
    <s v="Graduate Degree"/>
    <s v="Professional"/>
    <s v="Yes"/>
    <n v="0"/>
    <s v="0-1 Miles"/>
    <s v="North America"/>
    <n v="35"/>
    <s v="Adults"/>
    <x v="1"/>
    <n v="1"/>
  </r>
  <r>
    <n v="20401"/>
    <s v="Married"/>
    <s v="Female"/>
    <n v="50000"/>
    <x v="0"/>
    <n v="4"/>
    <s v="Bachelors"/>
    <s v="Management"/>
    <s v="Yes"/>
    <n v="2"/>
    <s v="1-2 Miles"/>
    <s v="North America"/>
    <n v="64"/>
    <s v="Seniors"/>
    <x v="1"/>
    <n v="1"/>
  </r>
  <r>
    <n v="21583"/>
    <s v="Married"/>
    <s v="Female"/>
    <n v="50000"/>
    <x v="0"/>
    <n v="1"/>
    <s v="Bachelors"/>
    <s v="Skilled Manual"/>
    <s v="Yes"/>
    <n v="0"/>
    <s v="0-1 Miles"/>
    <s v="North America"/>
    <n v="34"/>
    <s v="Adults"/>
    <x v="1"/>
    <n v="1"/>
  </r>
  <r>
    <n v="12029"/>
    <s v="Married"/>
    <s v="Male"/>
    <n v="30000"/>
    <x v="0"/>
    <n v="0"/>
    <s v="Partial High School"/>
    <s v="Clerical"/>
    <s v="No"/>
    <n v="2"/>
    <s v="0-1 Miles"/>
    <s v="North America"/>
    <n v="28"/>
    <s v="Young Adults"/>
    <x v="0"/>
    <n v="0"/>
  </r>
  <r>
    <n v="18066"/>
    <s v="Single"/>
    <s v="Male"/>
    <n v="70000"/>
    <x v="1"/>
    <n v="5"/>
    <s v="Bachelors"/>
    <s v="Management"/>
    <s v="Yes"/>
    <n v="3"/>
    <s v="More than 10 Miles"/>
    <s v="North America"/>
    <n v="60"/>
    <s v="Seniors"/>
    <x v="1"/>
    <n v="1"/>
  </r>
  <r>
    <n v="28192"/>
    <s v="Married"/>
    <s v="Female"/>
    <n v="70000"/>
    <x v="1"/>
    <n v="5"/>
    <s v="Graduate Degree"/>
    <s v="Professional"/>
    <s v="Yes"/>
    <n v="3"/>
    <s v="More than 10 Miles"/>
    <s v="North America"/>
    <n v="46"/>
    <s v="Middle-Aged"/>
    <x v="0"/>
    <n v="0"/>
  </r>
  <r>
    <n v="16122"/>
    <s v="Married"/>
    <s v="Male"/>
    <n v="40000"/>
    <x v="0"/>
    <n v="4"/>
    <s v="High School"/>
    <s v="Skilled Manual"/>
    <s v="Yes"/>
    <n v="2"/>
    <s v="0-1 Miles"/>
    <s v="North America"/>
    <n v="44"/>
    <s v="Middle-Aged"/>
    <x v="1"/>
    <n v="1"/>
  </r>
  <r>
    <n v="18607"/>
    <s v="Single"/>
    <s v="Female"/>
    <n v="60000"/>
    <x v="0"/>
    <n v="4"/>
    <s v="Bachelors"/>
    <s v="Skilled Manual"/>
    <s v="Yes"/>
    <n v="2"/>
    <s v="2-5 Miles"/>
    <s v="North America"/>
    <n v="42"/>
    <s v="Middle-Aged"/>
    <x v="1"/>
    <n v="1"/>
  </r>
  <r>
    <n v="28858"/>
    <s v="Single"/>
    <s v="Male"/>
    <n v="80000"/>
    <x v="1"/>
    <n v="3"/>
    <s v="Bachelors"/>
    <s v="Skilled Manual"/>
    <s v="Yes"/>
    <n v="0"/>
    <s v="2-5 Miles"/>
    <s v="North America"/>
    <n v="40"/>
    <s v="Middle-Aged"/>
    <x v="0"/>
    <n v="0"/>
  </r>
  <r>
    <n v="14432"/>
    <s v="Single"/>
    <s v="Male"/>
    <n v="90000"/>
    <x v="1"/>
    <n v="4"/>
    <s v="Graduate Degree"/>
    <s v="Management"/>
    <s v="Yes"/>
    <n v="1"/>
    <s v="5-10 Miles"/>
    <s v="North America"/>
    <n v="73"/>
    <s v="Seniors"/>
    <x v="0"/>
    <n v="0"/>
  </r>
  <r>
    <n v="26305"/>
    <s v="Single"/>
    <s v="Female"/>
    <n v="60000"/>
    <x v="0"/>
    <n v="2"/>
    <s v="Bachelors"/>
    <s v="Skilled Manual"/>
    <s v="No"/>
    <n v="0"/>
    <s v="0-1 Miles"/>
    <s v="North America"/>
    <n v="36"/>
    <s v="Adults"/>
    <x v="1"/>
    <n v="1"/>
  </r>
  <r>
    <n v="22050"/>
    <s v="Single"/>
    <s v="Male"/>
    <n v="90000"/>
    <x v="1"/>
    <n v="4"/>
    <s v="Bachelors"/>
    <s v="Management"/>
    <s v="Yes"/>
    <n v="1"/>
    <s v="1-2 Miles"/>
    <s v="North America"/>
    <n v="38"/>
    <s v="Adults"/>
    <x v="1"/>
    <n v="1"/>
  </r>
  <r>
    <n v="25394"/>
    <s v="Married"/>
    <s v="Male"/>
    <n v="60000"/>
    <x v="0"/>
    <n v="1"/>
    <s v="Graduate Degree"/>
    <s v="Professional"/>
    <s v="Yes"/>
    <n v="0"/>
    <s v="2-5 Miles"/>
    <s v="North America"/>
    <n v="34"/>
    <s v="Adults"/>
    <x v="1"/>
    <n v="1"/>
  </r>
  <r>
    <n v="19747"/>
    <s v="Married"/>
    <s v="Male"/>
    <n v="50000"/>
    <x v="0"/>
    <n v="4"/>
    <s v="Bachelors"/>
    <s v="Management"/>
    <s v="Yes"/>
    <n v="2"/>
    <s v="More than 10 Miles"/>
    <s v="North America"/>
    <n v="63"/>
    <s v="Seniors"/>
    <x v="0"/>
    <n v="0"/>
  </r>
  <r>
    <n v="23195"/>
    <s v="Single"/>
    <s v="Male"/>
    <n v="50000"/>
    <x v="0"/>
    <n v="3"/>
    <s v="Bachelors"/>
    <s v="Skilled Manual"/>
    <s v="Yes"/>
    <n v="2"/>
    <s v="2-5 Miles"/>
    <s v="North America"/>
    <n v="41"/>
    <s v="Middle-Aged"/>
    <x v="1"/>
    <n v="1"/>
  </r>
  <r>
    <n v="21695"/>
    <s v="Married"/>
    <s v="Male"/>
    <n v="60000"/>
    <x v="0"/>
    <n v="0"/>
    <s v="Graduate Degree"/>
    <s v="Skilled Manual"/>
    <s v="Yes"/>
    <n v="0"/>
    <s v="1-2 Miles"/>
    <s v="North America"/>
    <n v="39"/>
    <s v="Adults"/>
    <x v="1"/>
    <n v="1"/>
  </r>
  <r>
    <n v="13934"/>
    <s v="Married"/>
    <s v="Male"/>
    <n v="40000"/>
    <x v="0"/>
    <n v="4"/>
    <s v="High School"/>
    <s v="Skilled Manual"/>
    <s v="Yes"/>
    <n v="2"/>
    <s v="2-5 Miles"/>
    <s v="North America"/>
    <n v="46"/>
    <s v="Middle-Aged"/>
    <x v="0"/>
    <n v="0"/>
  </r>
  <r>
    <n v="13337"/>
    <s v="Married"/>
    <s v="Female"/>
    <n v="80000"/>
    <x v="1"/>
    <n v="5"/>
    <s v="Bachelors"/>
    <s v="Management"/>
    <s v="Yes"/>
    <n v="2"/>
    <s v="5-10 Miles"/>
    <s v="North America"/>
    <n v="64"/>
    <s v="Seniors"/>
    <x v="0"/>
    <n v="0"/>
  </r>
  <r>
    <n v="27190"/>
    <s v="Married"/>
    <s v="Female"/>
    <n v="40000"/>
    <x v="0"/>
    <n v="3"/>
    <s v="Partial College"/>
    <s v="Clerical"/>
    <s v="Yes"/>
    <n v="1"/>
    <s v="1-2 Miles"/>
    <s v="North America"/>
    <n v="32"/>
    <s v="Adults"/>
    <x v="0"/>
    <n v="0"/>
  </r>
  <r>
    <n v="28657"/>
    <s v="Single"/>
    <s v="Male"/>
    <n v="60000"/>
    <x v="0"/>
    <n v="2"/>
    <s v="Bachelors"/>
    <s v="Skilled Manual"/>
    <s v="Yes"/>
    <n v="0"/>
    <s v="2-5 Miles"/>
    <s v="North America"/>
    <n v="36"/>
    <s v="Adults"/>
    <x v="1"/>
    <n v="1"/>
  </r>
  <r>
    <n v="21713"/>
    <s v="Single"/>
    <s v="Male"/>
    <n v="80000"/>
    <x v="1"/>
    <n v="5"/>
    <s v="Graduate Degree"/>
    <s v="Skilled Manual"/>
    <s v="No"/>
    <n v="0"/>
    <s v="0-1 Miles"/>
    <s v="North America"/>
    <n v="47"/>
    <s v="Middle-Aged"/>
    <x v="0"/>
    <n v="0"/>
  </r>
  <r>
    <n v="21752"/>
    <s v="Married"/>
    <s v="Male"/>
    <n v="60000"/>
    <x v="0"/>
    <n v="3"/>
    <s v="Graduate Degree"/>
    <s v="Management"/>
    <s v="Yes"/>
    <n v="2"/>
    <s v="More than 10 Miles"/>
    <s v="North America"/>
    <n v="64"/>
    <s v="Seniors"/>
    <x v="0"/>
    <n v="0"/>
  </r>
  <r>
    <n v="27273"/>
    <s v="Single"/>
    <s v="Male"/>
    <n v="70000"/>
    <x v="1"/>
    <n v="3"/>
    <s v="Graduate Degree"/>
    <s v="Professional"/>
    <s v="No"/>
    <n v="0"/>
    <s v="0-1 Miles"/>
    <s v="North America"/>
    <n v="35"/>
    <s v="Adults"/>
    <x v="1"/>
    <n v="1"/>
  </r>
  <r>
    <n v="22719"/>
    <s v="Single"/>
    <s v="Male"/>
    <n v="110000"/>
    <x v="1"/>
    <n v="3"/>
    <s v="Bachelors"/>
    <s v="Management"/>
    <s v="Yes"/>
    <n v="4"/>
    <s v="2-5 Miles"/>
    <s v="North America"/>
    <n v="40"/>
    <s v="Middle-Aged"/>
    <x v="1"/>
    <n v="1"/>
  </r>
  <r>
    <n v="22042"/>
    <s v="Married"/>
    <s v="Female"/>
    <n v="70000"/>
    <x v="1"/>
    <n v="0"/>
    <s v="Partial College"/>
    <s v="Skilled Manual"/>
    <s v="Yes"/>
    <n v="2"/>
    <s v="5-10 Miles"/>
    <s v="North America"/>
    <n v="34"/>
    <s v="Adults"/>
    <x v="1"/>
    <n v="1"/>
  </r>
  <r>
    <n v="21451"/>
    <s v="Married"/>
    <s v="Female"/>
    <n v="40000"/>
    <x v="0"/>
    <n v="4"/>
    <s v="High School"/>
    <s v="Professional"/>
    <s v="Yes"/>
    <n v="2"/>
    <s v="More than 10 Miles"/>
    <s v="North America"/>
    <n v="61"/>
    <s v="Seniors"/>
    <x v="0"/>
    <n v="0"/>
  </r>
  <r>
    <n v="20754"/>
    <s v="Married"/>
    <s v="Male"/>
    <n v="30000"/>
    <x v="0"/>
    <n v="2"/>
    <s v="High School"/>
    <s v="Skilled Manual"/>
    <s v="Yes"/>
    <n v="2"/>
    <s v="1-2 Miles"/>
    <s v="North America"/>
    <n v="51"/>
    <s v="Middle-Aged"/>
    <x v="0"/>
    <n v="0"/>
  </r>
  <r>
    <n v="12153"/>
    <s v="Single"/>
    <s v="Female"/>
    <n v="70000"/>
    <x v="1"/>
    <n v="3"/>
    <s v="Partial College"/>
    <s v="Professional"/>
    <s v="Yes"/>
    <n v="1"/>
    <s v="5-10 Miles"/>
    <s v="North America"/>
    <n v="49"/>
    <s v="Middle-Aged"/>
    <x v="1"/>
    <n v="1"/>
  </r>
  <r>
    <n v="16895"/>
    <s v="Married"/>
    <s v="Female"/>
    <n v="40000"/>
    <x v="0"/>
    <n v="3"/>
    <s v="Partial College"/>
    <s v="Professional"/>
    <s v="No"/>
    <n v="2"/>
    <s v="1-2 Miles"/>
    <s v="North America"/>
    <n v="54"/>
    <s v="Middle-Aged"/>
    <x v="1"/>
    <n v="1"/>
  </r>
  <r>
    <n v="26728"/>
    <s v="Single"/>
    <s v="Male"/>
    <n v="70000"/>
    <x v="1"/>
    <n v="3"/>
    <s v="Graduate Degree"/>
    <s v="Management"/>
    <s v="No"/>
    <n v="2"/>
    <s v="1-2 Miles"/>
    <s v="North America"/>
    <n v="53"/>
    <s v="Middle-Aged"/>
    <x v="1"/>
    <n v="1"/>
  </r>
  <r>
    <n v="11090"/>
    <s v="Single"/>
    <s v="Male"/>
    <n v="90000"/>
    <x v="1"/>
    <n v="2"/>
    <s v="Partial College"/>
    <s v="Professional"/>
    <s v="Yes"/>
    <n v="1"/>
    <s v="2-5 Miles"/>
    <s v="North America"/>
    <n v="48"/>
    <s v="Middle-Aged"/>
    <x v="1"/>
    <n v="1"/>
  </r>
  <r>
    <n v="15862"/>
    <s v="Single"/>
    <s v="Female"/>
    <n v="50000"/>
    <x v="0"/>
    <n v="0"/>
    <s v="Graduate Degree"/>
    <s v="Skilled Manual"/>
    <s v="Yes"/>
    <n v="0"/>
    <s v="1-2 Miles"/>
    <s v="North America"/>
    <n v="33"/>
    <s v="Adults"/>
    <x v="1"/>
    <n v="1"/>
  </r>
  <r>
    <n v="26495"/>
    <s v="Single"/>
    <s v="Female"/>
    <n v="40000"/>
    <x v="0"/>
    <n v="2"/>
    <s v="High School"/>
    <s v="Professional"/>
    <s v="Yes"/>
    <n v="2"/>
    <s v="More than 10 Miles"/>
    <s v="North America"/>
    <n v="57"/>
    <s v="Middle-Aged"/>
    <x v="0"/>
    <n v="0"/>
  </r>
  <r>
    <n v="11823"/>
    <s v="Married"/>
    <s v="Female"/>
    <n v="70000"/>
    <x v="1"/>
    <n v="0"/>
    <s v="Graduate Degree"/>
    <s v="Professional"/>
    <s v="Yes"/>
    <n v="0"/>
    <s v="2-5 Miles"/>
    <s v="North America"/>
    <n v="39"/>
    <s v="Adults"/>
    <x v="0"/>
    <n v="0"/>
  </r>
  <r>
    <n v="23449"/>
    <s v="Married"/>
    <s v="Male"/>
    <n v="60000"/>
    <x v="0"/>
    <n v="2"/>
    <s v="High School"/>
    <s v="Professional"/>
    <s v="Yes"/>
    <n v="2"/>
    <s v="5-10 Miles"/>
    <s v="North America"/>
    <n v="48"/>
    <s v="Middle-Aged"/>
    <x v="0"/>
    <n v="0"/>
  </r>
  <r>
    <n v="23459"/>
    <s v="Married"/>
    <s v="Male"/>
    <n v="60000"/>
    <x v="0"/>
    <n v="2"/>
    <s v="High School"/>
    <s v="Professional"/>
    <s v="Yes"/>
    <n v="2"/>
    <s v="5-10 Miles"/>
    <s v="North America"/>
    <n v="50"/>
    <s v="Middle-Aged"/>
    <x v="0"/>
    <n v="0"/>
  </r>
  <r>
    <n v="19543"/>
    <s v="Married"/>
    <s v="Male"/>
    <n v="70000"/>
    <x v="1"/>
    <n v="5"/>
    <s v="Graduate Degree"/>
    <s v="Professional"/>
    <s v="No"/>
    <n v="3"/>
    <s v="More than 10 Miles"/>
    <s v="North America"/>
    <n v="47"/>
    <s v="Middle-Aged"/>
    <x v="0"/>
    <n v="0"/>
  </r>
  <r>
    <n v="14914"/>
    <s v="Married"/>
    <s v="Female"/>
    <n v="40000"/>
    <x v="0"/>
    <n v="1"/>
    <s v="Partial College"/>
    <s v="Clerical"/>
    <s v="Yes"/>
    <n v="1"/>
    <s v="1-2 Miles"/>
    <s v="North America"/>
    <n v="49"/>
    <s v="Middle-Aged"/>
    <x v="1"/>
    <n v="1"/>
  </r>
  <r>
    <n v="12033"/>
    <s v="Single"/>
    <s v="Female"/>
    <n v="40000"/>
    <x v="0"/>
    <n v="0"/>
    <s v="High School"/>
    <s v="Skilled Manual"/>
    <s v="No"/>
    <n v="2"/>
    <s v="0-1 Miles"/>
    <s v="North America"/>
    <n v="27"/>
    <s v="Young Adults"/>
    <x v="1"/>
    <n v="1"/>
  </r>
  <r>
    <n v="11941"/>
    <s v="Single"/>
    <s v="Male"/>
    <n v="60000"/>
    <x v="0"/>
    <n v="0"/>
    <s v="Partial College"/>
    <s v="Skilled Manual"/>
    <s v="Yes"/>
    <n v="0"/>
    <s v="5-10 Miles"/>
    <s v="North America"/>
    <n v="29"/>
    <s v="Young Adults"/>
    <x v="0"/>
    <n v="0"/>
  </r>
  <r>
    <n v="14389"/>
    <s v="Married"/>
    <s v="Male"/>
    <n v="60000"/>
    <x v="0"/>
    <n v="2"/>
    <s v="Bachelors"/>
    <s v="Management"/>
    <s v="Yes"/>
    <n v="0"/>
    <s v="2-5 Miles"/>
    <s v="North America"/>
    <n v="59"/>
    <s v="Middle-Aged"/>
    <x v="0"/>
    <n v="0"/>
  </r>
  <r>
    <n v="18050"/>
    <s v="Married"/>
    <s v="Female"/>
    <n v="60000"/>
    <x v="0"/>
    <n v="1"/>
    <s v="Partial College"/>
    <s v="Skilled Manual"/>
    <s v="Yes"/>
    <n v="1"/>
    <s v="0-1 Miles"/>
    <s v="North America"/>
    <n v="45"/>
    <s v="Middle-Aged"/>
    <x v="1"/>
    <n v="1"/>
  </r>
  <r>
    <n v="19856"/>
    <s v="Married"/>
    <s v="Female"/>
    <n v="60000"/>
    <x v="0"/>
    <n v="4"/>
    <s v="Bachelors"/>
    <s v="Management"/>
    <s v="Yes"/>
    <n v="2"/>
    <s v="2-5 Miles"/>
    <s v="North America"/>
    <n v="60"/>
    <s v="Seniors"/>
    <x v="0"/>
    <n v="0"/>
  </r>
  <r>
    <n v="11663"/>
    <s v="Married"/>
    <s v="Male"/>
    <n v="70000"/>
    <x v="1"/>
    <n v="4"/>
    <s v="Graduate Degree"/>
    <s v="Professional"/>
    <s v="Yes"/>
    <n v="0"/>
    <s v="0-1 Miles"/>
    <s v="North America"/>
    <n v="36"/>
    <s v="Adults"/>
    <x v="1"/>
    <n v="1"/>
  </r>
  <r>
    <n v="27740"/>
    <s v="Married"/>
    <s v="Female"/>
    <n v="40000"/>
    <x v="0"/>
    <n v="0"/>
    <s v="High School"/>
    <s v="Skilled Manual"/>
    <s v="Yes"/>
    <n v="2"/>
    <s v="5-10 Miles"/>
    <s v="North America"/>
    <n v="27"/>
    <s v="Young Adults"/>
    <x v="0"/>
    <n v="0"/>
  </r>
  <r>
    <n v="23455"/>
    <s v="Single"/>
    <s v="Male"/>
    <n v="80000"/>
    <x v="1"/>
    <n v="2"/>
    <s v="Partial High School"/>
    <s v="Skilled Manual"/>
    <s v="No"/>
    <n v="2"/>
    <s v="1-2 Miles"/>
    <s v="North America"/>
    <n v="50"/>
    <s v="Middle-Aged"/>
    <x v="0"/>
    <n v="0"/>
  </r>
  <r>
    <n v="15292"/>
    <s v="Single"/>
    <s v="Female"/>
    <n v="60000"/>
    <x v="0"/>
    <n v="1"/>
    <s v="Graduate Degree"/>
    <s v="Skilled Manual"/>
    <s v="Yes"/>
    <n v="0"/>
    <s v="1-2 Miles"/>
    <s v="North America"/>
    <n v="35"/>
    <s v="Adults"/>
    <x v="0"/>
    <n v="0"/>
  </r>
  <r>
    <n v="21587"/>
    <s v="Married"/>
    <s v="Female"/>
    <n v="60000"/>
    <x v="0"/>
    <n v="1"/>
    <s v="Graduate Degree"/>
    <s v="Skilled Manual"/>
    <s v="Yes"/>
    <n v="0"/>
    <s v="2-5 Miles"/>
    <s v="North America"/>
    <n v="34"/>
    <s v="Adults"/>
    <x v="1"/>
    <n v="1"/>
  </r>
  <r>
    <n v="23513"/>
    <s v="Married"/>
    <s v="Female"/>
    <n v="40000"/>
    <x v="0"/>
    <n v="3"/>
    <s v="Partial College"/>
    <s v="Professional"/>
    <s v="Yes"/>
    <n v="2"/>
    <s v="5-10 Miles"/>
    <s v="North America"/>
    <n v="54"/>
    <s v="Middle-Aged"/>
    <x v="0"/>
    <n v="0"/>
  </r>
  <r>
    <n v="24322"/>
    <s v="Married"/>
    <s v="Female"/>
    <n v="60000"/>
    <x v="0"/>
    <n v="4"/>
    <s v="Bachelors"/>
    <s v="Skilled Manual"/>
    <s v="No"/>
    <n v="2"/>
    <s v="0-1 Miles"/>
    <s v="North America"/>
    <n v="42"/>
    <s v="Middle-Aged"/>
    <x v="0"/>
    <n v="0"/>
  </r>
  <r>
    <n v="26298"/>
    <s v="Married"/>
    <s v="Female"/>
    <n v="50000"/>
    <x v="0"/>
    <n v="1"/>
    <s v="Bachelors"/>
    <s v="Skilled Manual"/>
    <s v="Yes"/>
    <n v="0"/>
    <s v="2-5 Miles"/>
    <s v="North America"/>
    <n v="34"/>
    <s v="Adults"/>
    <x v="1"/>
    <n v="1"/>
  </r>
  <r>
    <n v="25419"/>
    <s v="Single"/>
    <s v="Male"/>
    <n v="50000"/>
    <x v="0"/>
    <n v="2"/>
    <s v="Bachelors"/>
    <s v="Skilled Manual"/>
    <s v="No"/>
    <n v="1"/>
    <s v="0-1 Miles"/>
    <s v="North America"/>
    <n v="38"/>
    <s v="Adults"/>
    <x v="1"/>
    <n v="1"/>
  </r>
  <r>
    <n v="13343"/>
    <s v="Married"/>
    <s v="Female"/>
    <n v="90000"/>
    <x v="1"/>
    <n v="5"/>
    <s v="Bachelors"/>
    <s v="Management"/>
    <s v="Yes"/>
    <n v="2"/>
    <s v="1-2 Miles"/>
    <s v="North America"/>
    <n v="63"/>
    <s v="Seniors"/>
    <x v="1"/>
    <n v="1"/>
  </r>
  <r>
    <n v="11303"/>
    <s v="Single"/>
    <s v="Female"/>
    <n v="90000"/>
    <x v="1"/>
    <n v="4"/>
    <s v="High School"/>
    <s v="Professional"/>
    <s v="No"/>
    <n v="3"/>
    <s v="1-2 Miles"/>
    <s v="North America"/>
    <n v="45"/>
    <s v="Middle-Aged"/>
    <x v="1"/>
    <n v="1"/>
  </r>
  <r>
    <n v="21693"/>
    <s v="Single"/>
    <s v="Female"/>
    <n v="60000"/>
    <x v="0"/>
    <n v="0"/>
    <s v="Graduate Degree"/>
    <s v="Skilled Manual"/>
    <s v="No"/>
    <n v="0"/>
    <s v="0-1 Miles"/>
    <s v="North America"/>
    <n v="40"/>
    <s v="Middle-Aged"/>
    <x v="0"/>
    <n v="0"/>
  </r>
  <r>
    <n v="28056"/>
    <s v="Married"/>
    <s v="Male"/>
    <n v="70000"/>
    <x v="1"/>
    <n v="2"/>
    <s v="Partial High School"/>
    <s v="Skilled Manual"/>
    <s v="Yes"/>
    <n v="2"/>
    <s v="More than 10 Miles"/>
    <s v="North America"/>
    <n v="53"/>
    <s v="Middle-Aged"/>
    <x v="0"/>
    <n v="0"/>
  </r>
  <r>
    <n v="11788"/>
    <s v="Single"/>
    <s v="Female"/>
    <n v="70000"/>
    <x v="1"/>
    <n v="1"/>
    <s v="Graduate Degree"/>
    <s v="Professional"/>
    <s v="Yes"/>
    <n v="0"/>
    <s v="2-5 Miles"/>
    <s v="North America"/>
    <n v="34"/>
    <s v="Adults"/>
    <x v="0"/>
    <n v="0"/>
  </r>
  <r>
    <n v="22296"/>
    <s v="Married"/>
    <s v="Male"/>
    <n v="70000"/>
    <x v="1"/>
    <n v="0"/>
    <s v="Bachelors"/>
    <s v="Professional"/>
    <s v="No"/>
    <n v="1"/>
    <s v="0-1 Miles"/>
    <s v="North America"/>
    <n v="38"/>
    <s v="Adults"/>
    <x v="0"/>
    <n v="0"/>
  </r>
  <r>
    <n v="15319"/>
    <s v="Married"/>
    <s v="Female"/>
    <n v="70000"/>
    <x v="1"/>
    <n v="4"/>
    <s v="Bachelors"/>
    <s v="Management"/>
    <s v="No"/>
    <n v="1"/>
    <s v="1-2 Miles"/>
    <s v="North America"/>
    <n v="59"/>
    <s v="Middle-Aged"/>
    <x v="0"/>
    <n v="0"/>
  </r>
  <r>
    <n v="17654"/>
    <s v="Single"/>
    <s v="Female"/>
    <n v="40000"/>
    <x v="0"/>
    <n v="3"/>
    <s v="Partial College"/>
    <s v="Clerical"/>
    <s v="Yes"/>
    <n v="1"/>
    <s v="1-2 Miles"/>
    <s v="North America"/>
    <n v="30"/>
    <s v="Adults"/>
    <x v="1"/>
    <n v="1"/>
  </r>
  <r>
    <n v="14662"/>
    <s v="Married"/>
    <s v="Male"/>
    <n v="60000"/>
    <x v="0"/>
    <n v="1"/>
    <s v="Bachelors"/>
    <s v="Professional"/>
    <s v="Yes"/>
    <n v="1"/>
    <s v="0-1 Miles"/>
    <s v="North America"/>
    <n v="48"/>
    <s v="Middle-Aged"/>
    <x v="1"/>
    <n v="1"/>
  </r>
  <r>
    <n v="17541"/>
    <s v="Married"/>
    <s v="Female"/>
    <n v="40000"/>
    <x v="0"/>
    <n v="4"/>
    <s v="High School"/>
    <s v="Skilled Manual"/>
    <s v="Yes"/>
    <n v="2"/>
    <s v="2-5 Miles"/>
    <s v="North America"/>
    <n v="43"/>
    <s v="Middle-Aged"/>
    <x v="0"/>
    <n v="0"/>
  </r>
  <r>
    <n v="13886"/>
    <s v="Married"/>
    <s v="Female"/>
    <n v="70000"/>
    <x v="1"/>
    <n v="4"/>
    <s v="Graduate Degree"/>
    <s v="Professional"/>
    <s v="Yes"/>
    <n v="0"/>
    <s v="2-5 Miles"/>
    <s v="North America"/>
    <n v="35"/>
    <s v="Adults"/>
    <x v="1"/>
    <n v="1"/>
  </r>
  <r>
    <n v="13073"/>
    <s v="Married"/>
    <s v="Female"/>
    <n v="60000"/>
    <x v="0"/>
    <n v="0"/>
    <s v="Partial College"/>
    <s v="Professional"/>
    <s v="Yes"/>
    <n v="2"/>
    <s v="5-10 Miles"/>
    <s v="North America"/>
    <n v="30"/>
    <s v="Adults"/>
    <x v="0"/>
    <n v="0"/>
  </r>
  <r>
    <n v="21940"/>
    <s v="Married"/>
    <s v="Male"/>
    <n v="90000"/>
    <x v="1"/>
    <n v="5"/>
    <s v="Graduate Degree"/>
    <s v="Professional"/>
    <s v="Yes"/>
    <n v="0"/>
    <s v="0-1 Miles"/>
    <s v="North America"/>
    <n v="47"/>
    <s v="Middle-Aged"/>
    <x v="1"/>
    <n v="1"/>
  </r>
  <r>
    <n v="20196"/>
    <s v="Married"/>
    <s v="Male"/>
    <n v="60000"/>
    <x v="0"/>
    <n v="1"/>
    <s v="Partial College"/>
    <s v="Skilled Manual"/>
    <s v="Yes"/>
    <n v="1"/>
    <s v="2-5 Miles"/>
    <s v="North America"/>
    <n v="45"/>
    <s v="Middle-Aged"/>
    <x v="1"/>
    <n v="1"/>
  </r>
  <r>
    <n v="23491"/>
    <s v="Single"/>
    <s v="Male"/>
    <n v="100000"/>
    <x v="1"/>
    <n v="0"/>
    <s v="Partial College"/>
    <s v="Professional"/>
    <s v="No"/>
    <n v="4"/>
    <s v="1-2 Miles"/>
    <s v="North America"/>
    <n v="45"/>
    <s v="Middle-Aged"/>
    <x v="0"/>
    <n v="0"/>
  </r>
  <r>
    <n v="16651"/>
    <s v="Married"/>
    <s v="Female"/>
    <n v="120000"/>
    <x v="1"/>
    <n v="2"/>
    <s v="Bachelors"/>
    <s v="Management"/>
    <s v="Yes"/>
    <n v="3"/>
    <s v="5-10 Miles"/>
    <s v="North America"/>
    <n v="62"/>
    <s v="Seniors"/>
    <x v="0"/>
    <n v="0"/>
  </r>
  <r>
    <n v="16813"/>
    <s v="Married"/>
    <s v="Male"/>
    <n v="60000"/>
    <x v="0"/>
    <n v="2"/>
    <s v="Partial College"/>
    <s v="Professional"/>
    <s v="Yes"/>
    <n v="2"/>
    <s v="More than 10 Miles"/>
    <s v="North America"/>
    <n v="55"/>
    <s v="Middle-Aged"/>
    <x v="0"/>
    <n v="0"/>
  </r>
  <r>
    <n v="16007"/>
    <s v="Married"/>
    <s v="Female"/>
    <n v="90000"/>
    <x v="1"/>
    <n v="5"/>
    <s v="Bachelors"/>
    <s v="Management"/>
    <s v="Yes"/>
    <n v="2"/>
    <s v="1-2 Miles"/>
    <s v="North America"/>
    <n v="66"/>
    <s v="Seniors"/>
    <x v="1"/>
    <n v="1"/>
  </r>
  <r>
    <n v="27434"/>
    <s v="Single"/>
    <s v="Male"/>
    <n v="70000"/>
    <x v="1"/>
    <n v="4"/>
    <s v="Partial College"/>
    <s v="Professional"/>
    <s v="Yes"/>
    <n v="1"/>
    <s v="More than 10 Miles"/>
    <s v="North America"/>
    <n v="56"/>
    <s v="Middle-Aged"/>
    <x v="0"/>
    <n v="0"/>
  </r>
  <r>
    <n v="27756"/>
    <s v="Single"/>
    <s v="Female"/>
    <n v="50000"/>
    <x v="0"/>
    <n v="3"/>
    <s v="Bachelors"/>
    <s v="Skilled Manual"/>
    <s v="No"/>
    <n v="1"/>
    <s v="0-1 Miles"/>
    <s v="North America"/>
    <n v="40"/>
    <s v="Middle-Aged"/>
    <x v="0"/>
    <n v="0"/>
  </r>
  <r>
    <n v="23818"/>
    <s v="Married"/>
    <s v="Female"/>
    <n v="50000"/>
    <x v="0"/>
    <n v="0"/>
    <s v="Graduate Degree"/>
    <s v="Skilled Manual"/>
    <s v="Yes"/>
    <n v="0"/>
    <s v="1-2 Miles"/>
    <s v="North America"/>
    <n v="33"/>
    <s v="Adults"/>
    <x v="1"/>
    <n v="1"/>
  </r>
  <r>
    <n v="19012"/>
    <s v="Married"/>
    <s v="Male"/>
    <n v="80000"/>
    <x v="1"/>
    <n v="3"/>
    <s v="Bachelors"/>
    <s v="Management"/>
    <s v="Yes"/>
    <n v="1"/>
    <s v="1-2 Miles"/>
    <s v="North America"/>
    <n v="56"/>
    <s v="Middle-Aged"/>
    <x v="0"/>
    <n v="0"/>
  </r>
  <r>
    <n v="18329"/>
    <s v="Single"/>
    <s v="Male"/>
    <n v="30000"/>
    <x v="0"/>
    <n v="0"/>
    <s v="Partial High School"/>
    <s v="Clerical"/>
    <s v="No"/>
    <n v="2"/>
    <s v="5-10 Miles"/>
    <s v="North America"/>
    <n v="27"/>
    <s v="Young Adults"/>
    <x v="0"/>
    <n v="0"/>
  </r>
  <r>
    <n v="29037"/>
    <s v="Married"/>
    <s v="Male"/>
    <n v="60000"/>
    <x v="0"/>
    <n v="0"/>
    <s v="Graduate Degree"/>
    <s v="Professional"/>
    <s v="No"/>
    <n v="0"/>
    <s v="0-1 Miles"/>
    <s v="North America"/>
    <n v="39"/>
    <s v="Adults"/>
    <x v="0"/>
    <n v="0"/>
  </r>
  <r>
    <n v="26576"/>
    <s v="Married"/>
    <s v="Female"/>
    <n v="60000"/>
    <x v="0"/>
    <n v="0"/>
    <s v="Partial College"/>
    <s v="Skilled Manual"/>
    <s v="Yes"/>
    <n v="2"/>
    <s v="5-10 Miles"/>
    <s v="North America"/>
    <n v="31"/>
    <s v="Adults"/>
    <x v="0"/>
    <n v="0"/>
  </r>
  <r>
    <n v="12192"/>
    <s v="Single"/>
    <s v="Female"/>
    <n v="60000"/>
    <x v="0"/>
    <n v="2"/>
    <s v="Partial High School"/>
    <s v="Skilled Manual"/>
    <s v="No"/>
    <n v="2"/>
    <s v="1-2 Miles"/>
    <s v="North America"/>
    <n v="51"/>
    <s v="Middle-Aged"/>
    <x v="0"/>
    <n v="0"/>
  </r>
  <r>
    <n v="14887"/>
    <s v="Married"/>
    <s v="Female"/>
    <n v="30000"/>
    <x v="0"/>
    <n v="1"/>
    <s v="High School"/>
    <s v="Clerical"/>
    <s v="Yes"/>
    <n v="1"/>
    <s v="5-10 Miles"/>
    <s v="North America"/>
    <n v="52"/>
    <s v="Middle-Aged"/>
    <x v="0"/>
    <n v="0"/>
  </r>
  <r>
    <n v="11734"/>
    <s v="Married"/>
    <s v="Male"/>
    <n v="60000"/>
    <x v="0"/>
    <n v="1"/>
    <s v="Partial College"/>
    <s v="Skilled Manual"/>
    <s v="No"/>
    <n v="1"/>
    <s v="0-1 Miles"/>
    <s v="North America"/>
    <n v="47"/>
    <s v="Middle-Aged"/>
    <x v="0"/>
    <n v="0"/>
  </r>
  <r>
    <n v="17462"/>
    <s v="Married"/>
    <s v="Male"/>
    <n v="70000"/>
    <x v="1"/>
    <n v="3"/>
    <s v="Graduate Degree"/>
    <s v="Management"/>
    <s v="Yes"/>
    <n v="2"/>
    <s v="5-10 Miles"/>
    <s v="North America"/>
    <n v="53"/>
    <s v="Middle-Aged"/>
    <x v="1"/>
    <n v="1"/>
  </r>
  <r>
    <n v="20659"/>
    <s v="Married"/>
    <s v="Male"/>
    <n v="70000"/>
    <x v="1"/>
    <n v="3"/>
    <s v="Graduate Degree"/>
    <s v="Professional"/>
    <s v="Yes"/>
    <n v="0"/>
    <s v="0-1 Miles"/>
    <s v="North America"/>
    <n v="35"/>
    <s v="Adults"/>
    <x v="1"/>
    <n v="1"/>
  </r>
  <r>
    <n v="28004"/>
    <s v="Married"/>
    <s v="Female"/>
    <n v="60000"/>
    <x v="0"/>
    <n v="3"/>
    <s v="Bachelors"/>
    <s v="Management"/>
    <s v="Yes"/>
    <n v="2"/>
    <s v="More than 10 Miles"/>
    <s v="North America"/>
    <n v="66"/>
    <s v="Seniors"/>
    <x v="0"/>
    <n v="0"/>
  </r>
  <r>
    <n v="19741"/>
    <s v="Single"/>
    <s v="Female"/>
    <n v="80000"/>
    <x v="1"/>
    <n v="4"/>
    <s v="Graduate Degree"/>
    <s v="Management"/>
    <s v="Yes"/>
    <n v="2"/>
    <s v="5-10 Miles"/>
    <s v="North America"/>
    <n v="65"/>
    <s v="Seniors"/>
    <x v="0"/>
    <n v="0"/>
  </r>
  <r>
    <n v="17450"/>
    <s v="Married"/>
    <s v="Male"/>
    <n v="80000"/>
    <x v="1"/>
    <n v="5"/>
    <s v="Partial College"/>
    <s v="Professional"/>
    <s v="Yes"/>
    <n v="3"/>
    <s v="5-10 Miles"/>
    <s v="North America"/>
    <n v="45"/>
    <s v="Middle-Aged"/>
    <x v="0"/>
    <n v="0"/>
  </r>
  <r>
    <n v="17337"/>
    <s v="Single"/>
    <s v="Male"/>
    <n v="40000"/>
    <x v="0"/>
    <n v="0"/>
    <s v="High School"/>
    <s v="Skilled Manual"/>
    <s v="Yes"/>
    <n v="1"/>
    <s v="5-10 Miles"/>
    <s v="North America"/>
    <n v="31"/>
    <s v="Adults"/>
    <x v="0"/>
    <n v="0"/>
  </r>
  <r>
    <n v="18594"/>
    <s v="Single"/>
    <s v="Female"/>
    <n v="80000"/>
    <x v="1"/>
    <n v="3"/>
    <s v="Bachelors"/>
    <s v="Skilled Manual"/>
    <s v="Yes"/>
    <n v="3"/>
    <s v="More than 10 Miles"/>
    <s v="North America"/>
    <n v="40"/>
    <s v="Middle-Aged"/>
    <x v="1"/>
    <n v="1"/>
  </r>
  <r>
    <n v="15982"/>
    <s v="Married"/>
    <s v="Male"/>
    <n v="110000"/>
    <x v="1"/>
    <n v="5"/>
    <s v="Partial College"/>
    <s v="Professional"/>
    <s v="Yes"/>
    <n v="4"/>
    <s v="2-5 Miles"/>
    <s v="North America"/>
    <n v="46"/>
    <s v="Middle-Aged"/>
    <x v="0"/>
    <n v="0"/>
  </r>
  <r>
    <n v="28625"/>
    <s v="Single"/>
    <s v="Male"/>
    <n v="40000"/>
    <x v="0"/>
    <n v="2"/>
    <s v="Partial College"/>
    <s v="Clerical"/>
    <s v="No"/>
    <n v="1"/>
    <s v="1-2 Miles"/>
    <s v="North America"/>
    <n v="47"/>
    <s v="Middle-Aged"/>
    <x v="1"/>
    <n v="1"/>
  </r>
  <r>
    <n v="11269"/>
    <s v="Married"/>
    <s v="Male"/>
    <n v="130000"/>
    <x v="2"/>
    <n v="2"/>
    <s v="Graduate Degree"/>
    <s v="Management"/>
    <s v="Yes"/>
    <n v="2"/>
    <s v="0-1 Miles"/>
    <s v="North America"/>
    <n v="41"/>
    <s v="Middle-Aged"/>
    <x v="0"/>
    <n v="0"/>
  </r>
  <r>
    <n v="25148"/>
    <s v="Married"/>
    <s v="Male"/>
    <n v="60000"/>
    <x v="0"/>
    <n v="2"/>
    <s v="High School"/>
    <s v="Professional"/>
    <s v="No"/>
    <n v="2"/>
    <s v="1-2 Miles"/>
    <s v="North America"/>
    <n v="48"/>
    <s v="Middle-Aged"/>
    <x v="1"/>
    <n v="1"/>
  </r>
  <r>
    <n v="13920"/>
    <s v="Single"/>
    <s v="Female"/>
    <n v="50000"/>
    <x v="0"/>
    <n v="4"/>
    <s v="Bachelors"/>
    <s v="Skilled Manual"/>
    <s v="Yes"/>
    <n v="2"/>
    <s v="0-1 Miles"/>
    <s v="North America"/>
    <n v="42"/>
    <s v="Middle-Aged"/>
    <x v="0"/>
    <n v="0"/>
  </r>
  <r>
    <n v="23704"/>
    <s v="Single"/>
    <s v="Male"/>
    <n v="40000"/>
    <x v="0"/>
    <n v="5"/>
    <s v="High School"/>
    <s v="Professional"/>
    <s v="Yes"/>
    <n v="4"/>
    <s v="More than 10 Miles"/>
    <s v="North America"/>
    <n v="60"/>
    <s v="Seniors"/>
    <x v="1"/>
    <n v="1"/>
  </r>
  <r>
    <n v="28972"/>
    <s v="Single"/>
    <s v="Female"/>
    <n v="60000"/>
    <x v="0"/>
    <n v="3"/>
    <s v="Graduate Degree"/>
    <s v="Management"/>
    <s v="Yes"/>
    <n v="2"/>
    <s v="More than 10 Miles"/>
    <s v="North America"/>
    <n v="66"/>
    <s v="Seniors"/>
    <x v="0"/>
    <n v="0"/>
  </r>
  <r>
    <n v="22730"/>
    <s v="Married"/>
    <s v="Male"/>
    <n v="70000"/>
    <x v="1"/>
    <n v="5"/>
    <s v="Bachelors"/>
    <s v="Management"/>
    <s v="Yes"/>
    <n v="2"/>
    <s v="More than 10 Miles"/>
    <s v="North America"/>
    <n v="63"/>
    <s v="Seniors"/>
    <x v="0"/>
    <n v="0"/>
  </r>
  <r>
    <n v="29134"/>
    <s v="Married"/>
    <s v="Male"/>
    <n v="60000"/>
    <x v="0"/>
    <n v="4"/>
    <s v="Bachelors"/>
    <s v="Skilled Manual"/>
    <s v="No"/>
    <n v="3"/>
    <s v="More than 10 Miles"/>
    <s v="North America"/>
    <n v="42"/>
    <s v="Middle-Aged"/>
    <x v="0"/>
    <n v="0"/>
  </r>
  <r>
    <n v="14332"/>
    <s v="Single"/>
    <s v="Female"/>
    <n v="30000"/>
    <x v="0"/>
    <n v="0"/>
    <s v="High School"/>
    <s v="Skilled Manual"/>
    <s v="No"/>
    <n v="2"/>
    <s v="5-10 Miles"/>
    <s v="North America"/>
    <n v="26"/>
    <s v="Young Adults"/>
    <x v="0"/>
    <n v="0"/>
  </r>
  <r>
    <n v="19117"/>
    <s v="Single"/>
    <s v="Female"/>
    <n v="60000"/>
    <x v="0"/>
    <n v="1"/>
    <s v="Graduate Degree"/>
    <s v="Professional"/>
    <s v="Yes"/>
    <n v="0"/>
    <s v="2-5 Miles"/>
    <s v="North America"/>
    <n v="36"/>
    <s v="Adults"/>
    <x v="1"/>
    <n v="1"/>
  </r>
  <r>
    <n v="22864"/>
    <s v="Married"/>
    <s v="Male"/>
    <n v="90000"/>
    <x v="1"/>
    <n v="2"/>
    <s v="Partial College"/>
    <s v="Professional"/>
    <s v="No"/>
    <n v="0"/>
    <s v="5-10 Miles"/>
    <s v="North America"/>
    <n v="49"/>
    <s v="Middle-Aged"/>
    <x v="1"/>
    <n v="1"/>
  </r>
  <r>
    <n v="11292"/>
    <s v="Single"/>
    <s v="Male"/>
    <n v="150000"/>
    <x v="2"/>
    <n v="1"/>
    <s v="Partial College"/>
    <s v="Professional"/>
    <s v="No"/>
    <n v="3"/>
    <s v="0-1 Miles"/>
    <s v="North America"/>
    <n v="44"/>
    <s v="Middle-Aged"/>
    <x v="1"/>
    <n v="1"/>
  </r>
  <r>
    <n v="13466"/>
    <s v="Married"/>
    <s v="Male"/>
    <n v="80000"/>
    <x v="1"/>
    <n v="5"/>
    <s v="Partial College"/>
    <s v="Professional"/>
    <s v="Yes"/>
    <n v="3"/>
    <s v="1-2 Miles"/>
    <s v="North America"/>
    <n v="46"/>
    <s v="Middle-Aged"/>
    <x v="0"/>
    <n v="0"/>
  </r>
  <r>
    <n v="23731"/>
    <s v="Married"/>
    <s v="Male"/>
    <n v="60000"/>
    <x v="0"/>
    <n v="2"/>
    <s v="High School"/>
    <s v="Professional"/>
    <s v="Yes"/>
    <n v="2"/>
    <s v="2-5 Miles"/>
    <s v="North America"/>
    <n v="54"/>
    <s v="Middle-Aged"/>
    <x v="1"/>
    <n v="1"/>
  </r>
  <r>
    <n v="28672"/>
    <s v="Single"/>
    <s v="Male"/>
    <n v="70000"/>
    <x v="1"/>
    <n v="4"/>
    <s v="Graduate Degree"/>
    <s v="Professional"/>
    <s v="Yes"/>
    <n v="0"/>
    <s v="2-5 Miles"/>
    <s v="North America"/>
    <n v="35"/>
    <s v="Adults"/>
    <x v="1"/>
    <n v="1"/>
  </r>
  <r>
    <n v="11809"/>
    <s v="Married"/>
    <s v="Male"/>
    <n v="60000"/>
    <x v="0"/>
    <n v="2"/>
    <s v="Bachelors"/>
    <s v="Skilled Manual"/>
    <s v="Yes"/>
    <n v="0"/>
    <s v="0-1 Miles"/>
    <s v="North America"/>
    <n v="38"/>
    <s v="Adults"/>
    <x v="1"/>
    <n v="1"/>
  </r>
  <r>
    <n v="19664"/>
    <s v="Single"/>
    <s v="Male"/>
    <n v="100000"/>
    <x v="1"/>
    <n v="3"/>
    <s v="Bachelors"/>
    <s v="Management"/>
    <s v="No"/>
    <n v="3"/>
    <s v="1-2 Miles"/>
    <s v="North America"/>
    <n v="38"/>
    <s v="Adults"/>
    <x v="0"/>
    <n v="0"/>
  </r>
  <r>
    <n v="12121"/>
    <s v="Single"/>
    <s v="Male"/>
    <n v="60000"/>
    <x v="0"/>
    <n v="3"/>
    <s v="High School"/>
    <s v="Professional"/>
    <s v="Yes"/>
    <n v="2"/>
    <s v="More than 10 Miles"/>
    <s v="North America"/>
    <n v="53"/>
    <s v="Middle-Aged"/>
    <x v="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s v="Low Income"/>
    <x v="0"/>
    <x v="0"/>
    <x v="0"/>
    <s v="Yes"/>
    <n v="0"/>
    <x v="0"/>
    <x v="0"/>
    <n v="42"/>
    <x v="0"/>
    <x v="0"/>
  </r>
  <r>
    <n v="24107"/>
    <x v="0"/>
    <x v="1"/>
    <n v="30000"/>
    <s v="Low Income"/>
    <x v="1"/>
    <x v="1"/>
    <x v="1"/>
    <s v="Yes"/>
    <n v="1"/>
    <x v="0"/>
    <x v="0"/>
    <n v="43"/>
    <x v="0"/>
    <x v="0"/>
  </r>
  <r>
    <n v="14177"/>
    <x v="0"/>
    <x v="1"/>
    <n v="80000"/>
    <s v="Medium Income"/>
    <x v="2"/>
    <x v="1"/>
    <x v="2"/>
    <s v="No"/>
    <n v="2"/>
    <x v="1"/>
    <x v="0"/>
    <n v="60"/>
    <x v="1"/>
    <x v="0"/>
  </r>
  <r>
    <n v="24381"/>
    <x v="1"/>
    <x v="1"/>
    <n v="70000"/>
    <s v="Medium Income"/>
    <x v="3"/>
    <x v="0"/>
    <x v="2"/>
    <s v="Yes"/>
    <n v="1"/>
    <x v="2"/>
    <x v="1"/>
    <n v="41"/>
    <x v="0"/>
    <x v="1"/>
  </r>
  <r>
    <n v="25597"/>
    <x v="1"/>
    <x v="1"/>
    <n v="30000"/>
    <s v="Low Income"/>
    <x v="3"/>
    <x v="0"/>
    <x v="1"/>
    <s v="No"/>
    <n v="0"/>
    <x v="0"/>
    <x v="0"/>
    <n v="36"/>
    <x v="2"/>
    <x v="1"/>
  </r>
  <r>
    <n v="13507"/>
    <x v="0"/>
    <x v="0"/>
    <n v="10000"/>
    <s v="Low Income"/>
    <x v="4"/>
    <x v="1"/>
    <x v="3"/>
    <s v="Yes"/>
    <n v="0"/>
    <x v="3"/>
    <x v="0"/>
    <n v="50"/>
    <x v="0"/>
    <x v="0"/>
  </r>
  <r>
    <n v="27974"/>
    <x v="1"/>
    <x v="1"/>
    <n v="160000"/>
    <s v="High Income"/>
    <x v="4"/>
    <x v="2"/>
    <x v="4"/>
    <s v="Yes"/>
    <n v="4"/>
    <x v="0"/>
    <x v="1"/>
    <n v="33"/>
    <x v="2"/>
    <x v="1"/>
  </r>
  <r>
    <n v="19364"/>
    <x v="0"/>
    <x v="1"/>
    <n v="40000"/>
    <s v="Low Income"/>
    <x v="0"/>
    <x v="0"/>
    <x v="0"/>
    <s v="Yes"/>
    <n v="0"/>
    <x v="0"/>
    <x v="0"/>
    <n v="43"/>
    <x v="0"/>
    <x v="1"/>
  </r>
  <r>
    <n v="22155"/>
    <x v="0"/>
    <x v="1"/>
    <n v="20000"/>
    <s v="Low Income"/>
    <x v="4"/>
    <x v="3"/>
    <x v="1"/>
    <s v="Yes"/>
    <n v="2"/>
    <x v="2"/>
    <x v="1"/>
    <n v="58"/>
    <x v="0"/>
    <x v="0"/>
  </r>
  <r>
    <n v="19280"/>
    <x v="0"/>
    <x v="1"/>
    <n v="120000"/>
    <s v="Medium Income"/>
    <x v="4"/>
    <x v="1"/>
    <x v="3"/>
    <s v="Yes"/>
    <n v="1"/>
    <x v="0"/>
    <x v="0"/>
    <n v="40"/>
    <x v="0"/>
    <x v="1"/>
  </r>
  <r>
    <n v="22173"/>
    <x v="0"/>
    <x v="0"/>
    <n v="30000"/>
    <s v="Low Income"/>
    <x v="1"/>
    <x v="2"/>
    <x v="0"/>
    <s v="No"/>
    <n v="2"/>
    <x v="3"/>
    <x v="1"/>
    <n v="54"/>
    <x v="0"/>
    <x v="1"/>
  </r>
  <r>
    <n v="12697"/>
    <x v="1"/>
    <x v="0"/>
    <n v="90000"/>
    <s v="Medium Income"/>
    <x v="3"/>
    <x v="0"/>
    <x v="2"/>
    <s v="No"/>
    <n v="4"/>
    <x v="4"/>
    <x v="1"/>
    <n v="36"/>
    <x v="2"/>
    <x v="0"/>
  </r>
  <r>
    <n v="11434"/>
    <x v="0"/>
    <x v="1"/>
    <n v="170000"/>
    <s v="High Income"/>
    <x v="2"/>
    <x v="1"/>
    <x v="2"/>
    <s v="Yes"/>
    <n v="0"/>
    <x v="0"/>
    <x v="0"/>
    <n v="55"/>
    <x v="0"/>
    <x v="0"/>
  </r>
  <r>
    <n v="25323"/>
    <x v="0"/>
    <x v="1"/>
    <n v="40000"/>
    <s v="Low Income"/>
    <x v="4"/>
    <x v="1"/>
    <x v="1"/>
    <s v="Yes"/>
    <n v="1"/>
    <x v="3"/>
    <x v="0"/>
    <n v="35"/>
    <x v="2"/>
    <x v="1"/>
  </r>
  <r>
    <n v="23542"/>
    <x v="1"/>
    <x v="1"/>
    <n v="60000"/>
    <s v="Low Income"/>
    <x v="0"/>
    <x v="1"/>
    <x v="0"/>
    <s v="No"/>
    <n v="1"/>
    <x v="0"/>
    <x v="1"/>
    <n v="45"/>
    <x v="0"/>
    <x v="1"/>
  </r>
  <r>
    <n v="20870"/>
    <x v="1"/>
    <x v="0"/>
    <n v="10000"/>
    <s v="Low Income"/>
    <x v="4"/>
    <x v="2"/>
    <x v="3"/>
    <s v="Yes"/>
    <n v="1"/>
    <x v="0"/>
    <x v="0"/>
    <n v="38"/>
    <x v="2"/>
    <x v="1"/>
  </r>
  <r>
    <n v="23316"/>
    <x v="1"/>
    <x v="1"/>
    <n v="30000"/>
    <s v="Low Income"/>
    <x v="1"/>
    <x v="1"/>
    <x v="1"/>
    <s v="No"/>
    <n v="2"/>
    <x v="3"/>
    <x v="1"/>
    <n v="59"/>
    <x v="0"/>
    <x v="1"/>
  </r>
  <r>
    <n v="12610"/>
    <x v="0"/>
    <x v="0"/>
    <n v="30000"/>
    <s v="Low Income"/>
    <x v="0"/>
    <x v="0"/>
    <x v="1"/>
    <s v="Yes"/>
    <n v="0"/>
    <x v="0"/>
    <x v="0"/>
    <n v="47"/>
    <x v="0"/>
    <x v="0"/>
  </r>
  <r>
    <n v="27183"/>
    <x v="1"/>
    <x v="1"/>
    <n v="40000"/>
    <s v="Low Income"/>
    <x v="4"/>
    <x v="1"/>
    <x v="1"/>
    <s v="Yes"/>
    <n v="1"/>
    <x v="3"/>
    <x v="0"/>
    <n v="35"/>
    <x v="2"/>
    <x v="1"/>
  </r>
  <r>
    <n v="25940"/>
    <x v="1"/>
    <x v="1"/>
    <n v="20000"/>
    <s v="Low Income"/>
    <x v="4"/>
    <x v="3"/>
    <x v="1"/>
    <s v="Yes"/>
    <n v="2"/>
    <x v="2"/>
    <x v="1"/>
    <n v="55"/>
    <x v="0"/>
    <x v="1"/>
  </r>
  <r>
    <n v="25598"/>
    <x v="0"/>
    <x v="0"/>
    <n v="40000"/>
    <s v="Low Income"/>
    <x v="3"/>
    <x v="4"/>
    <x v="1"/>
    <s v="Yes"/>
    <n v="0"/>
    <x v="0"/>
    <x v="0"/>
    <n v="36"/>
    <x v="2"/>
    <x v="1"/>
  </r>
  <r>
    <n v="21564"/>
    <x v="1"/>
    <x v="0"/>
    <n v="80000"/>
    <s v="Medium Income"/>
    <x v="3"/>
    <x v="0"/>
    <x v="2"/>
    <s v="Yes"/>
    <n v="4"/>
    <x v="4"/>
    <x v="1"/>
    <n v="35"/>
    <x v="2"/>
    <x v="0"/>
  </r>
  <r>
    <n v="19193"/>
    <x v="1"/>
    <x v="1"/>
    <n v="40000"/>
    <s v="Low Income"/>
    <x v="4"/>
    <x v="1"/>
    <x v="1"/>
    <s v="Yes"/>
    <n v="0"/>
    <x v="3"/>
    <x v="0"/>
    <n v="35"/>
    <x v="2"/>
    <x v="1"/>
  </r>
  <r>
    <n v="26412"/>
    <x v="0"/>
    <x v="0"/>
    <n v="80000"/>
    <s v="Medium Income"/>
    <x v="2"/>
    <x v="2"/>
    <x v="4"/>
    <s v="No"/>
    <n v="3"/>
    <x v="2"/>
    <x v="0"/>
    <n v="56"/>
    <x v="0"/>
    <x v="0"/>
  </r>
  <r>
    <n v="27184"/>
    <x v="1"/>
    <x v="1"/>
    <n v="40000"/>
    <s v="Low Income"/>
    <x v="4"/>
    <x v="1"/>
    <x v="1"/>
    <s v="No"/>
    <n v="1"/>
    <x v="0"/>
    <x v="0"/>
    <n v="34"/>
    <x v="2"/>
    <x v="0"/>
  </r>
  <r>
    <n v="12590"/>
    <x v="1"/>
    <x v="1"/>
    <n v="30000"/>
    <s v="Low Income"/>
    <x v="0"/>
    <x v="0"/>
    <x v="1"/>
    <s v="Yes"/>
    <n v="0"/>
    <x v="0"/>
    <x v="0"/>
    <n v="63"/>
    <x v="1"/>
    <x v="0"/>
  </r>
  <r>
    <n v="17841"/>
    <x v="1"/>
    <x v="1"/>
    <n v="30000"/>
    <s v="Low Income"/>
    <x v="3"/>
    <x v="1"/>
    <x v="1"/>
    <s v="No"/>
    <n v="1"/>
    <x v="0"/>
    <x v="0"/>
    <n v="29"/>
    <x v="3"/>
    <x v="1"/>
  </r>
  <r>
    <n v="18283"/>
    <x v="1"/>
    <x v="0"/>
    <n v="100000"/>
    <s v="Medium Income"/>
    <x v="3"/>
    <x v="0"/>
    <x v="2"/>
    <s v="No"/>
    <n v="1"/>
    <x v="2"/>
    <x v="1"/>
    <n v="40"/>
    <x v="0"/>
    <x v="0"/>
  </r>
  <r>
    <n v="18299"/>
    <x v="0"/>
    <x v="1"/>
    <n v="70000"/>
    <s v="Medium Income"/>
    <x v="2"/>
    <x v="1"/>
    <x v="0"/>
    <s v="Yes"/>
    <n v="2"/>
    <x v="2"/>
    <x v="1"/>
    <n v="44"/>
    <x v="0"/>
    <x v="0"/>
  </r>
  <r>
    <n v="16466"/>
    <x v="1"/>
    <x v="0"/>
    <n v="20000"/>
    <s v="Low Income"/>
    <x v="3"/>
    <x v="3"/>
    <x v="3"/>
    <s v="No"/>
    <n v="2"/>
    <x v="0"/>
    <x v="0"/>
    <n v="32"/>
    <x v="2"/>
    <x v="1"/>
  </r>
  <r>
    <n v="19273"/>
    <x v="0"/>
    <x v="0"/>
    <n v="20000"/>
    <s v="Low Income"/>
    <x v="4"/>
    <x v="1"/>
    <x v="3"/>
    <s v="Yes"/>
    <n v="0"/>
    <x v="0"/>
    <x v="0"/>
    <n v="63"/>
    <x v="1"/>
    <x v="0"/>
  </r>
  <r>
    <n v="22400"/>
    <x v="0"/>
    <x v="1"/>
    <n v="10000"/>
    <s v="Low Income"/>
    <x v="3"/>
    <x v="1"/>
    <x v="3"/>
    <s v="No"/>
    <n v="1"/>
    <x v="0"/>
    <x v="1"/>
    <n v="26"/>
    <x v="3"/>
    <x v="1"/>
  </r>
  <r>
    <n v="20942"/>
    <x v="1"/>
    <x v="0"/>
    <n v="20000"/>
    <s v="Low Income"/>
    <x v="3"/>
    <x v="2"/>
    <x v="3"/>
    <s v="No"/>
    <n v="1"/>
    <x v="2"/>
    <x v="0"/>
    <n v="31"/>
    <x v="2"/>
    <x v="0"/>
  </r>
  <r>
    <n v="18484"/>
    <x v="1"/>
    <x v="1"/>
    <n v="80000"/>
    <s v="Medium Income"/>
    <x v="4"/>
    <x v="2"/>
    <x v="0"/>
    <s v="No"/>
    <n v="2"/>
    <x v="3"/>
    <x v="1"/>
    <n v="50"/>
    <x v="0"/>
    <x v="1"/>
  </r>
  <r>
    <n v="12291"/>
    <x v="1"/>
    <x v="1"/>
    <n v="90000"/>
    <s v="Medium Income"/>
    <x v="2"/>
    <x v="1"/>
    <x v="2"/>
    <s v="No"/>
    <n v="2"/>
    <x v="1"/>
    <x v="0"/>
    <n v="62"/>
    <x v="1"/>
    <x v="1"/>
  </r>
  <r>
    <n v="28380"/>
    <x v="1"/>
    <x v="0"/>
    <n v="10000"/>
    <s v="Low Income"/>
    <x v="2"/>
    <x v="3"/>
    <x v="3"/>
    <s v="No"/>
    <n v="2"/>
    <x v="0"/>
    <x v="0"/>
    <n v="41"/>
    <x v="0"/>
    <x v="0"/>
  </r>
  <r>
    <n v="17891"/>
    <x v="0"/>
    <x v="0"/>
    <n v="10000"/>
    <s v="Low Income"/>
    <x v="4"/>
    <x v="1"/>
    <x v="3"/>
    <s v="Yes"/>
    <n v="1"/>
    <x v="0"/>
    <x v="0"/>
    <n v="50"/>
    <x v="0"/>
    <x v="1"/>
  </r>
  <r>
    <n v="27832"/>
    <x v="1"/>
    <x v="0"/>
    <n v="30000"/>
    <s v="Low Income"/>
    <x v="3"/>
    <x v="1"/>
    <x v="1"/>
    <s v="No"/>
    <n v="1"/>
    <x v="1"/>
    <x v="0"/>
    <n v="30"/>
    <x v="2"/>
    <x v="0"/>
  </r>
  <r>
    <n v="26863"/>
    <x v="1"/>
    <x v="1"/>
    <n v="20000"/>
    <s v="Low Income"/>
    <x v="3"/>
    <x v="2"/>
    <x v="3"/>
    <s v="No"/>
    <n v="1"/>
    <x v="1"/>
    <x v="0"/>
    <n v="28"/>
    <x v="3"/>
    <x v="0"/>
  </r>
  <r>
    <n v="16259"/>
    <x v="1"/>
    <x v="0"/>
    <n v="10000"/>
    <s v="Low Income"/>
    <x v="5"/>
    <x v="3"/>
    <x v="3"/>
    <s v="Yes"/>
    <n v="2"/>
    <x v="0"/>
    <x v="0"/>
    <n v="40"/>
    <x v="0"/>
    <x v="1"/>
  </r>
  <r>
    <n v="27803"/>
    <x v="1"/>
    <x v="0"/>
    <n v="30000"/>
    <s v="Low Income"/>
    <x v="4"/>
    <x v="1"/>
    <x v="1"/>
    <s v="No"/>
    <n v="0"/>
    <x v="0"/>
    <x v="0"/>
    <n v="43"/>
    <x v="0"/>
    <x v="0"/>
  </r>
  <r>
    <n v="14347"/>
    <x v="1"/>
    <x v="0"/>
    <n v="40000"/>
    <s v="Low Income"/>
    <x v="4"/>
    <x v="0"/>
    <x v="4"/>
    <s v="Yes"/>
    <n v="2"/>
    <x v="2"/>
    <x v="1"/>
    <n v="65"/>
    <x v="1"/>
    <x v="1"/>
  </r>
  <r>
    <n v="17703"/>
    <x v="0"/>
    <x v="0"/>
    <n v="10000"/>
    <s v="Low Income"/>
    <x v="0"/>
    <x v="4"/>
    <x v="3"/>
    <s v="Yes"/>
    <n v="0"/>
    <x v="0"/>
    <x v="0"/>
    <n v="40"/>
    <x v="0"/>
    <x v="0"/>
  </r>
  <r>
    <n v="17185"/>
    <x v="0"/>
    <x v="0"/>
    <n v="170000"/>
    <s v="High Income"/>
    <x v="5"/>
    <x v="1"/>
    <x v="2"/>
    <s v="No"/>
    <n v="3"/>
    <x v="2"/>
    <x v="0"/>
    <n v="48"/>
    <x v="0"/>
    <x v="1"/>
  </r>
  <r>
    <n v="29380"/>
    <x v="0"/>
    <x v="0"/>
    <n v="20000"/>
    <s v="Low Income"/>
    <x v="1"/>
    <x v="2"/>
    <x v="3"/>
    <s v="Yes"/>
    <n v="0"/>
    <x v="0"/>
    <x v="0"/>
    <n v="41"/>
    <x v="0"/>
    <x v="1"/>
  </r>
  <r>
    <n v="23986"/>
    <x v="0"/>
    <x v="0"/>
    <n v="20000"/>
    <s v="Low Income"/>
    <x v="0"/>
    <x v="0"/>
    <x v="1"/>
    <s v="Yes"/>
    <n v="0"/>
    <x v="0"/>
    <x v="0"/>
    <n v="66"/>
    <x v="1"/>
    <x v="1"/>
  </r>
  <r>
    <n v="24466"/>
    <x v="0"/>
    <x v="0"/>
    <n v="60000"/>
    <s v="Low Income"/>
    <x v="0"/>
    <x v="1"/>
    <x v="0"/>
    <s v="Yes"/>
    <n v="1"/>
    <x v="2"/>
    <x v="1"/>
    <n v="46"/>
    <x v="0"/>
    <x v="1"/>
  </r>
  <r>
    <n v="29097"/>
    <x v="1"/>
    <x v="0"/>
    <n v="40000"/>
    <s v="Low Income"/>
    <x v="4"/>
    <x v="1"/>
    <x v="0"/>
    <s v="Yes"/>
    <n v="2"/>
    <x v="2"/>
    <x v="1"/>
    <n v="52"/>
    <x v="0"/>
    <x v="1"/>
  </r>
  <r>
    <n v="19487"/>
    <x v="0"/>
    <x v="1"/>
    <n v="30000"/>
    <s v="Low Income"/>
    <x v="4"/>
    <x v="1"/>
    <x v="1"/>
    <s v="No"/>
    <n v="2"/>
    <x v="0"/>
    <x v="0"/>
    <n v="42"/>
    <x v="0"/>
    <x v="0"/>
  </r>
  <r>
    <n v="14939"/>
    <x v="1"/>
    <x v="1"/>
    <n v="40000"/>
    <s v="Low Income"/>
    <x v="3"/>
    <x v="0"/>
    <x v="1"/>
    <s v="Yes"/>
    <n v="0"/>
    <x v="0"/>
    <x v="0"/>
    <n v="39"/>
    <x v="2"/>
    <x v="1"/>
  </r>
  <r>
    <n v="13826"/>
    <x v="1"/>
    <x v="0"/>
    <n v="30000"/>
    <s v="Low Income"/>
    <x v="3"/>
    <x v="1"/>
    <x v="1"/>
    <s v="No"/>
    <n v="1"/>
    <x v="0"/>
    <x v="0"/>
    <n v="28"/>
    <x v="3"/>
    <x v="0"/>
  </r>
  <r>
    <n v="20619"/>
    <x v="1"/>
    <x v="1"/>
    <n v="80000"/>
    <s v="Medium Income"/>
    <x v="3"/>
    <x v="0"/>
    <x v="2"/>
    <s v="No"/>
    <n v="4"/>
    <x v="4"/>
    <x v="1"/>
    <n v="35"/>
    <x v="2"/>
    <x v="0"/>
  </r>
  <r>
    <n v="12558"/>
    <x v="0"/>
    <x v="0"/>
    <n v="20000"/>
    <s v="Low Income"/>
    <x v="0"/>
    <x v="0"/>
    <x v="1"/>
    <s v="Yes"/>
    <n v="0"/>
    <x v="0"/>
    <x v="0"/>
    <n v="65"/>
    <x v="1"/>
    <x v="0"/>
  </r>
  <r>
    <n v="24871"/>
    <x v="1"/>
    <x v="0"/>
    <n v="90000"/>
    <s v="Medium Income"/>
    <x v="5"/>
    <x v="2"/>
    <x v="4"/>
    <s v="No"/>
    <n v="3"/>
    <x v="2"/>
    <x v="0"/>
    <n v="56"/>
    <x v="0"/>
    <x v="0"/>
  </r>
  <r>
    <n v="17319"/>
    <x v="1"/>
    <x v="0"/>
    <n v="70000"/>
    <s v="Medium Income"/>
    <x v="3"/>
    <x v="0"/>
    <x v="2"/>
    <s v="No"/>
    <n v="1"/>
    <x v="2"/>
    <x v="1"/>
    <n v="42"/>
    <x v="0"/>
    <x v="0"/>
  </r>
  <r>
    <n v="28906"/>
    <x v="0"/>
    <x v="1"/>
    <n v="80000"/>
    <s v="Medium Income"/>
    <x v="5"/>
    <x v="2"/>
    <x v="2"/>
    <s v="Yes"/>
    <n v="2"/>
    <x v="4"/>
    <x v="0"/>
    <n v="54"/>
    <x v="0"/>
    <x v="0"/>
  </r>
  <r>
    <n v="12808"/>
    <x v="0"/>
    <x v="1"/>
    <n v="40000"/>
    <s v="Low Income"/>
    <x v="3"/>
    <x v="0"/>
    <x v="1"/>
    <s v="Yes"/>
    <n v="0"/>
    <x v="0"/>
    <x v="0"/>
    <n v="38"/>
    <x v="2"/>
    <x v="1"/>
  </r>
  <r>
    <n v="20567"/>
    <x v="0"/>
    <x v="1"/>
    <n v="130000"/>
    <s v="High Income"/>
    <x v="5"/>
    <x v="1"/>
    <x v="2"/>
    <s v="No"/>
    <n v="4"/>
    <x v="2"/>
    <x v="0"/>
    <n v="61"/>
    <x v="1"/>
    <x v="1"/>
  </r>
  <r>
    <n v="25502"/>
    <x v="0"/>
    <x v="0"/>
    <n v="40000"/>
    <s v="Low Income"/>
    <x v="0"/>
    <x v="0"/>
    <x v="0"/>
    <s v="Yes"/>
    <n v="0"/>
    <x v="0"/>
    <x v="0"/>
    <n v="43"/>
    <x v="0"/>
    <x v="1"/>
  </r>
  <r>
    <n v="15580"/>
    <x v="0"/>
    <x v="1"/>
    <n v="60000"/>
    <s v="Low Income"/>
    <x v="4"/>
    <x v="0"/>
    <x v="2"/>
    <s v="Yes"/>
    <n v="1"/>
    <x v="1"/>
    <x v="1"/>
    <n v="38"/>
    <x v="2"/>
    <x v="1"/>
  </r>
  <r>
    <n v="24185"/>
    <x v="1"/>
    <x v="0"/>
    <n v="10000"/>
    <s v="Low Income"/>
    <x v="0"/>
    <x v="2"/>
    <x v="3"/>
    <s v="No"/>
    <n v="1"/>
    <x v="3"/>
    <x v="0"/>
    <n v="45"/>
    <x v="0"/>
    <x v="0"/>
  </r>
  <r>
    <n v="19291"/>
    <x v="1"/>
    <x v="0"/>
    <n v="10000"/>
    <s v="Low Income"/>
    <x v="4"/>
    <x v="2"/>
    <x v="3"/>
    <s v="Yes"/>
    <n v="0"/>
    <x v="0"/>
    <x v="0"/>
    <n v="35"/>
    <x v="2"/>
    <x v="0"/>
  </r>
  <r>
    <n v="16713"/>
    <x v="0"/>
    <x v="1"/>
    <n v="40000"/>
    <s v="Low Income"/>
    <x v="4"/>
    <x v="0"/>
    <x v="4"/>
    <s v="Yes"/>
    <n v="1"/>
    <x v="0"/>
    <x v="1"/>
    <n v="52"/>
    <x v="0"/>
    <x v="1"/>
  </r>
  <r>
    <n v="16185"/>
    <x v="1"/>
    <x v="1"/>
    <n v="60000"/>
    <s v="Low Income"/>
    <x v="5"/>
    <x v="0"/>
    <x v="2"/>
    <s v="Yes"/>
    <n v="3"/>
    <x v="4"/>
    <x v="1"/>
    <n v="41"/>
    <x v="0"/>
    <x v="0"/>
  </r>
  <r>
    <n v="14927"/>
    <x v="0"/>
    <x v="0"/>
    <n v="30000"/>
    <s v="Low Income"/>
    <x v="0"/>
    <x v="0"/>
    <x v="1"/>
    <s v="Yes"/>
    <n v="0"/>
    <x v="0"/>
    <x v="0"/>
    <n v="37"/>
    <x v="2"/>
    <x v="1"/>
  </r>
  <r>
    <n v="29337"/>
    <x v="1"/>
    <x v="1"/>
    <n v="30000"/>
    <s v="Low Income"/>
    <x v="4"/>
    <x v="1"/>
    <x v="1"/>
    <s v="Yes"/>
    <n v="2"/>
    <x v="2"/>
    <x v="1"/>
    <n v="68"/>
    <x v="1"/>
    <x v="0"/>
  </r>
  <r>
    <n v="29355"/>
    <x v="0"/>
    <x v="0"/>
    <n v="40000"/>
    <s v="Low Income"/>
    <x v="3"/>
    <x v="4"/>
    <x v="1"/>
    <s v="Yes"/>
    <n v="0"/>
    <x v="0"/>
    <x v="0"/>
    <n v="37"/>
    <x v="2"/>
    <x v="1"/>
  </r>
  <r>
    <n v="25303"/>
    <x v="1"/>
    <x v="1"/>
    <n v="30000"/>
    <s v="Low Income"/>
    <x v="3"/>
    <x v="2"/>
    <x v="3"/>
    <s v="Yes"/>
    <n v="1"/>
    <x v="1"/>
    <x v="0"/>
    <n v="33"/>
    <x v="2"/>
    <x v="1"/>
  </r>
  <r>
    <n v="14813"/>
    <x v="1"/>
    <x v="0"/>
    <n v="20000"/>
    <s v="Low Income"/>
    <x v="5"/>
    <x v="2"/>
    <x v="3"/>
    <s v="Yes"/>
    <n v="1"/>
    <x v="0"/>
    <x v="0"/>
    <n v="43"/>
    <x v="0"/>
    <x v="1"/>
  </r>
  <r>
    <n v="16438"/>
    <x v="0"/>
    <x v="0"/>
    <n v="10000"/>
    <s v="Low Income"/>
    <x v="3"/>
    <x v="3"/>
    <x v="3"/>
    <s v="No"/>
    <n v="2"/>
    <x v="0"/>
    <x v="0"/>
    <n v="30"/>
    <x v="2"/>
    <x v="0"/>
  </r>
  <r>
    <n v="14238"/>
    <x v="0"/>
    <x v="1"/>
    <n v="120000"/>
    <s v="Medium Income"/>
    <x v="3"/>
    <x v="3"/>
    <x v="2"/>
    <s v="Yes"/>
    <n v="4"/>
    <x v="4"/>
    <x v="1"/>
    <n v="36"/>
    <x v="2"/>
    <x v="1"/>
  </r>
  <r>
    <n v="16200"/>
    <x v="1"/>
    <x v="0"/>
    <n v="10000"/>
    <s v="Low Income"/>
    <x v="3"/>
    <x v="3"/>
    <x v="3"/>
    <s v="No"/>
    <n v="2"/>
    <x v="0"/>
    <x v="0"/>
    <n v="35"/>
    <x v="2"/>
    <x v="0"/>
  </r>
  <r>
    <n v="24857"/>
    <x v="0"/>
    <x v="0"/>
    <n v="130000"/>
    <s v="High Income"/>
    <x v="1"/>
    <x v="2"/>
    <x v="2"/>
    <s v="Yes"/>
    <n v="4"/>
    <x v="0"/>
    <x v="0"/>
    <n v="52"/>
    <x v="0"/>
    <x v="0"/>
  </r>
  <r>
    <n v="26956"/>
    <x v="1"/>
    <x v="0"/>
    <n v="20000"/>
    <s v="Low Income"/>
    <x v="3"/>
    <x v="1"/>
    <x v="3"/>
    <s v="No"/>
    <n v="1"/>
    <x v="1"/>
    <x v="0"/>
    <n v="36"/>
    <x v="2"/>
    <x v="1"/>
  </r>
  <r>
    <n v="14517"/>
    <x v="0"/>
    <x v="0"/>
    <n v="20000"/>
    <s v="Low Income"/>
    <x v="1"/>
    <x v="2"/>
    <x v="0"/>
    <s v="No"/>
    <n v="2"/>
    <x v="3"/>
    <x v="1"/>
    <n v="62"/>
    <x v="1"/>
    <x v="0"/>
  </r>
  <r>
    <n v="12678"/>
    <x v="1"/>
    <x v="0"/>
    <n v="130000"/>
    <s v="High Income"/>
    <x v="5"/>
    <x v="2"/>
    <x v="4"/>
    <s v="Yes"/>
    <n v="4"/>
    <x v="0"/>
    <x v="1"/>
    <n v="31"/>
    <x v="2"/>
    <x v="0"/>
  </r>
  <r>
    <n v="16188"/>
    <x v="1"/>
    <x v="0"/>
    <n v="20000"/>
    <s v="Low Income"/>
    <x v="3"/>
    <x v="3"/>
    <x v="3"/>
    <s v="No"/>
    <n v="2"/>
    <x v="3"/>
    <x v="0"/>
    <n v="26"/>
    <x v="3"/>
    <x v="0"/>
  </r>
  <r>
    <n v="27969"/>
    <x v="0"/>
    <x v="1"/>
    <n v="80000"/>
    <s v="Medium Income"/>
    <x v="3"/>
    <x v="0"/>
    <x v="2"/>
    <s v="Yes"/>
    <n v="2"/>
    <x v="4"/>
    <x v="1"/>
    <n v="29"/>
    <x v="3"/>
    <x v="1"/>
  </r>
  <r>
    <n v="15752"/>
    <x v="0"/>
    <x v="1"/>
    <n v="80000"/>
    <s v="Medium Income"/>
    <x v="4"/>
    <x v="2"/>
    <x v="0"/>
    <s v="No"/>
    <n v="2"/>
    <x v="3"/>
    <x v="1"/>
    <n v="50"/>
    <x v="0"/>
    <x v="1"/>
  </r>
  <r>
    <n v="27745"/>
    <x v="1"/>
    <x v="1"/>
    <n v="40000"/>
    <s v="Low Income"/>
    <x v="4"/>
    <x v="0"/>
    <x v="4"/>
    <s v="Yes"/>
    <n v="2"/>
    <x v="2"/>
    <x v="1"/>
    <n v="63"/>
    <x v="1"/>
    <x v="1"/>
  </r>
  <r>
    <n v="20828"/>
    <x v="0"/>
    <x v="0"/>
    <n v="30000"/>
    <s v="Low Income"/>
    <x v="5"/>
    <x v="4"/>
    <x v="1"/>
    <s v="Yes"/>
    <n v="0"/>
    <x v="0"/>
    <x v="0"/>
    <n v="45"/>
    <x v="0"/>
    <x v="1"/>
  </r>
  <r>
    <n v="19461"/>
    <x v="1"/>
    <x v="0"/>
    <n v="10000"/>
    <s v="Low Income"/>
    <x v="5"/>
    <x v="3"/>
    <x v="3"/>
    <s v="Yes"/>
    <n v="2"/>
    <x v="0"/>
    <x v="0"/>
    <n v="40"/>
    <x v="0"/>
    <x v="0"/>
  </r>
  <r>
    <n v="26941"/>
    <x v="0"/>
    <x v="1"/>
    <n v="30000"/>
    <s v="Low Income"/>
    <x v="3"/>
    <x v="0"/>
    <x v="1"/>
    <s v="Yes"/>
    <n v="0"/>
    <x v="0"/>
    <x v="0"/>
    <n v="47"/>
    <x v="0"/>
    <x v="1"/>
  </r>
  <r>
    <n v="28412"/>
    <x v="1"/>
    <x v="1"/>
    <n v="20000"/>
    <s v="Low Income"/>
    <x v="3"/>
    <x v="2"/>
    <x v="3"/>
    <s v="No"/>
    <n v="1"/>
    <x v="1"/>
    <x v="0"/>
    <n v="29"/>
    <x v="3"/>
    <x v="0"/>
  </r>
  <r>
    <n v="24485"/>
    <x v="1"/>
    <x v="1"/>
    <n v="40000"/>
    <s v="Low Income"/>
    <x v="4"/>
    <x v="0"/>
    <x v="4"/>
    <s v="No"/>
    <n v="1"/>
    <x v="2"/>
    <x v="1"/>
    <n v="52"/>
    <x v="0"/>
    <x v="1"/>
  </r>
  <r>
    <n v="16514"/>
    <x v="1"/>
    <x v="1"/>
    <n v="10000"/>
    <s v="Low Income"/>
    <x v="3"/>
    <x v="1"/>
    <x v="3"/>
    <s v="Yes"/>
    <n v="1"/>
    <x v="3"/>
    <x v="1"/>
    <n v="26"/>
    <x v="3"/>
    <x v="1"/>
  </r>
  <r>
    <n v="17191"/>
    <x v="1"/>
    <x v="1"/>
    <n v="130000"/>
    <s v="High Income"/>
    <x v="1"/>
    <x v="1"/>
    <x v="2"/>
    <s v="No"/>
    <n v="3"/>
    <x v="0"/>
    <x v="0"/>
    <n v="51"/>
    <x v="0"/>
    <x v="1"/>
  </r>
  <r>
    <n v="19608"/>
    <x v="0"/>
    <x v="1"/>
    <n v="80000"/>
    <s v="Medium Income"/>
    <x v="2"/>
    <x v="0"/>
    <x v="2"/>
    <s v="Yes"/>
    <n v="4"/>
    <x v="3"/>
    <x v="1"/>
    <n v="40"/>
    <x v="0"/>
    <x v="0"/>
  </r>
  <r>
    <n v="24119"/>
    <x v="1"/>
    <x v="1"/>
    <n v="30000"/>
    <s v="Low Income"/>
    <x v="3"/>
    <x v="1"/>
    <x v="1"/>
    <s v="No"/>
    <n v="1"/>
    <x v="1"/>
    <x v="0"/>
    <n v="29"/>
    <x v="3"/>
    <x v="0"/>
  </r>
  <r>
    <n v="25458"/>
    <x v="0"/>
    <x v="1"/>
    <n v="20000"/>
    <s v="Low Income"/>
    <x v="0"/>
    <x v="2"/>
    <x v="3"/>
    <s v="No"/>
    <n v="1"/>
    <x v="3"/>
    <x v="0"/>
    <n v="40"/>
    <x v="0"/>
    <x v="1"/>
  </r>
  <r>
    <n v="26886"/>
    <x v="1"/>
    <x v="0"/>
    <n v="30000"/>
    <s v="Low Income"/>
    <x v="3"/>
    <x v="1"/>
    <x v="1"/>
    <s v="No"/>
    <n v="1"/>
    <x v="0"/>
    <x v="0"/>
    <n v="29"/>
    <x v="3"/>
    <x v="1"/>
  </r>
  <r>
    <n v="28436"/>
    <x v="1"/>
    <x v="1"/>
    <n v="30000"/>
    <s v="Low Income"/>
    <x v="3"/>
    <x v="1"/>
    <x v="1"/>
    <s v="No"/>
    <n v="1"/>
    <x v="0"/>
    <x v="0"/>
    <n v="30"/>
    <x v="2"/>
    <x v="1"/>
  </r>
  <r>
    <n v="19562"/>
    <x v="1"/>
    <x v="0"/>
    <n v="60000"/>
    <s v="Low Income"/>
    <x v="4"/>
    <x v="0"/>
    <x v="2"/>
    <s v="Yes"/>
    <n v="1"/>
    <x v="1"/>
    <x v="1"/>
    <n v="37"/>
    <x v="2"/>
    <x v="1"/>
  </r>
  <r>
    <n v="15608"/>
    <x v="1"/>
    <x v="0"/>
    <n v="30000"/>
    <s v="Low Income"/>
    <x v="3"/>
    <x v="1"/>
    <x v="1"/>
    <s v="No"/>
    <n v="1"/>
    <x v="1"/>
    <x v="0"/>
    <n v="33"/>
    <x v="2"/>
    <x v="0"/>
  </r>
  <r>
    <n v="16487"/>
    <x v="1"/>
    <x v="0"/>
    <n v="30000"/>
    <s v="Low Income"/>
    <x v="1"/>
    <x v="2"/>
    <x v="0"/>
    <s v="Yes"/>
    <n v="2"/>
    <x v="2"/>
    <x v="1"/>
    <n v="55"/>
    <x v="0"/>
    <x v="0"/>
  </r>
  <r>
    <n v="17197"/>
    <x v="1"/>
    <x v="0"/>
    <n v="90000"/>
    <s v="Medium Income"/>
    <x v="2"/>
    <x v="1"/>
    <x v="2"/>
    <s v="Yes"/>
    <n v="2"/>
    <x v="4"/>
    <x v="0"/>
    <n v="62"/>
    <x v="1"/>
    <x v="0"/>
  </r>
  <r>
    <n v="12507"/>
    <x v="0"/>
    <x v="1"/>
    <n v="30000"/>
    <s v="Low Income"/>
    <x v="0"/>
    <x v="1"/>
    <x v="1"/>
    <s v="Yes"/>
    <n v="1"/>
    <x v="0"/>
    <x v="0"/>
    <n v="43"/>
    <x v="0"/>
    <x v="0"/>
  </r>
  <r>
    <n v="23940"/>
    <x v="0"/>
    <x v="1"/>
    <n v="40000"/>
    <s v="Low Income"/>
    <x v="0"/>
    <x v="0"/>
    <x v="0"/>
    <s v="Yes"/>
    <n v="1"/>
    <x v="0"/>
    <x v="0"/>
    <n v="44"/>
    <x v="0"/>
    <x v="1"/>
  </r>
  <r>
    <n v="19441"/>
    <x v="0"/>
    <x v="1"/>
    <n v="40000"/>
    <s v="Low Income"/>
    <x v="3"/>
    <x v="4"/>
    <x v="1"/>
    <s v="Yes"/>
    <n v="0"/>
    <x v="0"/>
    <x v="0"/>
    <n v="25"/>
    <x v="3"/>
    <x v="1"/>
  </r>
  <r>
    <n v="26852"/>
    <x v="0"/>
    <x v="0"/>
    <n v="20000"/>
    <s v="Low Income"/>
    <x v="1"/>
    <x v="2"/>
    <x v="3"/>
    <s v="Yes"/>
    <n v="2"/>
    <x v="0"/>
    <x v="0"/>
    <n v="43"/>
    <x v="0"/>
    <x v="0"/>
  </r>
  <r>
    <n v="12274"/>
    <x v="1"/>
    <x v="1"/>
    <n v="10000"/>
    <s v="Low Income"/>
    <x v="4"/>
    <x v="2"/>
    <x v="3"/>
    <s v="Yes"/>
    <n v="0"/>
    <x v="0"/>
    <x v="0"/>
    <n v="35"/>
    <x v="2"/>
    <x v="0"/>
  </r>
  <r>
    <n v="20236"/>
    <x v="1"/>
    <x v="1"/>
    <n v="60000"/>
    <s v="Low Income"/>
    <x v="1"/>
    <x v="0"/>
    <x v="2"/>
    <s v="No"/>
    <n v="2"/>
    <x v="0"/>
    <x v="1"/>
    <n v="43"/>
    <x v="0"/>
    <x v="1"/>
  </r>
  <r>
    <n v="24149"/>
    <x v="0"/>
    <x v="1"/>
    <n v="10000"/>
    <s v="Low Income"/>
    <x v="4"/>
    <x v="1"/>
    <x v="3"/>
    <s v="Yes"/>
    <n v="0"/>
    <x v="3"/>
    <x v="0"/>
    <n v="49"/>
    <x v="0"/>
    <x v="0"/>
  </r>
  <r>
    <n v="26139"/>
    <x v="1"/>
    <x v="1"/>
    <n v="60000"/>
    <s v="Low Income"/>
    <x v="0"/>
    <x v="1"/>
    <x v="0"/>
    <s v="Yes"/>
    <n v="1"/>
    <x v="2"/>
    <x v="1"/>
    <n v="45"/>
    <x v="0"/>
    <x v="0"/>
  </r>
  <r>
    <n v="18491"/>
    <x v="1"/>
    <x v="0"/>
    <n v="70000"/>
    <s v="Medium Income"/>
    <x v="4"/>
    <x v="2"/>
    <x v="2"/>
    <s v="Yes"/>
    <n v="2"/>
    <x v="2"/>
    <x v="1"/>
    <n v="49"/>
    <x v="0"/>
    <x v="1"/>
  </r>
  <r>
    <n v="22707"/>
    <x v="1"/>
    <x v="0"/>
    <n v="30000"/>
    <s v="Low Income"/>
    <x v="3"/>
    <x v="1"/>
    <x v="1"/>
    <s v="No"/>
    <n v="1"/>
    <x v="1"/>
    <x v="0"/>
    <n v="30"/>
    <x v="2"/>
    <x v="0"/>
  </r>
  <r>
    <n v="20430"/>
    <x v="0"/>
    <x v="1"/>
    <n v="70000"/>
    <s v="Medium Income"/>
    <x v="4"/>
    <x v="1"/>
    <x v="0"/>
    <s v="Yes"/>
    <n v="2"/>
    <x v="2"/>
    <x v="1"/>
    <n v="52"/>
    <x v="0"/>
    <x v="1"/>
  </r>
  <r>
    <n v="27494"/>
    <x v="1"/>
    <x v="0"/>
    <n v="40000"/>
    <s v="Low Income"/>
    <x v="4"/>
    <x v="1"/>
    <x v="0"/>
    <s v="No"/>
    <n v="2"/>
    <x v="3"/>
    <x v="1"/>
    <n v="53"/>
    <x v="0"/>
    <x v="1"/>
  </r>
  <r>
    <n v="26829"/>
    <x v="0"/>
    <x v="0"/>
    <n v="40000"/>
    <s v="Low Income"/>
    <x v="3"/>
    <x v="0"/>
    <x v="1"/>
    <s v="Yes"/>
    <n v="0"/>
    <x v="0"/>
    <x v="0"/>
    <n v="38"/>
    <x v="2"/>
    <x v="1"/>
  </r>
  <r>
    <n v="28395"/>
    <x v="1"/>
    <x v="1"/>
    <n v="40000"/>
    <s v="Low Income"/>
    <x v="3"/>
    <x v="0"/>
    <x v="2"/>
    <s v="No"/>
    <n v="0"/>
    <x v="0"/>
    <x v="0"/>
    <n v="39"/>
    <x v="2"/>
    <x v="1"/>
  </r>
  <r>
    <n v="21006"/>
    <x v="1"/>
    <x v="0"/>
    <n v="30000"/>
    <s v="Low Income"/>
    <x v="0"/>
    <x v="1"/>
    <x v="3"/>
    <s v="No"/>
    <n v="0"/>
    <x v="0"/>
    <x v="0"/>
    <n v="46"/>
    <x v="0"/>
    <x v="1"/>
  </r>
  <r>
    <n v="14682"/>
    <x v="1"/>
    <x v="0"/>
    <n v="70000"/>
    <s v="Medium Income"/>
    <x v="3"/>
    <x v="0"/>
    <x v="2"/>
    <s v="No"/>
    <n v="1"/>
    <x v="2"/>
    <x v="1"/>
    <n v="38"/>
    <x v="2"/>
    <x v="0"/>
  </r>
  <r>
    <n v="17650"/>
    <x v="1"/>
    <x v="0"/>
    <n v="40000"/>
    <s v="Low Income"/>
    <x v="4"/>
    <x v="1"/>
    <x v="1"/>
    <s v="Yes"/>
    <n v="2"/>
    <x v="3"/>
    <x v="0"/>
    <n v="35"/>
    <x v="2"/>
    <x v="0"/>
  </r>
  <r>
    <n v="29191"/>
    <x v="1"/>
    <x v="0"/>
    <n v="130000"/>
    <s v="High Income"/>
    <x v="0"/>
    <x v="4"/>
    <x v="4"/>
    <s v="No"/>
    <n v="1"/>
    <x v="0"/>
    <x v="1"/>
    <n v="36"/>
    <x v="2"/>
    <x v="1"/>
  </r>
  <r>
    <n v="15030"/>
    <x v="0"/>
    <x v="1"/>
    <n v="20000"/>
    <s v="Low Income"/>
    <x v="3"/>
    <x v="0"/>
    <x v="1"/>
    <s v="Yes"/>
    <n v="0"/>
    <x v="0"/>
    <x v="1"/>
    <n v="26"/>
    <x v="3"/>
    <x v="1"/>
  </r>
  <r>
    <n v="24140"/>
    <x v="1"/>
    <x v="1"/>
    <n v="10000"/>
    <s v="Low Income"/>
    <x v="3"/>
    <x v="4"/>
    <x v="3"/>
    <s v="No"/>
    <n v="0"/>
    <x v="0"/>
    <x v="0"/>
    <n v="30"/>
    <x v="2"/>
    <x v="1"/>
  </r>
  <r>
    <n v="22496"/>
    <x v="0"/>
    <x v="0"/>
    <n v="30000"/>
    <s v="Low Income"/>
    <x v="0"/>
    <x v="0"/>
    <x v="0"/>
    <s v="Yes"/>
    <n v="2"/>
    <x v="0"/>
    <x v="0"/>
    <n v="42"/>
    <x v="0"/>
    <x v="0"/>
  </r>
  <r>
    <n v="24065"/>
    <x v="1"/>
    <x v="0"/>
    <n v="20000"/>
    <s v="Low Income"/>
    <x v="3"/>
    <x v="2"/>
    <x v="3"/>
    <s v="Yes"/>
    <n v="0"/>
    <x v="0"/>
    <x v="0"/>
    <n v="40"/>
    <x v="0"/>
    <x v="1"/>
  </r>
  <r>
    <n v="19914"/>
    <x v="0"/>
    <x v="1"/>
    <n v="80000"/>
    <s v="Medium Income"/>
    <x v="2"/>
    <x v="0"/>
    <x v="4"/>
    <s v="Yes"/>
    <n v="2"/>
    <x v="1"/>
    <x v="0"/>
    <n v="62"/>
    <x v="1"/>
    <x v="0"/>
  </r>
  <r>
    <n v="12871"/>
    <x v="1"/>
    <x v="0"/>
    <n v="30000"/>
    <s v="Low Income"/>
    <x v="3"/>
    <x v="1"/>
    <x v="1"/>
    <s v="No"/>
    <n v="1"/>
    <x v="1"/>
    <x v="0"/>
    <n v="29"/>
    <x v="3"/>
    <x v="0"/>
  </r>
  <r>
    <n v="22988"/>
    <x v="0"/>
    <x v="0"/>
    <n v="40000"/>
    <s v="Low Income"/>
    <x v="4"/>
    <x v="0"/>
    <x v="4"/>
    <s v="Yes"/>
    <n v="2"/>
    <x v="2"/>
    <x v="1"/>
    <n v="66"/>
    <x v="1"/>
    <x v="1"/>
  </r>
  <r>
    <n v="15922"/>
    <x v="0"/>
    <x v="1"/>
    <n v="150000"/>
    <s v="High Income"/>
    <x v="4"/>
    <x v="2"/>
    <x v="2"/>
    <s v="Yes"/>
    <n v="4"/>
    <x v="0"/>
    <x v="0"/>
    <n v="48"/>
    <x v="0"/>
    <x v="0"/>
  </r>
  <r>
    <n v="12344"/>
    <x v="1"/>
    <x v="0"/>
    <n v="80000"/>
    <s v="Medium Income"/>
    <x v="3"/>
    <x v="0"/>
    <x v="2"/>
    <s v="No"/>
    <n v="3"/>
    <x v="4"/>
    <x v="1"/>
    <n v="31"/>
    <x v="2"/>
    <x v="0"/>
  </r>
  <r>
    <n v="23627"/>
    <x v="1"/>
    <x v="0"/>
    <n v="100000"/>
    <s v="Medium Income"/>
    <x v="1"/>
    <x v="1"/>
    <x v="4"/>
    <s v="No"/>
    <n v="4"/>
    <x v="2"/>
    <x v="0"/>
    <n v="56"/>
    <x v="0"/>
    <x v="0"/>
  </r>
  <r>
    <n v="27775"/>
    <x v="1"/>
    <x v="0"/>
    <n v="40000"/>
    <s v="Low Income"/>
    <x v="3"/>
    <x v="0"/>
    <x v="1"/>
    <s v="No"/>
    <n v="0"/>
    <x v="0"/>
    <x v="0"/>
    <n v="38"/>
    <x v="2"/>
    <x v="1"/>
  </r>
  <r>
    <n v="29301"/>
    <x v="0"/>
    <x v="1"/>
    <n v="80000"/>
    <s v="Medium Income"/>
    <x v="2"/>
    <x v="0"/>
    <x v="2"/>
    <s v="Yes"/>
    <n v="4"/>
    <x v="3"/>
    <x v="1"/>
    <n v="40"/>
    <x v="0"/>
    <x v="0"/>
  </r>
  <r>
    <n v="12716"/>
    <x v="1"/>
    <x v="1"/>
    <n v="30000"/>
    <s v="Low Income"/>
    <x v="3"/>
    <x v="1"/>
    <x v="1"/>
    <s v="Yes"/>
    <n v="1"/>
    <x v="1"/>
    <x v="0"/>
    <n v="32"/>
    <x v="2"/>
    <x v="0"/>
  </r>
  <r>
    <n v="12472"/>
    <x v="0"/>
    <x v="1"/>
    <n v="30000"/>
    <s v="Low Income"/>
    <x v="0"/>
    <x v="0"/>
    <x v="1"/>
    <s v="Yes"/>
    <n v="1"/>
    <x v="1"/>
    <x v="0"/>
    <n v="39"/>
    <x v="2"/>
    <x v="0"/>
  </r>
  <r>
    <n v="20970"/>
    <x v="1"/>
    <x v="1"/>
    <n v="10000"/>
    <s v="Low Income"/>
    <x v="4"/>
    <x v="1"/>
    <x v="3"/>
    <s v="Yes"/>
    <n v="1"/>
    <x v="0"/>
    <x v="0"/>
    <n v="52"/>
    <x v="0"/>
    <x v="1"/>
  </r>
  <r>
    <n v="26818"/>
    <x v="1"/>
    <x v="1"/>
    <n v="10000"/>
    <s v="Low Income"/>
    <x v="1"/>
    <x v="2"/>
    <x v="3"/>
    <s v="Yes"/>
    <n v="1"/>
    <x v="0"/>
    <x v="0"/>
    <n v="39"/>
    <x v="2"/>
    <x v="1"/>
  </r>
  <r>
    <n v="12993"/>
    <x v="0"/>
    <x v="1"/>
    <n v="60000"/>
    <s v="Low Income"/>
    <x v="4"/>
    <x v="0"/>
    <x v="2"/>
    <s v="Yes"/>
    <n v="1"/>
    <x v="1"/>
    <x v="1"/>
    <n v="37"/>
    <x v="2"/>
    <x v="0"/>
  </r>
  <r>
    <n v="14192"/>
    <x v="0"/>
    <x v="1"/>
    <n v="90000"/>
    <s v="Medium Income"/>
    <x v="5"/>
    <x v="2"/>
    <x v="4"/>
    <s v="Yes"/>
    <n v="3"/>
    <x v="2"/>
    <x v="0"/>
    <n v="56"/>
    <x v="0"/>
    <x v="1"/>
  </r>
  <r>
    <n v="19477"/>
    <x v="0"/>
    <x v="1"/>
    <n v="40000"/>
    <s v="Low Income"/>
    <x v="3"/>
    <x v="0"/>
    <x v="2"/>
    <s v="Yes"/>
    <n v="0"/>
    <x v="0"/>
    <x v="0"/>
    <n v="40"/>
    <x v="0"/>
    <x v="1"/>
  </r>
  <r>
    <n v="26796"/>
    <x v="1"/>
    <x v="1"/>
    <n v="40000"/>
    <s v="Low Income"/>
    <x v="4"/>
    <x v="0"/>
    <x v="4"/>
    <s v="Yes"/>
    <n v="2"/>
    <x v="2"/>
    <x v="1"/>
    <n v="65"/>
    <x v="1"/>
    <x v="1"/>
  </r>
  <r>
    <n v="21094"/>
    <x v="1"/>
    <x v="0"/>
    <n v="30000"/>
    <s v="Low Income"/>
    <x v="4"/>
    <x v="1"/>
    <x v="1"/>
    <s v="Yes"/>
    <n v="2"/>
    <x v="0"/>
    <x v="0"/>
    <n v="42"/>
    <x v="0"/>
    <x v="0"/>
  </r>
  <r>
    <n v="12234"/>
    <x v="0"/>
    <x v="1"/>
    <n v="10000"/>
    <s v="Low Income"/>
    <x v="4"/>
    <x v="1"/>
    <x v="3"/>
    <s v="Yes"/>
    <n v="1"/>
    <x v="1"/>
    <x v="0"/>
    <n v="52"/>
    <x v="0"/>
    <x v="0"/>
  </r>
  <r>
    <n v="28683"/>
    <x v="1"/>
    <x v="0"/>
    <n v="10000"/>
    <s v="Low Income"/>
    <x v="0"/>
    <x v="2"/>
    <x v="3"/>
    <s v="No"/>
    <n v="1"/>
    <x v="2"/>
    <x v="0"/>
    <n v="35"/>
    <x v="2"/>
    <x v="1"/>
  </r>
  <r>
    <n v="17994"/>
    <x v="1"/>
    <x v="1"/>
    <n v="20000"/>
    <s v="Low Income"/>
    <x v="4"/>
    <x v="2"/>
    <x v="3"/>
    <s v="Yes"/>
    <n v="2"/>
    <x v="0"/>
    <x v="0"/>
    <n v="42"/>
    <x v="0"/>
    <x v="0"/>
  </r>
  <r>
    <n v="24273"/>
    <x v="0"/>
    <x v="0"/>
    <n v="20000"/>
    <s v="Low Income"/>
    <x v="4"/>
    <x v="3"/>
    <x v="1"/>
    <s v="Yes"/>
    <n v="2"/>
    <x v="2"/>
    <x v="1"/>
    <n v="55"/>
    <x v="0"/>
    <x v="1"/>
  </r>
  <r>
    <n v="26547"/>
    <x v="1"/>
    <x v="0"/>
    <n v="30000"/>
    <s v="Low Income"/>
    <x v="4"/>
    <x v="1"/>
    <x v="1"/>
    <s v="No"/>
    <n v="2"/>
    <x v="2"/>
    <x v="1"/>
    <n v="60"/>
    <x v="1"/>
    <x v="1"/>
  </r>
  <r>
    <n v="22500"/>
    <x v="1"/>
    <x v="1"/>
    <n v="40000"/>
    <s v="Low Income"/>
    <x v="3"/>
    <x v="0"/>
    <x v="2"/>
    <s v="No"/>
    <n v="0"/>
    <x v="0"/>
    <x v="0"/>
    <n v="40"/>
    <x v="0"/>
    <x v="1"/>
  </r>
  <r>
    <n v="23993"/>
    <x v="1"/>
    <x v="0"/>
    <n v="10000"/>
    <s v="Low Income"/>
    <x v="3"/>
    <x v="1"/>
    <x v="3"/>
    <s v="No"/>
    <n v="1"/>
    <x v="0"/>
    <x v="1"/>
    <n v="26"/>
    <x v="3"/>
    <x v="1"/>
  </r>
  <r>
    <n v="14832"/>
    <x v="0"/>
    <x v="1"/>
    <n v="40000"/>
    <s v="Low Income"/>
    <x v="0"/>
    <x v="0"/>
    <x v="0"/>
    <s v="Yes"/>
    <n v="0"/>
    <x v="0"/>
    <x v="0"/>
    <n v="42"/>
    <x v="0"/>
    <x v="1"/>
  </r>
  <r>
    <n v="16614"/>
    <x v="0"/>
    <x v="0"/>
    <n v="80000"/>
    <s v="Medium Income"/>
    <x v="3"/>
    <x v="0"/>
    <x v="2"/>
    <s v="Yes"/>
    <n v="3"/>
    <x v="4"/>
    <x v="1"/>
    <n v="32"/>
    <x v="2"/>
    <x v="0"/>
  </r>
  <r>
    <n v="20877"/>
    <x v="1"/>
    <x v="1"/>
    <n v="30000"/>
    <s v="Low Income"/>
    <x v="0"/>
    <x v="0"/>
    <x v="1"/>
    <s v="Yes"/>
    <n v="0"/>
    <x v="3"/>
    <x v="0"/>
    <n v="37"/>
    <x v="2"/>
    <x v="1"/>
  </r>
  <r>
    <n v="20729"/>
    <x v="0"/>
    <x v="0"/>
    <n v="40000"/>
    <s v="Low Income"/>
    <x v="4"/>
    <x v="1"/>
    <x v="1"/>
    <s v="No"/>
    <n v="1"/>
    <x v="0"/>
    <x v="0"/>
    <n v="34"/>
    <x v="2"/>
    <x v="0"/>
  </r>
  <r>
    <n v="22464"/>
    <x v="0"/>
    <x v="1"/>
    <n v="40000"/>
    <s v="Low Income"/>
    <x v="3"/>
    <x v="4"/>
    <x v="1"/>
    <s v="Yes"/>
    <n v="0"/>
    <x v="0"/>
    <x v="0"/>
    <n v="37"/>
    <x v="2"/>
    <x v="1"/>
  </r>
  <r>
    <n v="19475"/>
    <x v="0"/>
    <x v="0"/>
    <n v="40000"/>
    <s v="Low Income"/>
    <x v="3"/>
    <x v="0"/>
    <x v="2"/>
    <s v="No"/>
    <n v="0"/>
    <x v="0"/>
    <x v="0"/>
    <n v="40"/>
    <x v="0"/>
    <x v="1"/>
  </r>
  <r>
    <n v="19675"/>
    <x v="0"/>
    <x v="1"/>
    <n v="20000"/>
    <s v="Low Income"/>
    <x v="5"/>
    <x v="2"/>
    <x v="0"/>
    <s v="Yes"/>
    <n v="2"/>
    <x v="2"/>
    <x v="1"/>
    <n v="60"/>
    <x v="1"/>
    <x v="0"/>
  </r>
  <r>
    <n v="12728"/>
    <x v="1"/>
    <x v="1"/>
    <n v="30000"/>
    <s v="Low Income"/>
    <x v="3"/>
    <x v="1"/>
    <x v="1"/>
    <s v="No"/>
    <n v="1"/>
    <x v="3"/>
    <x v="0"/>
    <n v="27"/>
    <x v="3"/>
    <x v="0"/>
  </r>
  <r>
    <n v="26154"/>
    <x v="0"/>
    <x v="1"/>
    <n v="60000"/>
    <s v="Low Income"/>
    <x v="0"/>
    <x v="1"/>
    <x v="0"/>
    <s v="Yes"/>
    <n v="1"/>
    <x v="2"/>
    <x v="1"/>
    <n v="43"/>
    <x v="0"/>
    <x v="1"/>
  </r>
  <r>
    <n v="29117"/>
    <x v="1"/>
    <x v="1"/>
    <n v="100000"/>
    <s v="Medium Income"/>
    <x v="0"/>
    <x v="0"/>
    <x v="4"/>
    <s v="No"/>
    <n v="3"/>
    <x v="0"/>
    <x v="1"/>
    <n v="48"/>
    <x v="0"/>
    <x v="0"/>
  </r>
  <r>
    <n v="17845"/>
    <x v="1"/>
    <x v="0"/>
    <n v="20000"/>
    <s v="Low Income"/>
    <x v="3"/>
    <x v="3"/>
    <x v="3"/>
    <s v="No"/>
    <n v="2"/>
    <x v="3"/>
    <x v="0"/>
    <n v="32"/>
    <x v="2"/>
    <x v="0"/>
  </r>
  <r>
    <n v="25058"/>
    <x v="0"/>
    <x v="1"/>
    <n v="100000"/>
    <s v="Medium Income"/>
    <x v="0"/>
    <x v="0"/>
    <x v="4"/>
    <s v="Yes"/>
    <n v="3"/>
    <x v="1"/>
    <x v="1"/>
    <n v="47"/>
    <x v="0"/>
    <x v="0"/>
  </r>
  <r>
    <n v="23426"/>
    <x v="1"/>
    <x v="1"/>
    <n v="80000"/>
    <s v="Medium Income"/>
    <x v="2"/>
    <x v="4"/>
    <x v="4"/>
    <s v="Yes"/>
    <n v="3"/>
    <x v="0"/>
    <x v="1"/>
    <n v="40"/>
    <x v="0"/>
    <x v="0"/>
  </r>
  <r>
    <n v="14798"/>
    <x v="1"/>
    <x v="0"/>
    <n v="10000"/>
    <s v="Low Income"/>
    <x v="5"/>
    <x v="3"/>
    <x v="3"/>
    <s v="Yes"/>
    <n v="2"/>
    <x v="0"/>
    <x v="0"/>
    <n v="41"/>
    <x v="0"/>
    <x v="1"/>
  </r>
  <r>
    <n v="12664"/>
    <x v="0"/>
    <x v="0"/>
    <n v="130000"/>
    <s v="High Income"/>
    <x v="2"/>
    <x v="1"/>
    <x v="2"/>
    <s v="Yes"/>
    <n v="4"/>
    <x v="0"/>
    <x v="0"/>
    <n v="59"/>
    <x v="0"/>
    <x v="0"/>
  </r>
  <r>
    <n v="23979"/>
    <x v="1"/>
    <x v="1"/>
    <n v="10000"/>
    <s v="Low Income"/>
    <x v="4"/>
    <x v="1"/>
    <x v="3"/>
    <s v="No"/>
    <n v="0"/>
    <x v="0"/>
    <x v="0"/>
    <n v="50"/>
    <x v="0"/>
    <x v="0"/>
  </r>
  <r>
    <n v="25605"/>
    <x v="1"/>
    <x v="0"/>
    <n v="20000"/>
    <s v="Low Income"/>
    <x v="4"/>
    <x v="1"/>
    <x v="3"/>
    <s v="No"/>
    <n v="1"/>
    <x v="0"/>
    <x v="0"/>
    <n v="54"/>
    <x v="0"/>
    <x v="1"/>
  </r>
  <r>
    <n v="20797"/>
    <x v="0"/>
    <x v="0"/>
    <n v="10000"/>
    <s v="Low Income"/>
    <x v="0"/>
    <x v="0"/>
    <x v="3"/>
    <s v="Yes"/>
    <n v="0"/>
    <x v="0"/>
    <x v="0"/>
    <n v="48"/>
    <x v="0"/>
    <x v="0"/>
  </r>
  <r>
    <n v="21980"/>
    <x v="1"/>
    <x v="0"/>
    <n v="60000"/>
    <s v="Low Income"/>
    <x v="0"/>
    <x v="0"/>
    <x v="2"/>
    <s v="Yes"/>
    <n v="1"/>
    <x v="2"/>
    <x v="1"/>
    <n v="44"/>
    <x v="0"/>
    <x v="1"/>
  </r>
  <r>
    <n v="25460"/>
    <x v="0"/>
    <x v="0"/>
    <n v="20000"/>
    <s v="Low Income"/>
    <x v="4"/>
    <x v="2"/>
    <x v="3"/>
    <s v="Yes"/>
    <n v="0"/>
    <x v="0"/>
    <x v="0"/>
    <n v="40"/>
    <x v="0"/>
    <x v="1"/>
  </r>
  <r>
    <n v="29181"/>
    <x v="1"/>
    <x v="0"/>
    <n v="60000"/>
    <s v="Low Income"/>
    <x v="4"/>
    <x v="0"/>
    <x v="2"/>
    <s v="No"/>
    <n v="1"/>
    <x v="0"/>
    <x v="1"/>
    <n v="38"/>
    <x v="2"/>
    <x v="1"/>
  </r>
  <r>
    <n v="24279"/>
    <x v="1"/>
    <x v="1"/>
    <n v="40000"/>
    <s v="Low Income"/>
    <x v="4"/>
    <x v="1"/>
    <x v="0"/>
    <s v="No"/>
    <n v="2"/>
    <x v="3"/>
    <x v="1"/>
    <n v="52"/>
    <x v="0"/>
    <x v="0"/>
  </r>
  <r>
    <n v="22402"/>
    <x v="0"/>
    <x v="1"/>
    <n v="10000"/>
    <s v="Low Income"/>
    <x v="3"/>
    <x v="1"/>
    <x v="3"/>
    <s v="Yes"/>
    <n v="1"/>
    <x v="1"/>
    <x v="1"/>
    <n v="25"/>
    <x v="3"/>
    <x v="1"/>
  </r>
  <r>
    <n v="15465"/>
    <x v="0"/>
    <x v="0"/>
    <n v="10000"/>
    <s v="Low Income"/>
    <x v="3"/>
    <x v="1"/>
    <x v="3"/>
    <s v="No"/>
    <n v="1"/>
    <x v="0"/>
    <x v="1"/>
    <n v="25"/>
    <x v="3"/>
    <x v="0"/>
  </r>
  <r>
    <n v="26757"/>
    <x v="1"/>
    <x v="1"/>
    <n v="90000"/>
    <s v="Medium Income"/>
    <x v="0"/>
    <x v="0"/>
    <x v="2"/>
    <s v="Yes"/>
    <n v="1"/>
    <x v="1"/>
    <x v="1"/>
    <n v="47"/>
    <x v="0"/>
    <x v="1"/>
  </r>
  <r>
    <n v="14233"/>
    <x v="1"/>
    <x v="1"/>
    <n v="100000"/>
    <s v="Medium Income"/>
    <x v="3"/>
    <x v="2"/>
    <x v="4"/>
    <s v="Yes"/>
    <n v="3"/>
    <x v="4"/>
    <x v="1"/>
    <n v="35"/>
    <x v="2"/>
    <x v="0"/>
  </r>
  <r>
    <n v="14058"/>
    <x v="1"/>
    <x v="1"/>
    <n v="70000"/>
    <s v="Medium Income"/>
    <x v="3"/>
    <x v="0"/>
    <x v="2"/>
    <s v="No"/>
    <n v="1"/>
    <x v="2"/>
    <x v="1"/>
    <n v="41"/>
    <x v="0"/>
    <x v="1"/>
  </r>
  <r>
    <n v="12273"/>
    <x v="0"/>
    <x v="1"/>
    <n v="30000"/>
    <s v="Low Income"/>
    <x v="0"/>
    <x v="0"/>
    <x v="1"/>
    <s v="Yes"/>
    <n v="0"/>
    <x v="0"/>
    <x v="0"/>
    <n v="47"/>
    <x v="0"/>
    <x v="0"/>
  </r>
  <r>
    <n v="17203"/>
    <x v="0"/>
    <x v="0"/>
    <n v="130000"/>
    <s v="High Income"/>
    <x v="5"/>
    <x v="1"/>
    <x v="2"/>
    <s v="Yes"/>
    <n v="4"/>
    <x v="2"/>
    <x v="0"/>
    <n v="61"/>
    <x v="1"/>
    <x v="1"/>
  </r>
  <r>
    <n v="18144"/>
    <x v="0"/>
    <x v="0"/>
    <n v="80000"/>
    <s v="Medium Income"/>
    <x v="2"/>
    <x v="0"/>
    <x v="4"/>
    <s v="Yes"/>
    <n v="2"/>
    <x v="1"/>
    <x v="0"/>
    <n v="61"/>
    <x v="1"/>
    <x v="0"/>
  </r>
  <r>
    <n v="23963"/>
    <x v="0"/>
    <x v="1"/>
    <n v="10000"/>
    <s v="Low Income"/>
    <x v="3"/>
    <x v="3"/>
    <x v="3"/>
    <s v="No"/>
    <n v="2"/>
    <x v="0"/>
    <x v="0"/>
    <n v="33"/>
    <x v="2"/>
    <x v="0"/>
  </r>
  <r>
    <n v="17907"/>
    <x v="0"/>
    <x v="0"/>
    <n v="10000"/>
    <s v="Low Income"/>
    <x v="3"/>
    <x v="1"/>
    <x v="3"/>
    <s v="Yes"/>
    <n v="1"/>
    <x v="1"/>
    <x v="1"/>
    <n v="27"/>
    <x v="3"/>
    <x v="0"/>
  </r>
  <r>
    <n v="19442"/>
    <x v="1"/>
    <x v="1"/>
    <n v="50000"/>
    <s v="Low Income"/>
    <x v="3"/>
    <x v="4"/>
    <x v="0"/>
    <s v="Yes"/>
    <n v="0"/>
    <x v="0"/>
    <x v="0"/>
    <n v="37"/>
    <x v="2"/>
    <x v="1"/>
  </r>
  <r>
    <n v="17504"/>
    <x v="1"/>
    <x v="0"/>
    <n v="80000"/>
    <s v="Medium Income"/>
    <x v="4"/>
    <x v="1"/>
    <x v="0"/>
    <s v="Yes"/>
    <n v="2"/>
    <x v="2"/>
    <x v="1"/>
    <n v="52"/>
    <x v="0"/>
    <x v="1"/>
  </r>
  <r>
    <n v="12253"/>
    <x v="1"/>
    <x v="0"/>
    <n v="20000"/>
    <s v="Low Income"/>
    <x v="3"/>
    <x v="1"/>
    <x v="3"/>
    <s v="Yes"/>
    <n v="0"/>
    <x v="0"/>
    <x v="1"/>
    <n v="29"/>
    <x v="3"/>
    <x v="1"/>
  </r>
  <r>
    <n v="27304"/>
    <x v="1"/>
    <x v="0"/>
    <n v="110000"/>
    <s v="Medium Income"/>
    <x v="4"/>
    <x v="1"/>
    <x v="2"/>
    <s v="No"/>
    <n v="3"/>
    <x v="2"/>
    <x v="0"/>
    <n v="48"/>
    <x v="0"/>
    <x v="0"/>
  </r>
  <r>
    <n v="14191"/>
    <x v="0"/>
    <x v="1"/>
    <n v="160000"/>
    <s v="High Income"/>
    <x v="5"/>
    <x v="1"/>
    <x v="2"/>
    <s v="No"/>
    <n v="2"/>
    <x v="4"/>
    <x v="0"/>
    <n v="55"/>
    <x v="0"/>
    <x v="1"/>
  </r>
  <r>
    <n v="12212"/>
    <x v="0"/>
    <x v="0"/>
    <n v="10000"/>
    <s v="Low Income"/>
    <x v="3"/>
    <x v="4"/>
    <x v="3"/>
    <s v="Yes"/>
    <n v="0"/>
    <x v="0"/>
    <x v="0"/>
    <n v="37"/>
    <x v="2"/>
    <x v="1"/>
  </r>
  <r>
    <n v="25529"/>
    <x v="1"/>
    <x v="1"/>
    <n v="10000"/>
    <s v="Low Income"/>
    <x v="0"/>
    <x v="4"/>
    <x v="3"/>
    <s v="Yes"/>
    <n v="0"/>
    <x v="0"/>
    <x v="0"/>
    <n v="44"/>
    <x v="0"/>
    <x v="0"/>
  </r>
  <r>
    <n v="22170"/>
    <x v="0"/>
    <x v="0"/>
    <n v="30000"/>
    <s v="Low Income"/>
    <x v="1"/>
    <x v="1"/>
    <x v="1"/>
    <s v="No"/>
    <n v="2"/>
    <x v="3"/>
    <x v="1"/>
    <n v="55"/>
    <x v="0"/>
    <x v="1"/>
  </r>
  <r>
    <n v="19445"/>
    <x v="0"/>
    <x v="0"/>
    <n v="10000"/>
    <s v="Low Income"/>
    <x v="4"/>
    <x v="2"/>
    <x v="3"/>
    <s v="No"/>
    <n v="1"/>
    <x v="0"/>
    <x v="0"/>
    <n v="38"/>
    <x v="2"/>
    <x v="0"/>
  </r>
  <r>
    <n v="15265"/>
    <x v="1"/>
    <x v="1"/>
    <n v="40000"/>
    <s v="Low Income"/>
    <x v="4"/>
    <x v="0"/>
    <x v="4"/>
    <s v="Yes"/>
    <n v="2"/>
    <x v="2"/>
    <x v="1"/>
    <n v="66"/>
    <x v="1"/>
    <x v="1"/>
  </r>
  <r>
    <n v="28918"/>
    <x v="0"/>
    <x v="0"/>
    <n v="130000"/>
    <s v="High Income"/>
    <x v="5"/>
    <x v="2"/>
    <x v="4"/>
    <s v="No"/>
    <n v="4"/>
    <x v="4"/>
    <x v="0"/>
    <n v="58"/>
    <x v="0"/>
    <x v="0"/>
  </r>
  <r>
    <n v="15799"/>
    <x v="0"/>
    <x v="0"/>
    <n v="90000"/>
    <s v="Medium Income"/>
    <x v="0"/>
    <x v="0"/>
    <x v="2"/>
    <s v="Yes"/>
    <n v="1"/>
    <x v="1"/>
    <x v="1"/>
    <n v="47"/>
    <x v="0"/>
    <x v="1"/>
  </r>
  <r>
    <n v="11047"/>
    <x v="0"/>
    <x v="0"/>
    <n v="30000"/>
    <s v="Low Income"/>
    <x v="1"/>
    <x v="2"/>
    <x v="0"/>
    <s v="No"/>
    <n v="2"/>
    <x v="3"/>
    <x v="1"/>
    <n v="56"/>
    <x v="0"/>
    <x v="1"/>
  </r>
  <r>
    <n v="18151"/>
    <x v="1"/>
    <x v="1"/>
    <n v="80000"/>
    <s v="Medium Income"/>
    <x v="2"/>
    <x v="1"/>
    <x v="2"/>
    <s v="No"/>
    <n v="2"/>
    <x v="4"/>
    <x v="0"/>
    <n v="59"/>
    <x v="0"/>
    <x v="0"/>
  </r>
  <r>
    <n v="20606"/>
    <x v="0"/>
    <x v="0"/>
    <n v="70000"/>
    <s v="Medium Income"/>
    <x v="3"/>
    <x v="0"/>
    <x v="2"/>
    <s v="Yes"/>
    <n v="4"/>
    <x v="4"/>
    <x v="1"/>
    <n v="32"/>
    <x v="2"/>
    <x v="1"/>
  </r>
  <r>
    <n v="19482"/>
    <x v="0"/>
    <x v="1"/>
    <n v="30000"/>
    <s v="Low Income"/>
    <x v="0"/>
    <x v="1"/>
    <x v="1"/>
    <s v="Yes"/>
    <n v="1"/>
    <x v="0"/>
    <x v="0"/>
    <n v="44"/>
    <x v="0"/>
    <x v="1"/>
  </r>
  <r>
    <n v="16489"/>
    <x v="0"/>
    <x v="1"/>
    <n v="30000"/>
    <s v="Low Income"/>
    <x v="1"/>
    <x v="2"/>
    <x v="0"/>
    <s v="Yes"/>
    <n v="2"/>
    <x v="2"/>
    <x v="1"/>
    <n v="55"/>
    <x v="0"/>
    <x v="0"/>
  </r>
  <r>
    <n v="26944"/>
    <x v="1"/>
    <x v="1"/>
    <n v="90000"/>
    <s v="Medium Income"/>
    <x v="4"/>
    <x v="2"/>
    <x v="3"/>
    <s v="Yes"/>
    <n v="0"/>
    <x v="0"/>
    <x v="0"/>
    <n v="36"/>
    <x v="2"/>
    <x v="1"/>
  </r>
  <r>
    <n v="15682"/>
    <x v="1"/>
    <x v="0"/>
    <n v="80000"/>
    <s v="Medium Income"/>
    <x v="2"/>
    <x v="0"/>
    <x v="4"/>
    <s v="Yes"/>
    <n v="2"/>
    <x v="4"/>
    <x v="0"/>
    <n v="62"/>
    <x v="1"/>
    <x v="0"/>
  </r>
  <r>
    <n v="26032"/>
    <x v="0"/>
    <x v="0"/>
    <n v="70000"/>
    <s v="Medium Income"/>
    <x v="2"/>
    <x v="0"/>
    <x v="2"/>
    <s v="Yes"/>
    <n v="4"/>
    <x v="4"/>
    <x v="1"/>
    <n v="41"/>
    <x v="0"/>
    <x v="0"/>
  </r>
  <r>
    <n v="17843"/>
    <x v="1"/>
    <x v="0"/>
    <n v="10000"/>
    <s v="Low Income"/>
    <x v="3"/>
    <x v="3"/>
    <x v="3"/>
    <s v="No"/>
    <n v="2"/>
    <x v="0"/>
    <x v="0"/>
    <n v="32"/>
    <x v="2"/>
    <x v="0"/>
  </r>
  <r>
    <n v="25559"/>
    <x v="1"/>
    <x v="1"/>
    <n v="20000"/>
    <s v="Low Income"/>
    <x v="3"/>
    <x v="0"/>
    <x v="1"/>
    <s v="Yes"/>
    <n v="0"/>
    <x v="0"/>
    <x v="1"/>
    <n v="25"/>
    <x v="3"/>
    <x v="1"/>
  </r>
  <r>
    <n v="16209"/>
    <x v="1"/>
    <x v="0"/>
    <n v="50000"/>
    <s v="Low Income"/>
    <x v="3"/>
    <x v="4"/>
    <x v="0"/>
    <s v="Yes"/>
    <n v="0"/>
    <x v="3"/>
    <x v="0"/>
    <n v="36"/>
    <x v="2"/>
    <x v="0"/>
  </r>
  <r>
    <n v="11147"/>
    <x v="0"/>
    <x v="1"/>
    <n v="60000"/>
    <s v="Low Income"/>
    <x v="4"/>
    <x v="4"/>
    <x v="4"/>
    <s v="Yes"/>
    <n v="1"/>
    <x v="0"/>
    <x v="1"/>
    <n v="67"/>
    <x v="1"/>
    <x v="1"/>
  </r>
  <r>
    <n v="15214"/>
    <x v="1"/>
    <x v="0"/>
    <n v="100000"/>
    <s v="Medium Income"/>
    <x v="3"/>
    <x v="4"/>
    <x v="4"/>
    <s v="No"/>
    <n v="1"/>
    <x v="3"/>
    <x v="1"/>
    <n v="39"/>
    <x v="2"/>
    <x v="1"/>
  </r>
  <r>
    <n v="11453"/>
    <x v="1"/>
    <x v="1"/>
    <n v="80000"/>
    <s v="Medium Income"/>
    <x v="3"/>
    <x v="0"/>
    <x v="2"/>
    <s v="No"/>
    <n v="3"/>
    <x v="4"/>
    <x v="1"/>
    <n v="33"/>
    <x v="2"/>
    <x v="1"/>
  </r>
  <r>
    <n v="24584"/>
    <x v="1"/>
    <x v="1"/>
    <n v="60000"/>
    <s v="Low Income"/>
    <x v="3"/>
    <x v="0"/>
    <x v="2"/>
    <s v="No"/>
    <n v="3"/>
    <x v="1"/>
    <x v="1"/>
    <n v="31"/>
    <x v="2"/>
    <x v="0"/>
  </r>
  <r>
    <n v="12585"/>
    <x v="0"/>
    <x v="1"/>
    <n v="10000"/>
    <s v="Low Income"/>
    <x v="0"/>
    <x v="2"/>
    <x v="3"/>
    <s v="Yes"/>
    <n v="0"/>
    <x v="1"/>
    <x v="1"/>
    <n v="27"/>
    <x v="3"/>
    <x v="1"/>
  </r>
  <r>
    <n v="18626"/>
    <x v="1"/>
    <x v="1"/>
    <n v="40000"/>
    <s v="Low Income"/>
    <x v="4"/>
    <x v="1"/>
    <x v="1"/>
    <s v="Yes"/>
    <n v="0"/>
    <x v="3"/>
    <x v="0"/>
    <n v="33"/>
    <x v="2"/>
    <x v="1"/>
  </r>
  <r>
    <n v="29298"/>
    <x v="1"/>
    <x v="0"/>
    <n v="60000"/>
    <s v="Low Income"/>
    <x v="0"/>
    <x v="1"/>
    <x v="0"/>
    <s v="Yes"/>
    <n v="1"/>
    <x v="2"/>
    <x v="1"/>
    <n v="46"/>
    <x v="0"/>
    <x v="1"/>
  </r>
  <r>
    <n v="24842"/>
    <x v="1"/>
    <x v="0"/>
    <n v="90000"/>
    <s v="Medium Income"/>
    <x v="1"/>
    <x v="2"/>
    <x v="2"/>
    <s v="No"/>
    <n v="1"/>
    <x v="1"/>
    <x v="0"/>
    <n v="51"/>
    <x v="0"/>
    <x v="0"/>
  </r>
  <r>
    <n v="15657"/>
    <x v="0"/>
    <x v="1"/>
    <n v="30000"/>
    <s v="Low Income"/>
    <x v="1"/>
    <x v="4"/>
    <x v="1"/>
    <s v="Yes"/>
    <n v="0"/>
    <x v="0"/>
    <x v="0"/>
    <n v="46"/>
    <x v="0"/>
    <x v="1"/>
  </r>
  <r>
    <n v="11415"/>
    <x v="1"/>
    <x v="1"/>
    <n v="90000"/>
    <s v="Medium Income"/>
    <x v="2"/>
    <x v="1"/>
    <x v="2"/>
    <s v="No"/>
    <n v="2"/>
    <x v="4"/>
    <x v="0"/>
    <n v="62"/>
    <x v="1"/>
    <x v="0"/>
  </r>
  <r>
    <n v="28729"/>
    <x v="1"/>
    <x v="0"/>
    <n v="20000"/>
    <s v="Low Income"/>
    <x v="3"/>
    <x v="3"/>
    <x v="3"/>
    <s v="Yes"/>
    <n v="2"/>
    <x v="3"/>
    <x v="0"/>
    <n v="26"/>
    <x v="3"/>
    <x v="1"/>
  </r>
  <r>
    <n v="22633"/>
    <x v="1"/>
    <x v="0"/>
    <n v="40000"/>
    <s v="Low Income"/>
    <x v="3"/>
    <x v="4"/>
    <x v="1"/>
    <s v="Yes"/>
    <n v="0"/>
    <x v="0"/>
    <x v="0"/>
    <n v="37"/>
    <x v="2"/>
    <x v="1"/>
  </r>
  <r>
    <n v="25649"/>
    <x v="1"/>
    <x v="0"/>
    <n v="30000"/>
    <s v="Low Income"/>
    <x v="1"/>
    <x v="1"/>
    <x v="1"/>
    <s v="Yes"/>
    <n v="0"/>
    <x v="0"/>
    <x v="0"/>
    <n v="42"/>
    <x v="0"/>
    <x v="1"/>
  </r>
  <r>
    <n v="14669"/>
    <x v="0"/>
    <x v="0"/>
    <n v="80000"/>
    <s v="Medium Income"/>
    <x v="5"/>
    <x v="4"/>
    <x v="4"/>
    <s v="Yes"/>
    <n v="1"/>
    <x v="0"/>
    <x v="1"/>
    <n v="36"/>
    <x v="2"/>
    <x v="0"/>
  </r>
  <r>
    <n v="19299"/>
    <x v="0"/>
    <x v="0"/>
    <n v="50000"/>
    <s v="Low Income"/>
    <x v="3"/>
    <x v="4"/>
    <x v="0"/>
    <s v="Yes"/>
    <n v="0"/>
    <x v="0"/>
    <x v="0"/>
    <n v="36"/>
    <x v="2"/>
    <x v="1"/>
  </r>
  <r>
    <n v="20946"/>
    <x v="1"/>
    <x v="0"/>
    <n v="30000"/>
    <s v="Low Income"/>
    <x v="3"/>
    <x v="1"/>
    <x v="1"/>
    <s v="No"/>
    <n v="1"/>
    <x v="1"/>
    <x v="0"/>
    <n v="30"/>
    <x v="2"/>
    <x v="0"/>
  </r>
  <r>
    <n v="11451"/>
    <x v="1"/>
    <x v="1"/>
    <n v="70000"/>
    <s v="Medium Income"/>
    <x v="3"/>
    <x v="0"/>
    <x v="2"/>
    <s v="No"/>
    <n v="4"/>
    <x v="4"/>
    <x v="1"/>
    <n v="31"/>
    <x v="2"/>
    <x v="1"/>
  </r>
  <r>
    <n v="25553"/>
    <x v="0"/>
    <x v="1"/>
    <n v="30000"/>
    <s v="Low Income"/>
    <x v="0"/>
    <x v="0"/>
    <x v="1"/>
    <s v="Yes"/>
    <n v="0"/>
    <x v="0"/>
    <x v="0"/>
    <n v="65"/>
    <x v="1"/>
    <x v="1"/>
  </r>
  <r>
    <n v="27951"/>
    <x v="1"/>
    <x v="1"/>
    <n v="80000"/>
    <s v="Medium Income"/>
    <x v="5"/>
    <x v="1"/>
    <x v="2"/>
    <s v="No"/>
    <n v="2"/>
    <x v="1"/>
    <x v="0"/>
    <n v="54"/>
    <x v="0"/>
    <x v="1"/>
  </r>
  <r>
    <n v="25026"/>
    <x v="0"/>
    <x v="1"/>
    <n v="20000"/>
    <s v="Low Income"/>
    <x v="4"/>
    <x v="3"/>
    <x v="1"/>
    <s v="Yes"/>
    <n v="3"/>
    <x v="2"/>
    <x v="1"/>
    <n v="54"/>
    <x v="0"/>
    <x v="0"/>
  </r>
  <r>
    <n v="13673"/>
    <x v="1"/>
    <x v="0"/>
    <n v="20000"/>
    <s v="Low Income"/>
    <x v="3"/>
    <x v="3"/>
    <x v="3"/>
    <s v="No"/>
    <n v="2"/>
    <x v="0"/>
    <x v="0"/>
    <n v="25"/>
    <x v="3"/>
    <x v="0"/>
  </r>
  <r>
    <n v="16043"/>
    <x v="1"/>
    <x v="1"/>
    <n v="10000"/>
    <s v="Low Income"/>
    <x v="0"/>
    <x v="0"/>
    <x v="3"/>
    <s v="Yes"/>
    <n v="0"/>
    <x v="0"/>
    <x v="0"/>
    <n v="48"/>
    <x v="0"/>
    <x v="0"/>
  </r>
  <r>
    <n v="22399"/>
    <x v="1"/>
    <x v="1"/>
    <n v="10000"/>
    <s v="Low Income"/>
    <x v="3"/>
    <x v="1"/>
    <x v="3"/>
    <s v="Yes"/>
    <n v="1"/>
    <x v="3"/>
    <x v="1"/>
    <n v="26"/>
    <x v="3"/>
    <x v="1"/>
  </r>
  <r>
    <n v="27696"/>
    <x v="0"/>
    <x v="1"/>
    <n v="60000"/>
    <s v="Low Income"/>
    <x v="0"/>
    <x v="0"/>
    <x v="2"/>
    <s v="Yes"/>
    <n v="1"/>
    <x v="2"/>
    <x v="1"/>
    <n v="43"/>
    <x v="0"/>
    <x v="1"/>
  </r>
  <r>
    <n v="25313"/>
    <x v="1"/>
    <x v="1"/>
    <n v="10000"/>
    <s v="Low Income"/>
    <x v="3"/>
    <x v="3"/>
    <x v="3"/>
    <s v="No"/>
    <n v="2"/>
    <x v="3"/>
    <x v="0"/>
    <n v="35"/>
    <x v="2"/>
    <x v="0"/>
  </r>
  <r>
    <n v="13813"/>
    <x v="0"/>
    <x v="0"/>
    <n v="30000"/>
    <s v="Low Income"/>
    <x v="1"/>
    <x v="1"/>
    <x v="1"/>
    <s v="No"/>
    <n v="0"/>
    <x v="0"/>
    <x v="0"/>
    <n v="42"/>
    <x v="0"/>
    <x v="0"/>
  </r>
  <r>
    <n v="18711"/>
    <x v="1"/>
    <x v="0"/>
    <n v="70000"/>
    <s v="Medium Income"/>
    <x v="2"/>
    <x v="0"/>
    <x v="2"/>
    <s v="Yes"/>
    <n v="4"/>
    <x v="4"/>
    <x v="1"/>
    <n v="39"/>
    <x v="2"/>
    <x v="0"/>
  </r>
  <r>
    <n v="19650"/>
    <x v="0"/>
    <x v="0"/>
    <n v="30000"/>
    <s v="Low Income"/>
    <x v="4"/>
    <x v="1"/>
    <x v="1"/>
    <s v="No"/>
    <n v="2"/>
    <x v="0"/>
    <x v="1"/>
    <n v="67"/>
    <x v="1"/>
    <x v="0"/>
  </r>
  <r>
    <n v="14135"/>
    <x v="0"/>
    <x v="1"/>
    <n v="20000"/>
    <s v="Low Income"/>
    <x v="0"/>
    <x v="1"/>
    <x v="3"/>
    <s v="Yes"/>
    <n v="0"/>
    <x v="3"/>
    <x v="0"/>
    <n v="35"/>
    <x v="2"/>
    <x v="0"/>
  </r>
  <r>
    <n v="12833"/>
    <x v="1"/>
    <x v="0"/>
    <n v="20000"/>
    <s v="Low Income"/>
    <x v="1"/>
    <x v="2"/>
    <x v="3"/>
    <s v="Yes"/>
    <n v="1"/>
    <x v="0"/>
    <x v="0"/>
    <n v="42"/>
    <x v="0"/>
    <x v="1"/>
  </r>
  <r>
    <n v="26849"/>
    <x v="0"/>
    <x v="1"/>
    <n v="10000"/>
    <s v="Low Income"/>
    <x v="1"/>
    <x v="3"/>
    <x v="3"/>
    <s v="Yes"/>
    <n v="2"/>
    <x v="0"/>
    <x v="0"/>
    <n v="43"/>
    <x v="0"/>
    <x v="0"/>
  </r>
  <r>
    <n v="20962"/>
    <x v="0"/>
    <x v="0"/>
    <n v="20000"/>
    <s v="Low Income"/>
    <x v="0"/>
    <x v="4"/>
    <x v="1"/>
    <s v="Yes"/>
    <n v="0"/>
    <x v="0"/>
    <x v="0"/>
    <n v="45"/>
    <x v="0"/>
    <x v="0"/>
  </r>
  <r>
    <n v="28915"/>
    <x v="1"/>
    <x v="1"/>
    <n v="80000"/>
    <s v="Medium Income"/>
    <x v="2"/>
    <x v="2"/>
    <x v="4"/>
    <s v="Yes"/>
    <n v="3"/>
    <x v="4"/>
    <x v="0"/>
    <n v="57"/>
    <x v="0"/>
    <x v="0"/>
  </r>
  <r>
    <n v="22830"/>
    <x v="0"/>
    <x v="1"/>
    <n v="120000"/>
    <s v="Medium Income"/>
    <x v="5"/>
    <x v="1"/>
    <x v="4"/>
    <s v="Yes"/>
    <n v="3"/>
    <x v="4"/>
    <x v="0"/>
    <n v="56"/>
    <x v="0"/>
    <x v="0"/>
  </r>
  <r>
    <n v="14777"/>
    <x v="0"/>
    <x v="0"/>
    <n v="40000"/>
    <s v="Low Income"/>
    <x v="3"/>
    <x v="0"/>
    <x v="1"/>
    <s v="Yes"/>
    <n v="0"/>
    <x v="0"/>
    <x v="0"/>
    <n v="38"/>
    <x v="2"/>
    <x v="1"/>
  </r>
  <r>
    <n v="12591"/>
    <x v="0"/>
    <x v="0"/>
    <n v="30000"/>
    <s v="Low Income"/>
    <x v="5"/>
    <x v="4"/>
    <x v="1"/>
    <s v="Yes"/>
    <n v="0"/>
    <x v="0"/>
    <x v="0"/>
    <n v="45"/>
    <x v="0"/>
    <x v="0"/>
  </r>
  <r>
    <n v="24174"/>
    <x v="0"/>
    <x v="1"/>
    <n v="20000"/>
    <s v="Low Income"/>
    <x v="3"/>
    <x v="0"/>
    <x v="1"/>
    <s v="Yes"/>
    <n v="0"/>
    <x v="0"/>
    <x v="1"/>
    <n v="27"/>
    <x v="3"/>
    <x v="1"/>
  </r>
  <r>
    <n v="24611"/>
    <x v="1"/>
    <x v="1"/>
    <n v="90000"/>
    <s v="Medium Income"/>
    <x v="3"/>
    <x v="0"/>
    <x v="2"/>
    <s v="No"/>
    <n v="4"/>
    <x v="4"/>
    <x v="1"/>
    <n v="35"/>
    <x v="2"/>
    <x v="1"/>
  </r>
  <r>
    <n v="11340"/>
    <x v="0"/>
    <x v="0"/>
    <n v="10000"/>
    <s v="Low Income"/>
    <x v="0"/>
    <x v="4"/>
    <x v="1"/>
    <s v="Yes"/>
    <n v="0"/>
    <x v="0"/>
    <x v="0"/>
    <n v="70"/>
    <x v="1"/>
    <x v="1"/>
  </r>
  <r>
    <n v="25693"/>
    <x v="1"/>
    <x v="0"/>
    <n v="30000"/>
    <s v="Low Income"/>
    <x v="2"/>
    <x v="4"/>
    <x v="1"/>
    <s v="Yes"/>
    <n v="0"/>
    <x v="0"/>
    <x v="0"/>
    <n v="44"/>
    <x v="0"/>
    <x v="1"/>
  </r>
  <r>
    <n v="25555"/>
    <x v="0"/>
    <x v="0"/>
    <n v="10000"/>
    <s v="Low Income"/>
    <x v="3"/>
    <x v="1"/>
    <x v="3"/>
    <s v="No"/>
    <n v="1"/>
    <x v="0"/>
    <x v="1"/>
    <n v="26"/>
    <x v="3"/>
    <x v="1"/>
  </r>
  <r>
    <n v="22006"/>
    <x v="0"/>
    <x v="1"/>
    <n v="70000"/>
    <s v="Medium Income"/>
    <x v="2"/>
    <x v="1"/>
    <x v="0"/>
    <s v="Yes"/>
    <n v="3"/>
    <x v="2"/>
    <x v="1"/>
    <n v="46"/>
    <x v="0"/>
    <x v="0"/>
  </r>
  <r>
    <n v="20060"/>
    <x v="1"/>
    <x v="0"/>
    <n v="30000"/>
    <s v="Low Income"/>
    <x v="3"/>
    <x v="2"/>
    <x v="3"/>
    <s v="No"/>
    <n v="1"/>
    <x v="1"/>
    <x v="0"/>
    <n v="34"/>
    <x v="2"/>
    <x v="1"/>
  </r>
  <r>
    <n v="17702"/>
    <x v="0"/>
    <x v="1"/>
    <n v="10000"/>
    <s v="Low Income"/>
    <x v="0"/>
    <x v="4"/>
    <x v="3"/>
    <s v="Yes"/>
    <n v="0"/>
    <x v="0"/>
    <x v="0"/>
    <n v="37"/>
    <x v="2"/>
    <x v="0"/>
  </r>
  <r>
    <n v="12503"/>
    <x v="1"/>
    <x v="0"/>
    <n v="30000"/>
    <s v="Low Income"/>
    <x v="1"/>
    <x v="1"/>
    <x v="1"/>
    <s v="Yes"/>
    <n v="2"/>
    <x v="0"/>
    <x v="0"/>
    <n v="27"/>
    <x v="3"/>
    <x v="0"/>
  </r>
  <r>
    <n v="23908"/>
    <x v="1"/>
    <x v="1"/>
    <n v="30000"/>
    <s v="Low Income"/>
    <x v="0"/>
    <x v="0"/>
    <x v="1"/>
    <s v="No"/>
    <n v="1"/>
    <x v="0"/>
    <x v="0"/>
    <n v="39"/>
    <x v="2"/>
    <x v="1"/>
  </r>
  <r>
    <n v="22527"/>
    <x v="1"/>
    <x v="0"/>
    <n v="20000"/>
    <s v="Low Income"/>
    <x v="3"/>
    <x v="2"/>
    <x v="3"/>
    <s v="No"/>
    <n v="1"/>
    <x v="1"/>
    <x v="0"/>
    <n v="29"/>
    <x v="3"/>
    <x v="0"/>
  </r>
  <r>
    <n v="19057"/>
    <x v="0"/>
    <x v="0"/>
    <n v="120000"/>
    <s v="Medium Income"/>
    <x v="1"/>
    <x v="0"/>
    <x v="4"/>
    <s v="No"/>
    <n v="2"/>
    <x v="4"/>
    <x v="0"/>
    <n v="52"/>
    <x v="0"/>
    <x v="1"/>
  </r>
  <r>
    <n v="18494"/>
    <x v="0"/>
    <x v="1"/>
    <n v="110000"/>
    <s v="Medium Income"/>
    <x v="2"/>
    <x v="0"/>
    <x v="4"/>
    <s v="Yes"/>
    <n v="4"/>
    <x v="1"/>
    <x v="1"/>
    <n v="48"/>
    <x v="0"/>
    <x v="1"/>
  </r>
  <r>
    <n v="11249"/>
    <x v="0"/>
    <x v="0"/>
    <n v="130000"/>
    <s v="High Income"/>
    <x v="1"/>
    <x v="1"/>
    <x v="2"/>
    <s v="Yes"/>
    <n v="3"/>
    <x v="0"/>
    <x v="0"/>
    <n v="51"/>
    <x v="0"/>
    <x v="1"/>
  </r>
  <r>
    <n v="21568"/>
    <x v="0"/>
    <x v="0"/>
    <n v="100000"/>
    <s v="Medium Income"/>
    <x v="3"/>
    <x v="2"/>
    <x v="4"/>
    <s v="Yes"/>
    <n v="4"/>
    <x v="4"/>
    <x v="1"/>
    <n v="34"/>
    <x v="2"/>
    <x v="1"/>
  </r>
  <r>
    <n v="13981"/>
    <x v="0"/>
    <x v="0"/>
    <n v="10000"/>
    <s v="Low Income"/>
    <x v="2"/>
    <x v="2"/>
    <x v="0"/>
    <s v="No"/>
    <n v="3"/>
    <x v="3"/>
    <x v="1"/>
    <n v="62"/>
    <x v="1"/>
    <x v="0"/>
  </r>
  <r>
    <n v="23432"/>
    <x v="1"/>
    <x v="1"/>
    <n v="70000"/>
    <s v="Medium Income"/>
    <x v="3"/>
    <x v="0"/>
    <x v="2"/>
    <s v="Yes"/>
    <n v="1"/>
    <x v="2"/>
    <x v="1"/>
    <n v="37"/>
    <x v="2"/>
    <x v="1"/>
  </r>
  <r>
    <n v="22931"/>
    <x v="0"/>
    <x v="1"/>
    <n v="100000"/>
    <s v="Medium Income"/>
    <x v="2"/>
    <x v="4"/>
    <x v="4"/>
    <s v="No"/>
    <n v="1"/>
    <x v="3"/>
    <x v="1"/>
    <n v="78"/>
    <x v="1"/>
    <x v="1"/>
  </r>
  <r>
    <n v="18172"/>
    <x v="0"/>
    <x v="1"/>
    <n v="130000"/>
    <s v="High Income"/>
    <x v="5"/>
    <x v="2"/>
    <x v="2"/>
    <s v="Yes"/>
    <n v="3"/>
    <x v="0"/>
    <x v="0"/>
    <n v="55"/>
    <x v="0"/>
    <x v="0"/>
  </r>
  <r>
    <n v="12666"/>
    <x v="1"/>
    <x v="1"/>
    <n v="60000"/>
    <s v="Low Income"/>
    <x v="3"/>
    <x v="0"/>
    <x v="2"/>
    <s v="No"/>
    <n v="4"/>
    <x v="1"/>
    <x v="1"/>
    <n v="31"/>
    <x v="2"/>
    <x v="0"/>
  </r>
  <r>
    <n v="20598"/>
    <x v="0"/>
    <x v="1"/>
    <n v="100000"/>
    <s v="Medium Income"/>
    <x v="1"/>
    <x v="3"/>
    <x v="2"/>
    <s v="Yes"/>
    <n v="0"/>
    <x v="4"/>
    <x v="0"/>
    <n v="59"/>
    <x v="0"/>
    <x v="1"/>
  </r>
  <r>
    <n v="21375"/>
    <x v="1"/>
    <x v="1"/>
    <n v="20000"/>
    <s v="Low Income"/>
    <x v="4"/>
    <x v="3"/>
    <x v="1"/>
    <s v="Yes"/>
    <n v="2"/>
    <x v="2"/>
    <x v="1"/>
    <n v="57"/>
    <x v="0"/>
    <x v="0"/>
  </r>
  <r>
    <n v="20839"/>
    <x v="1"/>
    <x v="0"/>
    <n v="30000"/>
    <s v="Low Income"/>
    <x v="1"/>
    <x v="4"/>
    <x v="1"/>
    <s v="Yes"/>
    <n v="0"/>
    <x v="0"/>
    <x v="0"/>
    <n v="47"/>
    <x v="0"/>
    <x v="1"/>
  </r>
  <r>
    <n v="21738"/>
    <x v="0"/>
    <x v="1"/>
    <n v="20000"/>
    <s v="Low Income"/>
    <x v="0"/>
    <x v="4"/>
    <x v="1"/>
    <s v="Yes"/>
    <n v="0"/>
    <x v="0"/>
    <x v="0"/>
    <n v="43"/>
    <x v="0"/>
    <x v="0"/>
  </r>
  <r>
    <n v="14164"/>
    <x v="1"/>
    <x v="0"/>
    <n v="50000"/>
    <s v="Low Income"/>
    <x v="3"/>
    <x v="4"/>
    <x v="0"/>
    <s v="Yes"/>
    <n v="0"/>
    <x v="0"/>
    <x v="0"/>
    <n v="36"/>
    <x v="2"/>
    <x v="1"/>
  </r>
  <r>
    <n v="14193"/>
    <x v="1"/>
    <x v="0"/>
    <n v="100000"/>
    <s v="Medium Income"/>
    <x v="1"/>
    <x v="1"/>
    <x v="4"/>
    <s v="Yes"/>
    <n v="4"/>
    <x v="4"/>
    <x v="0"/>
    <n v="56"/>
    <x v="0"/>
    <x v="0"/>
  </r>
  <r>
    <n v="12705"/>
    <x v="0"/>
    <x v="1"/>
    <n v="150000"/>
    <s v="High Income"/>
    <x v="3"/>
    <x v="0"/>
    <x v="4"/>
    <s v="Yes"/>
    <n v="4"/>
    <x v="0"/>
    <x v="1"/>
    <n v="37"/>
    <x v="2"/>
    <x v="1"/>
  </r>
  <r>
    <n v="22672"/>
    <x v="1"/>
    <x v="0"/>
    <n v="30000"/>
    <s v="Low Income"/>
    <x v="4"/>
    <x v="1"/>
    <x v="1"/>
    <s v="Yes"/>
    <n v="0"/>
    <x v="0"/>
    <x v="0"/>
    <n v="43"/>
    <x v="0"/>
    <x v="0"/>
  </r>
  <r>
    <n v="26219"/>
    <x v="0"/>
    <x v="0"/>
    <n v="40000"/>
    <s v="Low Income"/>
    <x v="0"/>
    <x v="0"/>
    <x v="0"/>
    <s v="Yes"/>
    <n v="1"/>
    <x v="3"/>
    <x v="0"/>
    <n v="33"/>
    <x v="2"/>
    <x v="1"/>
  </r>
  <r>
    <n v="28468"/>
    <x v="0"/>
    <x v="0"/>
    <n v="10000"/>
    <s v="Low Income"/>
    <x v="4"/>
    <x v="1"/>
    <x v="3"/>
    <s v="Yes"/>
    <n v="0"/>
    <x v="3"/>
    <x v="0"/>
    <n v="51"/>
    <x v="0"/>
    <x v="0"/>
  </r>
  <r>
    <n v="23419"/>
    <x v="1"/>
    <x v="0"/>
    <n v="70000"/>
    <s v="Medium Income"/>
    <x v="2"/>
    <x v="0"/>
    <x v="2"/>
    <s v="Yes"/>
    <n v="3"/>
    <x v="4"/>
    <x v="1"/>
    <n v="39"/>
    <x v="2"/>
    <x v="0"/>
  </r>
  <r>
    <n v="17964"/>
    <x v="0"/>
    <x v="1"/>
    <n v="40000"/>
    <s v="Low Income"/>
    <x v="3"/>
    <x v="4"/>
    <x v="1"/>
    <s v="Yes"/>
    <n v="0"/>
    <x v="0"/>
    <x v="0"/>
    <n v="37"/>
    <x v="2"/>
    <x v="1"/>
  </r>
  <r>
    <n v="20919"/>
    <x v="1"/>
    <x v="0"/>
    <n v="30000"/>
    <s v="Low Income"/>
    <x v="4"/>
    <x v="1"/>
    <x v="1"/>
    <s v="Yes"/>
    <n v="2"/>
    <x v="0"/>
    <x v="0"/>
    <n v="42"/>
    <x v="0"/>
    <x v="0"/>
  </r>
  <r>
    <n v="20927"/>
    <x v="1"/>
    <x v="0"/>
    <n v="20000"/>
    <s v="Low Income"/>
    <x v="2"/>
    <x v="2"/>
    <x v="3"/>
    <s v="Yes"/>
    <n v="2"/>
    <x v="0"/>
    <x v="0"/>
    <n v="27"/>
    <x v="3"/>
    <x v="0"/>
  </r>
  <r>
    <n v="13133"/>
    <x v="1"/>
    <x v="1"/>
    <n v="100000"/>
    <s v="Medium Income"/>
    <x v="2"/>
    <x v="0"/>
    <x v="2"/>
    <s v="Yes"/>
    <n v="1"/>
    <x v="2"/>
    <x v="1"/>
    <n v="47"/>
    <x v="0"/>
    <x v="1"/>
  </r>
  <r>
    <n v="19626"/>
    <x v="0"/>
    <x v="1"/>
    <n v="70000"/>
    <s v="Medium Income"/>
    <x v="2"/>
    <x v="1"/>
    <x v="0"/>
    <s v="Yes"/>
    <n v="3"/>
    <x v="2"/>
    <x v="1"/>
    <n v="45"/>
    <x v="0"/>
    <x v="0"/>
  </r>
  <r>
    <n v="21039"/>
    <x v="1"/>
    <x v="0"/>
    <n v="50000"/>
    <s v="Low Income"/>
    <x v="3"/>
    <x v="4"/>
    <x v="0"/>
    <s v="No"/>
    <n v="0"/>
    <x v="0"/>
    <x v="0"/>
    <n v="37"/>
    <x v="2"/>
    <x v="1"/>
  </r>
  <r>
    <n v="12231"/>
    <x v="1"/>
    <x v="0"/>
    <n v="10000"/>
    <s v="Low Income"/>
    <x v="4"/>
    <x v="1"/>
    <x v="3"/>
    <s v="Yes"/>
    <n v="0"/>
    <x v="0"/>
    <x v="0"/>
    <n v="51"/>
    <x v="0"/>
    <x v="1"/>
  </r>
  <r>
    <n v="25665"/>
    <x v="1"/>
    <x v="0"/>
    <n v="20000"/>
    <s v="Low Income"/>
    <x v="3"/>
    <x v="2"/>
    <x v="3"/>
    <s v="No"/>
    <n v="1"/>
    <x v="3"/>
    <x v="0"/>
    <n v="28"/>
    <x v="3"/>
    <x v="0"/>
  </r>
  <r>
    <n v="24061"/>
    <x v="0"/>
    <x v="1"/>
    <n v="10000"/>
    <s v="Low Income"/>
    <x v="5"/>
    <x v="3"/>
    <x v="3"/>
    <s v="Yes"/>
    <n v="1"/>
    <x v="0"/>
    <x v="0"/>
    <n v="40"/>
    <x v="0"/>
    <x v="1"/>
  </r>
  <r>
    <n v="26879"/>
    <x v="1"/>
    <x v="0"/>
    <n v="20000"/>
    <s v="Low Income"/>
    <x v="3"/>
    <x v="2"/>
    <x v="3"/>
    <s v="No"/>
    <n v="1"/>
    <x v="1"/>
    <x v="0"/>
    <n v="30"/>
    <x v="2"/>
    <x v="0"/>
  </r>
  <r>
    <n v="12284"/>
    <x v="0"/>
    <x v="0"/>
    <n v="30000"/>
    <s v="Low Income"/>
    <x v="3"/>
    <x v="0"/>
    <x v="1"/>
    <s v="No"/>
    <n v="0"/>
    <x v="0"/>
    <x v="0"/>
    <n v="36"/>
    <x v="2"/>
    <x v="1"/>
  </r>
  <r>
    <n v="26654"/>
    <x v="0"/>
    <x v="0"/>
    <n v="90000"/>
    <s v="Medium Income"/>
    <x v="0"/>
    <x v="4"/>
    <x v="4"/>
    <s v="Yes"/>
    <n v="0"/>
    <x v="0"/>
    <x v="1"/>
    <n v="37"/>
    <x v="2"/>
    <x v="1"/>
  </r>
  <r>
    <n v="14545"/>
    <x v="0"/>
    <x v="0"/>
    <n v="10000"/>
    <s v="Low Income"/>
    <x v="4"/>
    <x v="1"/>
    <x v="3"/>
    <s v="Yes"/>
    <n v="0"/>
    <x v="3"/>
    <x v="0"/>
    <n v="49"/>
    <x v="0"/>
    <x v="0"/>
  </r>
  <r>
    <n v="24201"/>
    <x v="0"/>
    <x v="0"/>
    <n v="10000"/>
    <s v="Low Income"/>
    <x v="4"/>
    <x v="2"/>
    <x v="3"/>
    <s v="Yes"/>
    <n v="0"/>
    <x v="0"/>
    <x v="0"/>
    <n v="37"/>
    <x v="2"/>
    <x v="1"/>
  </r>
  <r>
    <n v="20625"/>
    <x v="0"/>
    <x v="1"/>
    <n v="100000"/>
    <s v="Medium Income"/>
    <x v="3"/>
    <x v="2"/>
    <x v="4"/>
    <s v="Yes"/>
    <n v="3"/>
    <x v="4"/>
    <x v="1"/>
    <n v="35"/>
    <x v="2"/>
    <x v="1"/>
  </r>
  <r>
    <n v="16390"/>
    <x v="1"/>
    <x v="1"/>
    <n v="30000"/>
    <s v="Low Income"/>
    <x v="0"/>
    <x v="0"/>
    <x v="1"/>
    <s v="No"/>
    <n v="0"/>
    <x v="0"/>
    <x v="0"/>
    <n v="38"/>
    <x v="2"/>
    <x v="1"/>
  </r>
  <r>
    <n v="14804"/>
    <x v="1"/>
    <x v="0"/>
    <n v="10000"/>
    <s v="Low Income"/>
    <x v="1"/>
    <x v="3"/>
    <x v="3"/>
    <s v="Yes"/>
    <n v="2"/>
    <x v="0"/>
    <x v="0"/>
    <n v="43"/>
    <x v="0"/>
    <x v="0"/>
  </r>
  <r>
    <n v="12629"/>
    <x v="1"/>
    <x v="1"/>
    <n v="20000"/>
    <s v="Low Income"/>
    <x v="0"/>
    <x v="1"/>
    <x v="3"/>
    <s v="No"/>
    <n v="0"/>
    <x v="0"/>
    <x v="0"/>
    <n v="37"/>
    <x v="2"/>
    <x v="0"/>
  </r>
  <r>
    <n v="14696"/>
    <x v="1"/>
    <x v="1"/>
    <n v="10000"/>
    <s v="Low Income"/>
    <x v="3"/>
    <x v="3"/>
    <x v="3"/>
    <s v="No"/>
    <n v="2"/>
    <x v="0"/>
    <x v="0"/>
    <n v="34"/>
    <x v="2"/>
    <x v="0"/>
  </r>
  <r>
    <n v="22005"/>
    <x v="0"/>
    <x v="0"/>
    <n v="70000"/>
    <s v="Medium Income"/>
    <x v="2"/>
    <x v="1"/>
    <x v="0"/>
    <s v="No"/>
    <n v="3"/>
    <x v="2"/>
    <x v="1"/>
    <n v="46"/>
    <x v="0"/>
    <x v="0"/>
  </r>
  <r>
    <n v="14544"/>
    <x v="1"/>
    <x v="1"/>
    <n v="10000"/>
    <s v="Low Income"/>
    <x v="0"/>
    <x v="1"/>
    <x v="3"/>
    <s v="Yes"/>
    <n v="0"/>
    <x v="0"/>
    <x v="0"/>
    <n v="49"/>
    <x v="0"/>
    <x v="0"/>
  </r>
  <r>
    <n v="14312"/>
    <x v="0"/>
    <x v="0"/>
    <n v="60000"/>
    <s v="Low Income"/>
    <x v="0"/>
    <x v="1"/>
    <x v="0"/>
    <s v="Yes"/>
    <n v="1"/>
    <x v="2"/>
    <x v="1"/>
    <n v="45"/>
    <x v="0"/>
    <x v="0"/>
  </r>
  <r>
    <n v="29120"/>
    <x v="1"/>
    <x v="0"/>
    <n v="100000"/>
    <s v="Medium Income"/>
    <x v="0"/>
    <x v="0"/>
    <x v="4"/>
    <s v="Yes"/>
    <n v="4"/>
    <x v="1"/>
    <x v="1"/>
    <n v="48"/>
    <x v="0"/>
    <x v="0"/>
  </r>
  <r>
    <n v="24187"/>
    <x v="1"/>
    <x v="0"/>
    <n v="30000"/>
    <s v="Low Income"/>
    <x v="1"/>
    <x v="4"/>
    <x v="1"/>
    <s v="No"/>
    <n v="0"/>
    <x v="0"/>
    <x v="0"/>
    <n v="46"/>
    <x v="0"/>
    <x v="1"/>
  </r>
  <r>
    <n v="15758"/>
    <x v="0"/>
    <x v="1"/>
    <n v="130000"/>
    <s v="High Income"/>
    <x v="3"/>
    <x v="4"/>
    <x v="4"/>
    <s v="Yes"/>
    <n v="0"/>
    <x v="2"/>
    <x v="1"/>
    <n v="48"/>
    <x v="0"/>
    <x v="0"/>
  </r>
  <r>
    <n v="29094"/>
    <x v="0"/>
    <x v="1"/>
    <n v="30000"/>
    <s v="Low Income"/>
    <x v="1"/>
    <x v="2"/>
    <x v="0"/>
    <s v="Yes"/>
    <n v="2"/>
    <x v="2"/>
    <x v="1"/>
    <n v="54"/>
    <x v="0"/>
    <x v="1"/>
  </r>
  <r>
    <n v="28319"/>
    <x v="1"/>
    <x v="0"/>
    <n v="60000"/>
    <s v="Low Income"/>
    <x v="0"/>
    <x v="1"/>
    <x v="0"/>
    <s v="No"/>
    <n v="1"/>
    <x v="0"/>
    <x v="1"/>
    <n v="46"/>
    <x v="0"/>
    <x v="1"/>
  </r>
  <r>
    <n v="16406"/>
    <x v="0"/>
    <x v="1"/>
    <n v="40000"/>
    <s v="Low Income"/>
    <x v="3"/>
    <x v="0"/>
    <x v="1"/>
    <s v="No"/>
    <n v="0"/>
    <x v="0"/>
    <x v="0"/>
    <n v="38"/>
    <x v="2"/>
    <x v="1"/>
  </r>
  <r>
    <n v="20923"/>
    <x v="0"/>
    <x v="0"/>
    <n v="40000"/>
    <s v="Low Income"/>
    <x v="0"/>
    <x v="0"/>
    <x v="0"/>
    <s v="Yes"/>
    <n v="0"/>
    <x v="0"/>
    <x v="0"/>
    <n v="42"/>
    <x v="0"/>
    <x v="1"/>
  </r>
  <r>
    <n v="11378"/>
    <x v="1"/>
    <x v="0"/>
    <n v="10000"/>
    <s v="Low Income"/>
    <x v="0"/>
    <x v="2"/>
    <x v="3"/>
    <s v="No"/>
    <n v="1"/>
    <x v="1"/>
    <x v="0"/>
    <n v="46"/>
    <x v="0"/>
    <x v="1"/>
  </r>
  <r>
    <n v="20851"/>
    <x v="1"/>
    <x v="1"/>
    <n v="20000"/>
    <s v="Low Income"/>
    <x v="3"/>
    <x v="1"/>
    <x v="3"/>
    <s v="No"/>
    <n v="1"/>
    <x v="1"/>
    <x v="0"/>
    <n v="36"/>
    <x v="2"/>
    <x v="1"/>
  </r>
  <r>
    <n v="21557"/>
    <x v="1"/>
    <x v="0"/>
    <n v="110000"/>
    <s v="Medium Income"/>
    <x v="3"/>
    <x v="1"/>
    <x v="4"/>
    <s v="Yes"/>
    <n v="3"/>
    <x v="4"/>
    <x v="1"/>
    <n v="32"/>
    <x v="2"/>
    <x v="1"/>
  </r>
  <r>
    <n v="26663"/>
    <x v="1"/>
    <x v="0"/>
    <n v="60000"/>
    <s v="Low Income"/>
    <x v="4"/>
    <x v="0"/>
    <x v="2"/>
    <s v="No"/>
    <n v="1"/>
    <x v="0"/>
    <x v="1"/>
    <n v="39"/>
    <x v="2"/>
    <x v="1"/>
  </r>
  <r>
    <n v="11896"/>
    <x v="0"/>
    <x v="1"/>
    <n v="100000"/>
    <s v="Medium Income"/>
    <x v="0"/>
    <x v="4"/>
    <x v="4"/>
    <s v="Yes"/>
    <n v="0"/>
    <x v="1"/>
    <x v="1"/>
    <n v="36"/>
    <x v="2"/>
    <x v="1"/>
  </r>
  <r>
    <n v="14189"/>
    <x v="0"/>
    <x v="0"/>
    <n v="90000"/>
    <s v="Medium Income"/>
    <x v="5"/>
    <x v="2"/>
    <x v="2"/>
    <s v="No"/>
    <n v="2"/>
    <x v="1"/>
    <x v="0"/>
    <n v="54"/>
    <x v="0"/>
    <x v="1"/>
  </r>
  <r>
    <n v="13136"/>
    <x v="0"/>
    <x v="0"/>
    <n v="30000"/>
    <s v="Low Income"/>
    <x v="4"/>
    <x v="1"/>
    <x v="1"/>
    <s v="No"/>
    <n v="2"/>
    <x v="2"/>
    <x v="1"/>
    <n v="69"/>
    <x v="1"/>
    <x v="0"/>
  </r>
  <r>
    <n v="25906"/>
    <x v="1"/>
    <x v="0"/>
    <n v="10000"/>
    <s v="Low Income"/>
    <x v="2"/>
    <x v="2"/>
    <x v="0"/>
    <s v="No"/>
    <n v="2"/>
    <x v="3"/>
    <x v="1"/>
    <n v="62"/>
    <x v="1"/>
    <x v="0"/>
  </r>
  <r>
    <n v="17926"/>
    <x v="1"/>
    <x v="0"/>
    <n v="40000"/>
    <s v="Low Income"/>
    <x v="3"/>
    <x v="0"/>
    <x v="1"/>
    <s v="No"/>
    <n v="0"/>
    <x v="0"/>
    <x v="1"/>
    <n v="28"/>
    <x v="3"/>
    <x v="1"/>
  </r>
  <r>
    <n v="26928"/>
    <x v="1"/>
    <x v="1"/>
    <n v="30000"/>
    <s v="Low Income"/>
    <x v="0"/>
    <x v="0"/>
    <x v="1"/>
    <s v="Yes"/>
    <n v="0"/>
    <x v="0"/>
    <x v="0"/>
    <n v="62"/>
    <x v="1"/>
    <x v="1"/>
  </r>
  <r>
    <n v="20897"/>
    <x v="0"/>
    <x v="0"/>
    <n v="30000"/>
    <s v="Low Income"/>
    <x v="0"/>
    <x v="0"/>
    <x v="0"/>
    <s v="Yes"/>
    <n v="2"/>
    <x v="0"/>
    <x v="0"/>
    <n v="40"/>
    <x v="0"/>
    <x v="0"/>
  </r>
  <r>
    <n v="28207"/>
    <x v="0"/>
    <x v="1"/>
    <n v="80000"/>
    <s v="Medium Income"/>
    <x v="5"/>
    <x v="4"/>
    <x v="4"/>
    <s v="Yes"/>
    <n v="1"/>
    <x v="0"/>
    <x v="1"/>
    <n v="36"/>
    <x v="2"/>
    <x v="1"/>
  </r>
  <r>
    <n v="25923"/>
    <x v="1"/>
    <x v="1"/>
    <n v="10000"/>
    <s v="Low Income"/>
    <x v="4"/>
    <x v="3"/>
    <x v="1"/>
    <s v="Yes"/>
    <n v="2"/>
    <x v="2"/>
    <x v="1"/>
    <n v="58"/>
    <x v="0"/>
    <x v="0"/>
  </r>
  <r>
    <n v="11000"/>
    <x v="0"/>
    <x v="1"/>
    <n v="90000"/>
    <s v="Medium Income"/>
    <x v="4"/>
    <x v="0"/>
    <x v="2"/>
    <s v="Yes"/>
    <n v="0"/>
    <x v="3"/>
    <x v="1"/>
    <n v="40"/>
    <x v="0"/>
    <x v="1"/>
  </r>
  <r>
    <n v="20974"/>
    <x v="0"/>
    <x v="1"/>
    <n v="10000"/>
    <s v="Low Income"/>
    <x v="4"/>
    <x v="0"/>
    <x v="1"/>
    <s v="Yes"/>
    <n v="1"/>
    <x v="0"/>
    <x v="0"/>
    <n v="66"/>
    <x v="1"/>
    <x v="0"/>
  </r>
  <r>
    <n v="28758"/>
    <x v="0"/>
    <x v="1"/>
    <n v="40000"/>
    <s v="Low Income"/>
    <x v="4"/>
    <x v="1"/>
    <x v="1"/>
    <s v="Yes"/>
    <n v="1"/>
    <x v="3"/>
    <x v="0"/>
    <n v="35"/>
    <x v="2"/>
    <x v="1"/>
  </r>
  <r>
    <n v="11381"/>
    <x v="0"/>
    <x v="0"/>
    <n v="20000"/>
    <s v="Low Income"/>
    <x v="4"/>
    <x v="1"/>
    <x v="3"/>
    <s v="Yes"/>
    <n v="1"/>
    <x v="1"/>
    <x v="0"/>
    <n v="47"/>
    <x v="0"/>
    <x v="1"/>
  </r>
  <r>
    <n v="17522"/>
    <x v="0"/>
    <x v="1"/>
    <n v="120000"/>
    <s v="Medium Income"/>
    <x v="5"/>
    <x v="0"/>
    <x v="4"/>
    <s v="Yes"/>
    <n v="1"/>
    <x v="1"/>
    <x v="1"/>
    <n v="47"/>
    <x v="0"/>
    <x v="0"/>
  </r>
  <r>
    <n v="21207"/>
    <x v="0"/>
    <x v="1"/>
    <n v="60000"/>
    <s v="Low Income"/>
    <x v="0"/>
    <x v="1"/>
    <x v="0"/>
    <s v="Yes"/>
    <n v="1"/>
    <x v="2"/>
    <x v="1"/>
    <n v="46"/>
    <x v="0"/>
    <x v="0"/>
  </r>
  <r>
    <n v="28102"/>
    <x v="0"/>
    <x v="1"/>
    <n v="20000"/>
    <s v="Low Income"/>
    <x v="5"/>
    <x v="2"/>
    <x v="0"/>
    <s v="Yes"/>
    <n v="2"/>
    <x v="2"/>
    <x v="1"/>
    <n v="58"/>
    <x v="0"/>
    <x v="1"/>
  </r>
  <r>
    <n v="23105"/>
    <x v="1"/>
    <x v="1"/>
    <n v="40000"/>
    <s v="Low Income"/>
    <x v="1"/>
    <x v="3"/>
    <x v="1"/>
    <s v="No"/>
    <n v="2"/>
    <x v="2"/>
    <x v="1"/>
    <n v="52"/>
    <x v="0"/>
    <x v="1"/>
  </r>
  <r>
    <n v="18740"/>
    <x v="0"/>
    <x v="1"/>
    <n v="80000"/>
    <s v="Medium Income"/>
    <x v="2"/>
    <x v="0"/>
    <x v="2"/>
    <s v="No"/>
    <n v="1"/>
    <x v="0"/>
    <x v="1"/>
    <n v="47"/>
    <x v="0"/>
    <x v="1"/>
  </r>
  <r>
    <n v="21213"/>
    <x v="1"/>
    <x v="1"/>
    <n v="70000"/>
    <s v="Medium Income"/>
    <x v="3"/>
    <x v="0"/>
    <x v="2"/>
    <s v="No"/>
    <n v="1"/>
    <x v="2"/>
    <x v="1"/>
    <n v="41"/>
    <x v="0"/>
    <x v="0"/>
  </r>
  <r>
    <n v="17352"/>
    <x v="0"/>
    <x v="1"/>
    <n v="50000"/>
    <s v="Low Income"/>
    <x v="4"/>
    <x v="4"/>
    <x v="4"/>
    <s v="Yes"/>
    <n v="1"/>
    <x v="2"/>
    <x v="1"/>
    <n v="64"/>
    <x v="1"/>
    <x v="1"/>
  </r>
  <r>
    <n v="14154"/>
    <x v="0"/>
    <x v="1"/>
    <n v="30000"/>
    <s v="Low Income"/>
    <x v="3"/>
    <x v="0"/>
    <x v="1"/>
    <s v="Yes"/>
    <n v="0"/>
    <x v="0"/>
    <x v="0"/>
    <n v="35"/>
    <x v="2"/>
    <x v="1"/>
  </r>
  <r>
    <n v="19066"/>
    <x v="0"/>
    <x v="1"/>
    <n v="130000"/>
    <s v="High Income"/>
    <x v="5"/>
    <x v="1"/>
    <x v="2"/>
    <s v="No"/>
    <n v="3"/>
    <x v="4"/>
    <x v="0"/>
    <n v="54"/>
    <x v="0"/>
    <x v="0"/>
  </r>
  <r>
    <n v="11386"/>
    <x v="0"/>
    <x v="0"/>
    <n v="30000"/>
    <s v="Low Income"/>
    <x v="1"/>
    <x v="0"/>
    <x v="1"/>
    <s v="Yes"/>
    <n v="0"/>
    <x v="0"/>
    <x v="0"/>
    <n v="45"/>
    <x v="0"/>
    <x v="0"/>
  </r>
  <r>
    <n v="20228"/>
    <x v="0"/>
    <x v="1"/>
    <n v="100000"/>
    <s v="Medium Income"/>
    <x v="3"/>
    <x v="4"/>
    <x v="4"/>
    <s v="Yes"/>
    <n v="0"/>
    <x v="1"/>
    <x v="1"/>
    <n v="40"/>
    <x v="0"/>
    <x v="1"/>
  </r>
  <r>
    <n v="16675"/>
    <x v="1"/>
    <x v="0"/>
    <n v="160000"/>
    <s v="High Income"/>
    <x v="3"/>
    <x v="4"/>
    <x v="4"/>
    <s v="No"/>
    <n v="3"/>
    <x v="0"/>
    <x v="1"/>
    <n v="47"/>
    <x v="0"/>
    <x v="1"/>
  </r>
  <r>
    <n v="16410"/>
    <x v="1"/>
    <x v="0"/>
    <n v="10000"/>
    <s v="Low Income"/>
    <x v="5"/>
    <x v="3"/>
    <x v="3"/>
    <s v="Yes"/>
    <n v="2"/>
    <x v="0"/>
    <x v="0"/>
    <n v="41"/>
    <x v="0"/>
    <x v="1"/>
  </r>
  <r>
    <n v="27760"/>
    <x v="1"/>
    <x v="0"/>
    <n v="40000"/>
    <s v="Low Income"/>
    <x v="3"/>
    <x v="4"/>
    <x v="1"/>
    <s v="No"/>
    <n v="0"/>
    <x v="0"/>
    <x v="0"/>
    <n v="37"/>
    <x v="2"/>
    <x v="1"/>
  </r>
  <r>
    <n v="22930"/>
    <x v="0"/>
    <x v="1"/>
    <n v="90000"/>
    <s v="Medium Income"/>
    <x v="5"/>
    <x v="0"/>
    <x v="2"/>
    <s v="Yes"/>
    <n v="0"/>
    <x v="3"/>
    <x v="1"/>
    <n v="38"/>
    <x v="2"/>
    <x v="1"/>
  </r>
  <r>
    <n v="23780"/>
    <x v="1"/>
    <x v="1"/>
    <n v="40000"/>
    <s v="Low Income"/>
    <x v="4"/>
    <x v="1"/>
    <x v="1"/>
    <s v="No"/>
    <n v="2"/>
    <x v="0"/>
    <x v="0"/>
    <n v="36"/>
    <x v="2"/>
    <x v="1"/>
  </r>
  <r>
    <n v="20994"/>
    <x v="0"/>
    <x v="0"/>
    <n v="20000"/>
    <s v="Low Income"/>
    <x v="3"/>
    <x v="0"/>
    <x v="1"/>
    <s v="No"/>
    <n v="0"/>
    <x v="0"/>
    <x v="1"/>
    <n v="26"/>
    <x v="3"/>
    <x v="1"/>
  </r>
  <r>
    <n v="28379"/>
    <x v="0"/>
    <x v="1"/>
    <n v="30000"/>
    <s v="Low Income"/>
    <x v="0"/>
    <x v="0"/>
    <x v="0"/>
    <s v="Yes"/>
    <n v="2"/>
    <x v="0"/>
    <x v="0"/>
    <n v="40"/>
    <x v="0"/>
    <x v="0"/>
  </r>
  <r>
    <n v="14865"/>
    <x v="1"/>
    <x v="1"/>
    <n v="40000"/>
    <s v="Low Income"/>
    <x v="4"/>
    <x v="1"/>
    <x v="1"/>
    <s v="Yes"/>
    <n v="2"/>
    <x v="3"/>
    <x v="0"/>
    <n v="36"/>
    <x v="2"/>
    <x v="0"/>
  </r>
  <r>
    <n v="12663"/>
    <x v="0"/>
    <x v="0"/>
    <n v="90000"/>
    <s v="Medium Income"/>
    <x v="2"/>
    <x v="3"/>
    <x v="0"/>
    <s v="Yes"/>
    <n v="2"/>
    <x v="4"/>
    <x v="0"/>
    <n v="59"/>
    <x v="0"/>
    <x v="0"/>
  </r>
  <r>
    <n v="24898"/>
    <x v="1"/>
    <x v="0"/>
    <n v="80000"/>
    <s v="Medium Income"/>
    <x v="3"/>
    <x v="0"/>
    <x v="2"/>
    <s v="Yes"/>
    <n v="3"/>
    <x v="4"/>
    <x v="1"/>
    <n v="32"/>
    <x v="2"/>
    <x v="0"/>
  </r>
  <r>
    <n v="19508"/>
    <x v="0"/>
    <x v="1"/>
    <n v="10000"/>
    <s v="Low Income"/>
    <x v="3"/>
    <x v="3"/>
    <x v="3"/>
    <s v="No"/>
    <n v="2"/>
    <x v="0"/>
    <x v="0"/>
    <n v="30"/>
    <x v="2"/>
    <x v="0"/>
  </r>
  <r>
    <n v="11489"/>
    <x v="1"/>
    <x v="0"/>
    <n v="20000"/>
    <s v="Low Income"/>
    <x v="3"/>
    <x v="3"/>
    <x v="3"/>
    <s v="No"/>
    <n v="2"/>
    <x v="3"/>
    <x v="0"/>
    <n v="35"/>
    <x v="2"/>
    <x v="1"/>
  </r>
  <r>
    <n v="18160"/>
    <x v="0"/>
    <x v="1"/>
    <n v="130000"/>
    <s v="High Income"/>
    <x v="1"/>
    <x v="2"/>
    <x v="2"/>
    <s v="Yes"/>
    <n v="4"/>
    <x v="2"/>
    <x v="0"/>
    <n v="51"/>
    <x v="0"/>
    <x v="1"/>
  </r>
  <r>
    <n v="25241"/>
    <x v="0"/>
    <x v="1"/>
    <n v="90000"/>
    <s v="Medium Income"/>
    <x v="4"/>
    <x v="0"/>
    <x v="2"/>
    <s v="Yes"/>
    <n v="1"/>
    <x v="2"/>
    <x v="1"/>
    <n v="47"/>
    <x v="0"/>
    <x v="0"/>
  </r>
  <r>
    <n v="24369"/>
    <x v="0"/>
    <x v="1"/>
    <n v="80000"/>
    <s v="Medium Income"/>
    <x v="2"/>
    <x v="4"/>
    <x v="4"/>
    <s v="No"/>
    <n v="2"/>
    <x v="0"/>
    <x v="1"/>
    <n v="39"/>
    <x v="2"/>
    <x v="0"/>
  </r>
  <r>
    <n v="27165"/>
    <x v="1"/>
    <x v="1"/>
    <n v="20000"/>
    <s v="Low Income"/>
    <x v="3"/>
    <x v="3"/>
    <x v="3"/>
    <s v="No"/>
    <n v="2"/>
    <x v="0"/>
    <x v="0"/>
    <n v="34"/>
    <x v="2"/>
    <x v="0"/>
  </r>
  <r>
    <n v="29424"/>
    <x v="0"/>
    <x v="1"/>
    <n v="10000"/>
    <s v="Low Income"/>
    <x v="3"/>
    <x v="3"/>
    <x v="3"/>
    <s v="Yes"/>
    <n v="2"/>
    <x v="0"/>
    <x v="0"/>
    <n v="32"/>
    <x v="2"/>
    <x v="0"/>
  </r>
  <r>
    <n v="15926"/>
    <x v="1"/>
    <x v="0"/>
    <n v="120000"/>
    <s v="Medium Income"/>
    <x v="1"/>
    <x v="2"/>
    <x v="2"/>
    <s v="Yes"/>
    <n v="4"/>
    <x v="2"/>
    <x v="0"/>
    <n v="50"/>
    <x v="0"/>
    <x v="1"/>
  </r>
  <r>
    <n v="14554"/>
    <x v="0"/>
    <x v="1"/>
    <n v="20000"/>
    <s v="Low Income"/>
    <x v="0"/>
    <x v="0"/>
    <x v="1"/>
    <s v="Yes"/>
    <n v="0"/>
    <x v="0"/>
    <x v="0"/>
    <n v="66"/>
    <x v="1"/>
    <x v="0"/>
  </r>
  <r>
    <n v="16468"/>
    <x v="1"/>
    <x v="1"/>
    <n v="30000"/>
    <s v="Low Income"/>
    <x v="3"/>
    <x v="1"/>
    <x v="1"/>
    <s v="Yes"/>
    <n v="1"/>
    <x v="1"/>
    <x v="0"/>
    <n v="30"/>
    <x v="2"/>
    <x v="0"/>
  </r>
  <r>
    <n v="19174"/>
    <x v="1"/>
    <x v="0"/>
    <n v="30000"/>
    <s v="Low Income"/>
    <x v="3"/>
    <x v="2"/>
    <x v="3"/>
    <s v="No"/>
    <n v="1"/>
    <x v="1"/>
    <x v="0"/>
    <n v="32"/>
    <x v="2"/>
    <x v="1"/>
  </r>
  <r>
    <n v="19183"/>
    <x v="1"/>
    <x v="1"/>
    <n v="10000"/>
    <s v="Low Income"/>
    <x v="3"/>
    <x v="3"/>
    <x v="3"/>
    <s v="Yes"/>
    <n v="2"/>
    <x v="3"/>
    <x v="0"/>
    <n v="35"/>
    <x v="2"/>
    <x v="0"/>
  </r>
  <r>
    <n v="13683"/>
    <x v="1"/>
    <x v="0"/>
    <n v="30000"/>
    <s v="Low Income"/>
    <x v="3"/>
    <x v="2"/>
    <x v="3"/>
    <s v="No"/>
    <n v="1"/>
    <x v="1"/>
    <x v="0"/>
    <n v="32"/>
    <x v="2"/>
    <x v="0"/>
  </r>
  <r>
    <n v="17848"/>
    <x v="1"/>
    <x v="1"/>
    <n v="30000"/>
    <s v="Low Income"/>
    <x v="3"/>
    <x v="1"/>
    <x v="1"/>
    <s v="No"/>
    <n v="1"/>
    <x v="1"/>
    <x v="0"/>
    <n v="31"/>
    <x v="2"/>
    <x v="1"/>
  </r>
  <r>
    <n v="17894"/>
    <x v="0"/>
    <x v="0"/>
    <n v="20000"/>
    <s v="Low Income"/>
    <x v="0"/>
    <x v="0"/>
    <x v="1"/>
    <s v="Yes"/>
    <n v="0"/>
    <x v="0"/>
    <x v="0"/>
    <n v="50"/>
    <x v="0"/>
    <x v="1"/>
  </r>
  <r>
    <n v="25651"/>
    <x v="0"/>
    <x v="1"/>
    <n v="40000"/>
    <s v="Low Income"/>
    <x v="0"/>
    <x v="0"/>
    <x v="0"/>
    <s v="No"/>
    <n v="0"/>
    <x v="0"/>
    <x v="0"/>
    <n v="43"/>
    <x v="0"/>
    <x v="1"/>
  </r>
  <r>
    <n v="22936"/>
    <x v="1"/>
    <x v="0"/>
    <n v="60000"/>
    <s v="Low Income"/>
    <x v="0"/>
    <x v="1"/>
    <x v="0"/>
    <s v="No"/>
    <n v="1"/>
    <x v="0"/>
    <x v="1"/>
    <n v="45"/>
    <x v="0"/>
    <x v="1"/>
  </r>
  <r>
    <n v="23915"/>
    <x v="0"/>
    <x v="1"/>
    <n v="20000"/>
    <s v="Low Income"/>
    <x v="4"/>
    <x v="2"/>
    <x v="3"/>
    <s v="Yes"/>
    <n v="2"/>
    <x v="0"/>
    <x v="0"/>
    <n v="42"/>
    <x v="0"/>
    <x v="0"/>
  </r>
  <r>
    <n v="24121"/>
    <x v="1"/>
    <x v="0"/>
    <n v="30000"/>
    <s v="Low Income"/>
    <x v="3"/>
    <x v="1"/>
    <x v="1"/>
    <s v="No"/>
    <n v="1"/>
    <x v="0"/>
    <x v="0"/>
    <n v="29"/>
    <x v="3"/>
    <x v="1"/>
  </r>
  <r>
    <n v="27878"/>
    <x v="1"/>
    <x v="1"/>
    <n v="20000"/>
    <s v="Low Income"/>
    <x v="3"/>
    <x v="1"/>
    <x v="3"/>
    <s v="No"/>
    <n v="0"/>
    <x v="0"/>
    <x v="1"/>
    <n v="28"/>
    <x v="3"/>
    <x v="1"/>
  </r>
  <r>
    <n v="13572"/>
    <x v="1"/>
    <x v="1"/>
    <n v="10000"/>
    <s v="Low Income"/>
    <x v="1"/>
    <x v="2"/>
    <x v="3"/>
    <s v="Yes"/>
    <n v="0"/>
    <x v="0"/>
    <x v="0"/>
    <n v="37"/>
    <x v="2"/>
    <x v="1"/>
  </r>
  <r>
    <n v="27941"/>
    <x v="0"/>
    <x v="0"/>
    <n v="80000"/>
    <s v="Medium Income"/>
    <x v="5"/>
    <x v="1"/>
    <x v="2"/>
    <s v="Yes"/>
    <n v="2"/>
    <x v="1"/>
    <x v="0"/>
    <n v="53"/>
    <x v="0"/>
    <x v="0"/>
  </r>
  <r>
    <n v="26354"/>
    <x v="1"/>
    <x v="1"/>
    <n v="40000"/>
    <s v="Low Income"/>
    <x v="3"/>
    <x v="4"/>
    <x v="1"/>
    <s v="No"/>
    <n v="0"/>
    <x v="0"/>
    <x v="0"/>
    <n v="38"/>
    <x v="2"/>
    <x v="1"/>
  </r>
  <r>
    <n v="14785"/>
    <x v="1"/>
    <x v="1"/>
    <n v="30000"/>
    <s v="Low Income"/>
    <x v="0"/>
    <x v="0"/>
    <x v="1"/>
    <s v="No"/>
    <n v="1"/>
    <x v="3"/>
    <x v="0"/>
    <n v="39"/>
    <x v="2"/>
    <x v="0"/>
  </r>
  <r>
    <n v="17238"/>
    <x v="1"/>
    <x v="1"/>
    <n v="80000"/>
    <s v="Medium Income"/>
    <x v="3"/>
    <x v="0"/>
    <x v="2"/>
    <s v="Yes"/>
    <n v="3"/>
    <x v="4"/>
    <x v="1"/>
    <n v="32"/>
    <x v="2"/>
    <x v="0"/>
  </r>
  <r>
    <n v="23608"/>
    <x v="0"/>
    <x v="0"/>
    <n v="150000"/>
    <s v="High Income"/>
    <x v="1"/>
    <x v="2"/>
    <x v="2"/>
    <s v="Yes"/>
    <n v="3"/>
    <x v="0"/>
    <x v="0"/>
    <n v="51"/>
    <x v="0"/>
    <x v="1"/>
  </r>
  <r>
    <n v="22538"/>
    <x v="1"/>
    <x v="0"/>
    <n v="10000"/>
    <s v="Low Income"/>
    <x v="3"/>
    <x v="3"/>
    <x v="3"/>
    <s v="Yes"/>
    <n v="2"/>
    <x v="3"/>
    <x v="0"/>
    <n v="33"/>
    <x v="2"/>
    <x v="0"/>
  </r>
  <r>
    <n v="12332"/>
    <x v="0"/>
    <x v="1"/>
    <n v="90000"/>
    <s v="Medium Income"/>
    <x v="5"/>
    <x v="2"/>
    <x v="4"/>
    <s v="Yes"/>
    <n v="3"/>
    <x v="2"/>
    <x v="0"/>
    <n v="58"/>
    <x v="0"/>
    <x v="1"/>
  </r>
  <r>
    <n v="17230"/>
    <x v="0"/>
    <x v="1"/>
    <n v="80000"/>
    <s v="Medium Income"/>
    <x v="3"/>
    <x v="0"/>
    <x v="2"/>
    <s v="Yes"/>
    <n v="3"/>
    <x v="4"/>
    <x v="1"/>
    <n v="30"/>
    <x v="2"/>
    <x v="0"/>
  </r>
  <r>
    <n v="13082"/>
    <x v="1"/>
    <x v="1"/>
    <n v="130000"/>
    <s v="High Income"/>
    <x v="3"/>
    <x v="4"/>
    <x v="4"/>
    <s v="Yes"/>
    <n v="0"/>
    <x v="1"/>
    <x v="1"/>
    <n v="48"/>
    <x v="0"/>
    <x v="1"/>
  </r>
  <r>
    <n v="22518"/>
    <x v="1"/>
    <x v="0"/>
    <n v="30000"/>
    <s v="Low Income"/>
    <x v="1"/>
    <x v="1"/>
    <x v="1"/>
    <s v="No"/>
    <n v="2"/>
    <x v="0"/>
    <x v="0"/>
    <n v="27"/>
    <x v="3"/>
    <x v="1"/>
  </r>
  <r>
    <n v="13687"/>
    <x v="0"/>
    <x v="1"/>
    <n v="40000"/>
    <s v="Low Income"/>
    <x v="0"/>
    <x v="0"/>
    <x v="0"/>
    <s v="Yes"/>
    <n v="1"/>
    <x v="0"/>
    <x v="0"/>
    <n v="33"/>
    <x v="2"/>
    <x v="1"/>
  </r>
  <r>
    <n v="23571"/>
    <x v="0"/>
    <x v="0"/>
    <n v="40000"/>
    <s v="Low Income"/>
    <x v="4"/>
    <x v="0"/>
    <x v="4"/>
    <s v="Yes"/>
    <n v="2"/>
    <x v="0"/>
    <x v="1"/>
    <n v="66"/>
    <x v="1"/>
    <x v="1"/>
  </r>
  <r>
    <n v="19305"/>
    <x v="1"/>
    <x v="0"/>
    <n v="10000"/>
    <s v="Low Income"/>
    <x v="4"/>
    <x v="2"/>
    <x v="3"/>
    <s v="Yes"/>
    <n v="1"/>
    <x v="0"/>
    <x v="0"/>
    <n v="38"/>
    <x v="2"/>
    <x v="1"/>
  </r>
  <r>
    <n v="22636"/>
    <x v="1"/>
    <x v="0"/>
    <n v="40000"/>
    <s v="Low Income"/>
    <x v="3"/>
    <x v="0"/>
    <x v="1"/>
    <s v="No"/>
    <n v="0"/>
    <x v="0"/>
    <x v="0"/>
    <n v="38"/>
    <x v="2"/>
    <x v="1"/>
  </r>
  <r>
    <n v="17310"/>
    <x v="0"/>
    <x v="1"/>
    <n v="60000"/>
    <s v="Low Income"/>
    <x v="0"/>
    <x v="1"/>
    <x v="0"/>
    <s v="Yes"/>
    <n v="1"/>
    <x v="0"/>
    <x v="1"/>
    <n v="45"/>
    <x v="0"/>
    <x v="1"/>
  </r>
  <r>
    <n v="12133"/>
    <x v="0"/>
    <x v="0"/>
    <n v="130000"/>
    <s v="High Income"/>
    <x v="1"/>
    <x v="1"/>
    <x v="2"/>
    <s v="Yes"/>
    <n v="3"/>
    <x v="2"/>
    <x v="0"/>
    <n v="50"/>
    <x v="0"/>
    <x v="1"/>
  </r>
  <r>
    <n v="25918"/>
    <x v="1"/>
    <x v="0"/>
    <n v="30000"/>
    <s v="Low Income"/>
    <x v="4"/>
    <x v="1"/>
    <x v="1"/>
    <s v="No"/>
    <n v="2"/>
    <x v="2"/>
    <x v="1"/>
    <n v="60"/>
    <x v="1"/>
    <x v="1"/>
  </r>
  <r>
    <n v="25752"/>
    <x v="1"/>
    <x v="0"/>
    <n v="20000"/>
    <s v="Low Income"/>
    <x v="4"/>
    <x v="1"/>
    <x v="3"/>
    <s v="No"/>
    <n v="1"/>
    <x v="0"/>
    <x v="0"/>
    <n v="53"/>
    <x v="0"/>
    <x v="1"/>
  </r>
  <r>
    <n v="17324"/>
    <x v="0"/>
    <x v="0"/>
    <n v="100000"/>
    <s v="Medium Income"/>
    <x v="5"/>
    <x v="0"/>
    <x v="2"/>
    <s v="Yes"/>
    <n v="1"/>
    <x v="4"/>
    <x v="1"/>
    <n v="46"/>
    <x v="0"/>
    <x v="0"/>
  </r>
  <r>
    <n v="22918"/>
    <x v="1"/>
    <x v="1"/>
    <n v="80000"/>
    <s v="Medium Income"/>
    <x v="2"/>
    <x v="4"/>
    <x v="4"/>
    <s v="Yes"/>
    <n v="3"/>
    <x v="0"/>
    <x v="1"/>
    <n v="50"/>
    <x v="0"/>
    <x v="0"/>
  </r>
  <r>
    <n v="12510"/>
    <x v="0"/>
    <x v="1"/>
    <n v="40000"/>
    <s v="Low Income"/>
    <x v="0"/>
    <x v="0"/>
    <x v="0"/>
    <s v="Yes"/>
    <n v="1"/>
    <x v="0"/>
    <x v="0"/>
    <n v="43"/>
    <x v="0"/>
    <x v="1"/>
  </r>
  <r>
    <n v="25512"/>
    <x v="1"/>
    <x v="1"/>
    <n v="20000"/>
    <s v="Low Income"/>
    <x v="3"/>
    <x v="2"/>
    <x v="3"/>
    <s v="No"/>
    <n v="1"/>
    <x v="1"/>
    <x v="0"/>
    <n v="30"/>
    <x v="2"/>
    <x v="0"/>
  </r>
  <r>
    <n v="16179"/>
    <x v="1"/>
    <x v="0"/>
    <n v="80000"/>
    <s v="Medium Income"/>
    <x v="2"/>
    <x v="0"/>
    <x v="2"/>
    <s v="Yes"/>
    <n v="4"/>
    <x v="3"/>
    <x v="1"/>
    <n v="38"/>
    <x v="2"/>
    <x v="0"/>
  </r>
  <r>
    <n v="15628"/>
    <x v="0"/>
    <x v="0"/>
    <n v="40000"/>
    <s v="Low Income"/>
    <x v="0"/>
    <x v="0"/>
    <x v="0"/>
    <s v="Yes"/>
    <n v="1"/>
    <x v="0"/>
    <x v="0"/>
    <n v="89"/>
    <x v="1"/>
    <x v="0"/>
  </r>
  <r>
    <n v="20977"/>
    <x v="0"/>
    <x v="1"/>
    <n v="20000"/>
    <s v="Low Income"/>
    <x v="0"/>
    <x v="0"/>
    <x v="1"/>
    <s v="Yes"/>
    <n v="0"/>
    <x v="0"/>
    <x v="0"/>
    <n v="64"/>
    <x v="1"/>
    <x v="1"/>
  </r>
  <r>
    <n v="18140"/>
    <x v="0"/>
    <x v="1"/>
    <n v="130000"/>
    <s v="High Income"/>
    <x v="1"/>
    <x v="1"/>
    <x v="2"/>
    <s v="No"/>
    <n v="3"/>
    <x v="2"/>
    <x v="0"/>
    <n v="51"/>
    <x v="0"/>
    <x v="1"/>
  </r>
  <r>
    <n v="20417"/>
    <x v="0"/>
    <x v="1"/>
    <n v="30000"/>
    <s v="Low Income"/>
    <x v="1"/>
    <x v="1"/>
    <x v="1"/>
    <s v="No"/>
    <n v="2"/>
    <x v="2"/>
    <x v="1"/>
    <n v="56"/>
    <x v="0"/>
    <x v="0"/>
  </r>
  <r>
    <n v="18267"/>
    <x v="0"/>
    <x v="1"/>
    <n v="60000"/>
    <s v="Low Income"/>
    <x v="1"/>
    <x v="0"/>
    <x v="2"/>
    <s v="Yes"/>
    <n v="2"/>
    <x v="2"/>
    <x v="1"/>
    <n v="43"/>
    <x v="0"/>
    <x v="0"/>
  </r>
  <r>
    <n v="13620"/>
    <x v="1"/>
    <x v="1"/>
    <n v="70000"/>
    <s v="Medium Income"/>
    <x v="3"/>
    <x v="0"/>
    <x v="2"/>
    <s v="No"/>
    <n v="3"/>
    <x v="4"/>
    <x v="1"/>
    <n v="30"/>
    <x v="2"/>
    <x v="1"/>
  </r>
  <r>
    <n v="22974"/>
    <x v="0"/>
    <x v="0"/>
    <n v="30000"/>
    <s v="Low Income"/>
    <x v="4"/>
    <x v="1"/>
    <x v="1"/>
    <s v="Yes"/>
    <n v="2"/>
    <x v="2"/>
    <x v="1"/>
    <n v="69"/>
    <x v="1"/>
    <x v="0"/>
  </r>
  <r>
    <n v="13586"/>
    <x v="0"/>
    <x v="1"/>
    <n v="80000"/>
    <s v="Medium Income"/>
    <x v="5"/>
    <x v="1"/>
    <x v="2"/>
    <s v="Yes"/>
    <n v="2"/>
    <x v="4"/>
    <x v="0"/>
    <n v="53"/>
    <x v="0"/>
    <x v="0"/>
  </r>
  <r>
    <n v="17978"/>
    <x v="0"/>
    <x v="1"/>
    <n v="40000"/>
    <s v="Low Income"/>
    <x v="3"/>
    <x v="4"/>
    <x v="1"/>
    <s v="Yes"/>
    <n v="0"/>
    <x v="0"/>
    <x v="0"/>
    <n v="37"/>
    <x v="2"/>
    <x v="1"/>
  </r>
  <r>
    <n v="12581"/>
    <x v="1"/>
    <x v="0"/>
    <n v="10000"/>
    <s v="Low Income"/>
    <x v="3"/>
    <x v="1"/>
    <x v="3"/>
    <s v="No"/>
    <n v="1"/>
    <x v="0"/>
    <x v="1"/>
    <n v="28"/>
    <x v="3"/>
    <x v="1"/>
  </r>
  <r>
    <n v="18018"/>
    <x v="1"/>
    <x v="1"/>
    <n v="30000"/>
    <s v="Low Income"/>
    <x v="1"/>
    <x v="1"/>
    <x v="1"/>
    <s v="Yes"/>
    <n v="0"/>
    <x v="0"/>
    <x v="0"/>
    <n v="43"/>
    <x v="0"/>
    <x v="0"/>
  </r>
  <r>
    <n v="28957"/>
    <x v="1"/>
    <x v="0"/>
    <n v="120000"/>
    <s v="Medium Income"/>
    <x v="3"/>
    <x v="3"/>
    <x v="2"/>
    <s v="Yes"/>
    <n v="4"/>
    <x v="4"/>
    <x v="1"/>
    <n v="34"/>
    <x v="2"/>
    <x v="1"/>
  </r>
  <r>
    <n v="13690"/>
    <x v="1"/>
    <x v="0"/>
    <n v="20000"/>
    <s v="Low Income"/>
    <x v="3"/>
    <x v="3"/>
    <x v="3"/>
    <s v="No"/>
    <n v="2"/>
    <x v="3"/>
    <x v="0"/>
    <n v="34"/>
    <x v="2"/>
    <x v="1"/>
  </r>
  <r>
    <n v="12568"/>
    <x v="0"/>
    <x v="0"/>
    <n v="30000"/>
    <s v="Low Income"/>
    <x v="0"/>
    <x v="0"/>
    <x v="1"/>
    <s v="Yes"/>
    <n v="0"/>
    <x v="0"/>
    <x v="0"/>
    <n v="64"/>
    <x v="1"/>
    <x v="0"/>
  </r>
  <r>
    <n v="13122"/>
    <x v="0"/>
    <x v="0"/>
    <n v="80000"/>
    <s v="Medium Income"/>
    <x v="3"/>
    <x v="0"/>
    <x v="2"/>
    <s v="Yes"/>
    <n v="1"/>
    <x v="3"/>
    <x v="1"/>
    <n v="41"/>
    <x v="0"/>
    <x v="1"/>
  </r>
  <r>
    <n v="21184"/>
    <x v="1"/>
    <x v="1"/>
    <n v="70000"/>
    <s v="Medium Income"/>
    <x v="3"/>
    <x v="0"/>
    <x v="2"/>
    <s v="No"/>
    <n v="1"/>
    <x v="2"/>
    <x v="1"/>
    <n v="38"/>
    <x v="2"/>
    <x v="0"/>
  </r>
  <r>
    <n v="26150"/>
    <x v="1"/>
    <x v="0"/>
    <n v="70000"/>
    <s v="Medium Income"/>
    <x v="3"/>
    <x v="0"/>
    <x v="2"/>
    <s v="No"/>
    <n v="1"/>
    <x v="0"/>
    <x v="1"/>
    <n v="41"/>
    <x v="0"/>
    <x v="1"/>
  </r>
  <r>
    <n v="24151"/>
    <x v="1"/>
    <x v="1"/>
    <n v="20000"/>
    <s v="Low Income"/>
    <x v="0"/>
    <x v="0"/>
    <x v="1"/>
    <s v="No"/>
    <n v="0"/>
    <x v="0"/>
    <x v="0"/>
    <n v="51"/>
    <x v="0"/>
    <x v="0"/>
  </r>
  <r>
    <n v="23962"/>
    <x v="0"/>
    <x v="0"/>
    <n v="10000"/>
    <s v="Low Income"/>
    <x v="3"/>
    <x v="3"/>
    <x v="3"/>
    <s v="Yes"/>
    <n v="2"/>
    <x v="3"/>
    <x v="0"/>
    <n v="32"/>
    <x v="2"/>
    <x v="0"/>
  </r>
  <r>
    <n v="17793"/>
    <x v="0"/>
    <x v="0"/>
    <n v="40000"/>
    <s v="Low Income"/>
    <x v="3"/>
    <x v="0"/>
    <x v="1"/>
    <s v="Yes"/>
    <n v="0"/>
    <x v="0"/>
    <x v="0"/>
    <n v="38"/>
    <x v="2"/>
    <x v="1"/>
  </r>
  <r>
    <n v="14926"/>
    <x v="0"/>
    <x v="1"/>
    <n v="30000"/>
    <s v="Low Income"/>
    <x v="0"/>
    <x v="0"/>
    <x v="1"/>
    <s v="Yes"/>
    <n v="0"/>
    <x v="0"/>
    <x v="0"/>
    <n v="38"/>
    <x v="2"/>
    <x v="1"/>
  </r>
  <r>
    <n v="16163"/>
    <x v="1"/>
    <x v="1"/>
    <n v="60000"/>
    <s v="Low Income"/>
    <x v="4"/>
    <x v="0"/>
    <x v="2"/>
    <s v="Yes"/>
    <n v="1"/>
    <x v="1"/>
    <x v="1"/>
    <n v="38"/>
    <x v="2"/>
    <x v="1"/>
  </r>
  <r>
    <n v="21365"/>
    <x v="0"/>
    <x v="0"/>
    <n v="10000"/>
    <s v="Low Income"/>
    <x v="4"/>
    <x v="3"/>
    <x v="1"/>
    <s v="Yes"/>
    <n v="2"/>
    <x v="2"/>
    <x v="1"/>
    <n v="58"/>
    <x v="0"/>
    <x v="0"/>
  </r>
  <r>
    <n v="27771"/>
    <x v="1"/>
    <x v="1"/>
    <n v="30000"/>
    <s v="Low Income"/>
    <x v="0"/>
    <x v="0"/>
    <x v="1"/>
    <s v="Yes"/>
    <n v="1"/>
    <x v="3"/>
    <x v="0"/>
    <n v="39"/>
    <x v="2"/>
    <x v="1"/>
  </r>
  <r>
    <n v="26167"/>
    <x v="1"/>
    <x v="0"/>
    <n v="40000"/>
    <s v="Low Income"/>
    <x v="4"/>
    <x v="0"/>
    <x v="4"/>
    <s v="No"/>
    <n v="1"/>
    <x v="2"/>
    <x v="1"/>
    <n v="53"/>
    <x v="0"/>
    <x v="1"/>
  </r>
  <r>
    <n v="25792"/>
    <x v="1"/>
    <x v="0"/>
    <n v="110000"/>
    <s v="Medium Income"/>
    <x v="1"/>
    <x v="0"/>
    <x v="4"/>
    <s v="Yes"/>
    <n v="4"/>
    <x v="4"/>
    <x v="0"/>
    <n v="53"/>
    <x v="0"/>
    <x v="0"/>
  </r>
  <r>
    <n v="11555"/>
    <x v="0"/>
    <x v="0"/>
    <n v="40000"/>
    <s v="Low Income"/>
    <x v="0"/>
    <x v="0"/>
    <x v="1"/>
    <s v="Yes"/>
    <n v="0"/>
    <x v="0"/>
    <x v="0"/>
    <n v="80"/>
    <x v="1"/>
    <x v="0"/>
  </r>
  <r>
    <n v="22381"/>
    <x v="0"/>
    <x v="1"/>
    <n v="10000"/>
    <s v="Low Income"/>
    <x v="0"/>
    <x v="4"/>
    <x v="3"/>
    <s v="Yes"/>
    <n v="0"/>
    <x v="0"/>
    <x v="0"/>
    <n v="44"/>
    <x v="0"/>
    <x v="0"/>
  </r>
  <r>
    <n v="17882"/>
    <x v="0"/>
    <x v="1"/>
    <n v="20000"/>
    <s v="Low Income"/>
    <x v="0"/>
    <x v="4"/>
    <x v="1"/>
    <s v="Yes"/>
    <n v="0"/>
    <x v="0"/>
    <x v="0"/>
    <n v="44"/>
    <x v="0"/>
    <x v="0"/>
  </r>
  <r>
    <n v="22174"/>
    <x v="0"/>
    <x v="1"/>
    <n v="30000"/>
    <s v="Low Income"/>
    <x v="1"/>
    <x v="2"/>
    <x v="0"/>
    <s v="Yes"/>
    <n v="2"/>
    <x v="2"/>
    <x v="1"/>
    <n v="54"/>
    <x v="0"/>
    <x v="1"/>
  </r>
  <r>
    <n v="22439"/>
    <x v="0"/>
    <x v="0"/>
    <n v="30000"/>
    <s v="Low Income"/>
    <x v="3"/>
    <x v="0"/>
    <x v="1"/>
    <s v="Yes"/>
    <n v="0"/>
    <x v="0"/>
    <x v="0"/>
    <n v="37"/>
    <x v="2"/>
    <x v="1"/>
  </r>
  <r>
    <n v="18012"/>
    <x v="0"/>
    <x v="0"/>
    <n v="40000"/>
    <s v="Low Income"/>
    <x v="0"/>
    <x v="0"/>
    <x v="0"/>
    <s v="Yes"/>
    <n v="0"/>
    <x v="0"/>
    <x v="0"/>
    <n v="41"/>
    <x v="0"/>
    <x v="0"/>
  </r>
  <r>
    <n v="27582"/>
    <x v="1"/>
    <x v="0"/>
    <n v="90000"/>
    <s v="Medium Income"/>
    <x v="4"/>
    <x v="0"/>
    <x v="2"/>
    <s v="No"/>
    <n v="0"/>
    <x v="0"/>
    <x v="1"/>
    <n v="36"/>
    <x v="2"/>
    <x v="1"/>
  </r>
  <r>
    <n v="12744"/>
    <x v="1"/>
    <x v="0"/>
    <n v="40000"/>
    <s v="Low Income"/>
    <x v="4"/>
    <x v="1"/>
    <x v="1"/>
    <s v="Yes"/>
    <n v="0"/>
    <x v="0"/>
    <x v="0"/>
    <n v="33"/>
    <x v="2"/>
    <x v="0"/>
  </r>
  <r>
    <n v="22821"/>
    <x v="0"/>
    <x v="0"/>
    <n v="130000"/>
    <s v="High Income"/>
    <x v="1"/>
    <x v="1"/>
    <x v="2"/>
    <s v="Yes"/>
    <n v="4"/>
    <x v="0"/>
    <x v="0"/>
    <n v="52"/>
    <x v="0"/>
    <x v="0"/>
  </r>
  <r>
    <n v="20171"/>
    <x v="0"/>
    <x v="0"/>
    <n v="20000"/>
    <s v="Low Income"/>
    <x v="4"/>
    <x v="1"/>
    <x v="3"/>
    <s v="Yes"/>
    <n v="1"/>
    <x v="0"/>
    <x v="0"/>
    <n v="46"/>
    <x v="0"/>
    <x v="1"/>
  </r>
  <r>
    <n v="11116"/>
    <x v="0"/>
    <x v="1"/>
    <n v="70000"/>
    <s v="Medium Income"/>
    <x v="2"/>
    <x v="1"/>
    <x v="0"/>
    <s v="Yes"/>
    <n v="2"/>
    <x v="2"/>
    <x v="1"/>
    <n v="43"/>
    <x v="0"/>
    <x v="0"/>
  </r>
  <r>
    <n v="20053"/>
    <x v="1"/>
    <x v="1"/>
    <n v="40000"/>
    <s v="Low Income"/>
    <x v="4"/>
    <x v="1"/>
    <x v="1"/>
    <s v="Yes"/>
    <n v="0"/>
    <x v="0"/>
    <x v="0"/>
    <n v="34"/>
    <x v="2"/>
    <x v="0"/>
  </r>
  <r>
    <n v="25266"/>
    <x v="1"/>
    <x v="0"/>
    <n v="30000"/>
    <s v="Low Income"/>
    <x v="4"/>
    <x v="1"/>
    <x v="1"/>
    <s v="No"/>
    <n v="2"/>
    <x v="2"/>
    <x v="1"/>
    <n v="67"/>
    <x v="1"/>
    <x v="0"/>
  </r>
  <r>
    <n v="17960"/>
    <x v="0"/>
    <x v="0"/>
    <n v="40000"/>
    <s v="Low Income"/>
    <x v="3"/>
    <x v="4"/>
    <x v="1"/>
    <s v="Yes"/>
    <n v="0"/>
    <x v="0"/>
    <x v="0"/>
    <n v="35"/>
    <x v="2"/>
    <x v="1"/>
  </r>
  <r>
    <n v="13961"/>
    <x v="0"/>
    <x v="0"/>
    <n v="80000"/>
    <s v="Medium Income"/>
    <x v="2"/>
    <x v="4"/>
    <x v="4"/>
    <s v="Yes"/>
    <n v="3"/>
    <x v="0"/>
    <x v="1"/>
    <n v="40"/>
    <x v="0"/>
    <x v="0"/>
  </r>
  <r>
    <n v="11897"/>
    <x v="1"/>
    <x v="1"/>
    <n v="60000"/>
    <s v="Low Income"/>
    <x v="4"/>
    <x v="0"/>
    <x v="2"/>
    <s v="No"/>
    <n v="1"/>
    <x v="0"/>
    <x v="1"/>
    <n v="37"/>
    <x v="2"/>
    <x v="1"/>
  </r>
  <r>
    <n v="11139"/>
    <x v="1"/>
    <x v="0"/>
    <n v="30000"/>
    <s v="Low Income"/>
    <x v="4"/>
    <x v="1"/>
    <x v="1"/>
    <s v="No"/>
    <n v="2"/>
    <x v="2"/>
    <x v="1"/>
    <n v="67"/>
    <x v="1"/>
    <x v="0"/>
  </r>
  <r>
    <n v="11576"/>
    <x v="0"/>
    <x v="1"/>
    <n v="30000"/>
    <s v="Low Income"/>
    <x v="0"/>
    <x v="0"/>
    <x v="0"/>
    <s v="Yes"/>
    <n v="2"/>
    <x v="0"/>
    <x v="0"/>
    <n v="41"/>
    <x v="0"/>
    <x v="1"/>
  </r>
  <r>
    <n v="19255"/>
    <x v="1"/>
    <x v="1"/>
    <n v="10000"/>
    <s v="Low Income"/>
    <x v="4"/>
    <x v="1"/>
    <x v="3"/>
    <s v="Yes"/>
    <n v="1"/>
    <x v="0"/>
    <x v="0"/>
    <n v="51"/>
    <x v="0"/>
    <x v="1"/>
  </r>
  <r>
    <n v="18153"/>
    <x v="0"/>
    <x v="0"/>
    <n v="100000"/>
    <s v="Medium Income"/>
    <x v="4"/>
    <x v="0"/>
    <x v="4"/>
    <s v="Yes"/>
    <n v="4"/>
    <x v="4"/>
    <x v="0"/>
    <n v="59"/>
    <x v="0"/>
    <x v="0"/>
  </r>
  <r>
    <n v="14547"/>
    <x v="0"/>
    <x v="1"/>
    <n v="10000"/>
    <s v="Low Income"/>
    <x v="4"/>
    <x v="1"/>
    <x v="3"/>
    <s v="Yes"/>
    <n v="0"/>
    <x v="3"/>
    <x v="0"/>
    <n v="51"/>
    <x v="0"/>
    <x v="0"/>
  </r>
  <r>
    <n v="24901"/>
    <x v="1"/>
    <x v="1"/>
    <n v="110000"/>
    <s v="Medium Income"/>
    <x v="3"/>
    <x v="1"/>
    <x v="4"/>
    <s v="No"/>
    <n v="3"/>
    <x v="4"/>
    <x v="1"/>
    <n v="32"/>
    <x v="2"/>
    <x v="1"/>
  </r>
  <r>
    <n v="27169"/>
    <x v="1"/>
    <x v="1"/>
    <n v="30000"/>
    <s v="Low Income"/>
    <x v="3"/>
    <x v="2"/>
    <x v="3"/>
    <s v="Yes"/>
    <n v="1"/>
    <x v="1"/>
    <x v="0"/>
    <n v="34"/>
    <x v="2"/>
    <x v="1"/>
  </r>
  <r>
    <n v="14805"/>
    <x v="1"/>
    <x v="0"/>
    <n v="10000"/>
    <s v="Low Income"/>
    <x v="1"/>
    <x v="3"/>
    <x v="3"/>
    <s v="Yes"/>
    <n v="2"/>
    <x v="0"/>
    <x v="0"/>
    <n v="43"/>
    <x v="0"/>
    <x v="0"/>
  </r>
  <r>
    <n v="15822"/>
    <x v="0"/>
    <x v="1"/>
    <n v="40000"/>
    <s v="Low Income"/>
    <x v="4"/>
    <x v="0"/>
    <x v="4"/>
    <s v="Yes"/>
    <n v="2"/>
    <x v="0"/>
    <x v="1"/>
    <n v="67"/>
    <x v="1"/>
    <x v="0"/>
  </r>
  <r>
    <n v="19389"/>
    <x v="1"/>
    <x v="1"/>
    <n v="30000"/>
    <s v="Low Income"/>
    <x v="3"/>
    <x v="1"/>
    <x v="1"/>
    <s v="No"/>
    <n v="1"/>
    <x v="1"/>
    <x v="0"/>
    <n v="28"/>
    <x v="3"/>
    <x v="0"/>
  </r>
  <r>
    <n v="17048"/>
    <x v="1"/>
    <x v="0"/>
    <n v="90000"/>
    <s v="Medium Income"/>
    <x v="0"/>
    <x v="4"/>
    <x v="4"/>
    <s v="Yes"/>
    <n v="0"/>
    <x v="0"/>
    <x v="1"/>
    <n v="36"/>
    <x v="2"/>
    <x v="1"/>
  </r>
  <r>
    <n v="22204"/>
    <x v="0"/>
    <x v="1"/>
    <n v="110000"/>
    <s v="Medium Income"/>
    <x v="5"/>
    <x v="0"/>
    <x v="4"/>
    <s v="Yes"/>
    <n v="3"/>
    <x v="1"/>
    <x v="1"/>
    <n v="48"/>
    <x v="0"/>
    <x v="0"/>
  </r>
  <r>
    <n v="12718"/>
    <x v="1"/>
    <x v="0"/>
    <n v="30000"/>
    <s v="Low Income"/>
    <x v="3"/>
    <x v="1"/>
    <x v="1"/>
    <s v="Yes"/>
    <n v="1"/>
    <x v="1"/>
    <x v="0"/>
    <n v="31"/>
    <x v="2"/>
    <x v="0"/>
  </r>
  <r>
    <n v="15019"/>
    <x v="1"/>
    <x v="0"/>
    <n v="30000"/>
    <s v="Low Income"/>
    <x v="1"/>
    <x v="2"/>
    <x v="0"/>
    <s v="Yes"/>
    <n v="2"/>
    <x v="2"/>
    <x v="1"/>
    <n v="55"/>
    <x v="0"/>
    <x v="0"/>
  </r>
  <r>
    <n v="28488"/>
    <x v="1"/>
    <x v="1"/>
    <n v="20000"/>
    <s v="Low Income"/>
    <x v="3"/>
    <x v="1"/>
    <x v="3"/>
    <s v="Yes"/>
    <n v="0"/>
    <x v="0"/>
    <x v="1"/>
    <n v="28"/>
    <x v="3"/>
    <x v="1"/>
  </r>
  <r>
    <n v="21891"/>
    <x v="0"/>
    <x v="0"/>
    <n v="110000"/>
    <s v="Medium Income"/>
    <x v="3"/>
    <x v="2"/>
    <x v="4"/>
    <s v="Yes"/>
    <n v="3"/>
    <x v="4"/>
    <x v="1"/>
    <n v="34"/>
    <x v="2"/>
    <x v="1"/>
  </r>
  <r>
    <n v="27814"/>
    <x v="1"/>
    <x v="0"/>
    <n v="30000"/>
    <s v="Low Income"/>
    <x v="1"/>
    <x v="1"/>
    <x v="1"/>
    <s v="No"/>
    <n v="1"/>
    <x v="0"/>
    <x v="0"/>
    <n v="26"/>
    <x v="3"/>
    <x v="0"/>
  </r>
  <r>
    <n v="22175"/>
    <x v="0"/>
    <x v="0"/>
    <n v="30000"/>
    <s v="Low Income"/>
    <x v="1"/>
    <x v="2"/>
    <x v="0"/>
    <s v="Yes"/>
    <n v="2"/>
    <x v="2"/>
    <x v="1"/>
    <n v="53"/>
    <x v="0"/>
    <x v="1"/>
  </r>
  <r>
    <n v="29447"/>
    <x v="1"/>
    <x v="0"/>
    <n v="10000"/>
    <s v="Low Income"/>
    <x v="4"/>
    <x v="0"/>
    <x v="1"/>
    <s v="No"/>
    <n v="1"/>
    <x v="1"/>
    <x v="0"/>
    <n v="68"/>
    <x v="1"/>
    <x v="0"/>
  </r>
  <r>
    <n v="19784"/>
    <x v="0"/>
    <x v="0"/>
    <n v="80000"/>
    <s v="Medium Income"/>
    <x v="4"/>
    <x v="2"/>
    <x v="0"/>
    <s v="Yes"/>
    <n v="2"/>
    <x v="2"/>
    <x v="1"/>
    <n v="50"/>
    <x v="0"/>
    <x v="1"/>
  </r>
  <r>
    <n v="27824"/>
    <x v="1"/>
    <x v="0"/>
    <n v="30000"/>
    <s v="Low Income"/>
    <x v="1"/>
    <x v="1"/>
    <x v="1"/>
    <s v="Yes"/>
    <n v="2"/>
    <x v="0"/>
    <x v="0"/>
    <n v="28"/>
    <x v="3"/>
    <x v="1"/>
  </r>
  <r>
    <n v="24093"/>
    <x v="1"/>
    <x v="0"/>
    <n v="80000"/>
    <s v="Medium Income"/>
    <x v="3"/>
    <x v="4"/>
    <x v="0"/>
    <s v="No"/>
    <n v="0"/>
    <x v="0"/>
    <x v="0"/>
    <n v="40"/>
    <x v="0"/>
    <x v="1"/>
  </r>
  <r>
    <n v="19618"/>
    <x v="0"/>
    <x v="1"/>
    <n v="70000"/>
    <s v="Medium Income"/>
    <x v="2"/>
    <x v="1"/>
    <x v="0"/>
    <s v="Yes"/>
    <n v="2"/>
    <x v="0"/>
    <x v="1"/>
    <n v="44"/>
    <x v="0"/>
    <x v="0"/>
  </r>
  <r>
    <n v="21561"/>
    <x v="1"/>
    <x v="1"/>
    <n v="90000"/>
    <s v="Medium Income"/>
    <x v="3"/>
    <x v="0"/>
    <x v="2"/>
    <s v="No"/>
    <n v="3"/>
    <x v="4"/>
    <x v="1"/>
    <n v="34"/>
    <x v="2"/>
    <x v="1"/>
  </r>
  <r>
    <n v="11061"/>
    <x v="0"/>
    <x v="1"/>
    <n v="70000"/>
    <s v="Medium Income"/>
    <x v="4"/>
    <x v="1"/>
    <x v="0"/>
    <s v="Yes"/>
    <n v="2"/>
    <x v="2"/>
    <x v="1"/>
    <n v="52"/>
    <x v="0"/>
    <x v="1"/>
  </r>
  <r>
    <n v="26651"/>
    <x v="1"/>
    <x v="1"/>
    <n v="80000"/>
    <s v="Medium Income"/>
    <x v="5"/>
    <x v="4"/>
    <x v="4"/>
    <s v="Yes"/>
    <n v="0"/>
    <x v="0"/>
    <x v="1"/>
    <n v="36"/>
    <x v="2"/>
    <x v="1"/>
  </r>
  <r>
    <n v="21108"/>
    <x v="0"/>
    <x v="0"/>
    <n v="40000"/>
    <s v="Low Income"/>
    <x v="0"/>
    <x v="0"/>
    <x v="0"/>
    <s v="Yes"/>
    <n v="1"/>
    <x v="0"/>
    <x v="0"/>
    <n v="43"/>
    <x v="0"/>
    <x v="1"/>
  </r>
  <r>
    <n v="12731"/>
    <x v="1"/>
    <x v="1"/>
    <n v="30000"/>
    <s v="Low Income"/>
    <x v="3"/>
    <x v="2"/>
    <x v="3"/>
    <s v="No"/>
    <n v="1"/>
    <x v="3"/>
    <x v="0"/>
    <n v="32"/>
    <x v="2"/>
    <x v="0"/>
  </r>
  <r>
    <n v="25307"/>
    <x v="0"/>
    <x v="0"/>
    <n v="40000"/>
    <s v="Low Income"/>
    <x v="0"/>
    <x v="0"/>
    <x v="0"/>
    <s v="Yes"/>
    <n v="1"/>
    <x v="3"/>
    <x v="0"/>
    <n v="32"/>
    <x v="2"/>
    <x v="1"/>
  </r>
  <r>
    <n v="14278"/>
    <x v="0"/>
    <x v="0"/>
    <n v="130000"/>
    <s v="High Income"/>
    <x v="3"/>
    <x v="4"/>
    <x v="4"/>
    <s v="Yes"/>
    <n v="1"/>
    <x v="4"/>
    <x v="1"/>
    <n v="48"/>
    <x v="0"/>
    <x v="0"/>
  </r>
  <r>
    <n v="20711"/>
    <x v="0"/>
    <x v="0"/>
    <n v="40000"/>
    <s v="Low Income"/>
    <x v="0"/>
    <x v="0"/>
    <x v="0"/>
    <s v="Yes"/>
    <n v="0"/>
    <x v="3"/>
    <x v="0"/>
    <n v="32"/>
    <x v="2"/>
    <x v="1"/>
  </r>
  <r>
    <n v="11383"/>
    <x v="0"/>
    <x v="0"/>
    <n v="30000"/>
    <s v="Low Income"/>
    <x v="1"/>
    <x v="4"/>
    <x v="1"/>
    <s v="Yes"/>
    <n v="0"/>
    <x v="0"/>
    <x v="0"/>
    <n v="46"/>
    <x v="0"/>
    <x v="0"/>
  </r>
  <r>
    <n v="12497"/>
    <x v="0"/>
    <x v="0"/>
    <n v="40000"/>
    <s v="Low Income"/>
    <x v="0"/>
    <x v="0"/>
    <x v="0"/>
    <s v="Yes"/>
    <n v="0"/>
    <x v="0"/>
    <x v="0"/>
    <n v="42"/>
    <x v="0"/>
    <x v="0"/>
  </r>
  <r>
    <n v="16559"/>
    <x v="1"/>
    <x v="0"/>
    <n v="10000"/>
    <s v="Low Income"/>
    <x v="4"/>
    <x v="2"/>
    <x v="3"/>
    <s v="Yes"/>
    <n v="0"/>
    <x v="0"/>
    <x v="0"/>
    <n v="36"/>
    <x v="2"/>
    <x v="1"/>
  </r>
  <r>
    <n v="11585"/>
    <x v="0"/>
    <x v="0"/>
    <n v="40000"/>
    <s v="Low Income"/>
    <x v="0"/>
    <x v="0"/>
    <x v="0"/>
    <s v="Yes"/>
    <n v="0"/>
    <x v="0"/>
    <x v="0"/>
    <n v="41"/>
    <x v="0"/>
    <x v="0"/>
  </r>
  <r>
    <n v="20277"/>
    <x v="0"/>
    <x v="0"/>
    <n v="30000"/>
    <s v="Low Income"/>
    <x v="4"/>
    <x v="1"/>
    <x v="1"/>
    <s v="No"/>
    <n v="2"/>
    <x v="0"/>
    <x v="1"/>
    <n v="69"/>
    <x v="1"/>
    <x v="0"/>
  </r>
  <r>
    <n v="26765"/>
    <x v="1"/>
    <x v="0"/>
    <n v="70000"/>
    <s v="Medium Income"/>
    <x v="2"/>
    <x v="1"/>
    <x v="0"/>
    <s v="Yes"/>
    <n v="2"/>
    <x v="2"/>
    <x v="1"/>
    <n v="45"/>
    <x v="0"/>
    <x v="0"/>
  </r>
  <r>
    <n v="12389"/>
    <x v="1"/>
    <x v="1"/>
    <n v="30000"/>
    <s v="Low Income"/>
    <x v="3"/>
    <x v="2"/>
    <x v="3"/>
    <s v="No"/>
    <n v="1"/>
    <x v="1"/>
    <x v="0"/>
    <n v="34"/>
    <x v="2"/>
    <x v="0"/>
  </r>
  <r>
    <n v="13585"/>
    <x v="0"/>
    <x v="0"/>
    <n v="80000"/>
    <s v="Medium Income"/>
    <x v="5"/>
    <x v="1"/>
    <x v="2"/>
    <s v="No"/>
    <n v="1"/>
    <x v="1"/>
    <x v="0"/>
    <n v="53"/>
    <x v="0"/>
    <x v="1"/>
  </r>
  <r>
    <n v="26385"/>
    <x v="1"/>
    <x v="1"/>
    <n v="120000"/>
    <s v="Medium Income"/>
    <x v="1"/>
    <x v="2"/>
    <x v="2"/>
    <s v="No"/>
    <n v="4"/>
    <x v="2"/>
    <x v="0"/>
    <n v="50"/>
    <x v="0"/>
    <x v="0"/>
  </r>
  <r>
    <n v="12236"/>
    <x v="0"/>
    <x v="0"/>
    <n v="20000"/>
    <s v="Low Income"/>
    <x v="0"/>
    <x v="1"/>
    <x v="3"/>
    <s v="Yes"/>
    <n v="0"/>
    <x v="0"/>
    <x v="0"/>
    <n v="65"/>
    <x v="1"/>
    <x v="0"/>
  </r>
  <r>
    <n v="21560"/>
    <x v="0"/>
    <x v="1"/>
    <n v="120000"/>
    <s v="Medium Income"/>
    <x v="3"/>
    <x v="3"/>
    <x v="2"/>
    <s v="Yes"/>
    <n v="4"/>
    <x v="4"/>
    <x v="1"/>
    <n v="32"/>
    <x v="2"/>
    <x v="1"/>
  </r>
  <r>
    <n v="21554"/>
    <x v="1"/>
    <x v="0"/>
    <n v="80000"/>
    <s v="Medium Income"/>
    <x v="3"/>
    <x v="0"/>
    <x v="2"/>
    <s v="No"/>
    <n v="3"/>
    <x v="4"/>
    <x v="1"/>
    <n v="33"/>
    <x v="2"/>
    <x v="0"/>
  </r>
  <r>
    <n v="13662"/>
    <x v="1"/>
    <x v="1"/>
    <n v="20000"/>
    <s v="Low Income"/>
    <x v="3"/>
    <x v="3"/>
    <x v="3"/>
    <s v="Yes"/>
    <n v="2"/>
    <x v="3"/>
    <x v="0"/>
    <n v="31"/>
    <x v="2"/>
    <x v="1"/>
  </r>
  <r>
    <n v="13089"/>
    <x v="0"/>
    <x v="0"/>
    <n v="120000"/>
    <s v="Medium Income"/>
    <x v="0"/>
    <x v="0"/>
    <x v="4"/>
    <s v="Yes"/>
    <n v="2"/>
    <x v="0"/>
    <x v="1"/>
    <n v="46"/>
    <x v="0"/>
    <x v="1"/>
  </r>
  <r>
    <n v="14791"/>
    <x v="0"/>
    <x v="0"/>
    <n v="40000"/>
    <s v="Low Income"/>
    <x v="3"/>
    <x v="0"/>
    <x v="1"/>
    <s v="Yes"/>
    <n v="0"/>
    <x v="0"/>
    <x v="0"/>
    <n v="39"/>
    <x v="2"/>
    <x v="1"/>
  </r>
  <r>
    <n v="19331"/>
    <x v="1"/>
    <x v="1"/>
    <n v="20000"/>
    <s v="Low Income"/>
    <x v="4"/>
    <x v="2"/>
    <x v="3"/>
    <s v="Yes"/>
    <n v="1"/>
    <x v="0"/>
    <x v="0"/>
    <n v="40"/>
    <x v="0"/>
    <x v="0"/>
  </r>
  <r>
    <n v="17754"/>
    <x v="1"/>
    <x v="0"/>
    <n v="30000"/>
    <s v="Low Income"/>
    <x v="1"/>
    <x v="0"/>
    <x v="1"/>
    <s v="Yes"/>
    <n v="0"/>
    <x v="0"/>
    <x v="0"/>
    <n v="46"/>
    <x v="0"/>
    <x v="1"/>
  </r>
  <r>
    <n v="11149"/>
    <x v="0"/>
    <x v="1"/>
    <n v="40000"/>
    <s v="Low Income"/>
    <x v="4"/>
    <x v="0"/>
    <x v="4"/>
    <s v="Yes"/>
    <n v="2"/>
    <x v="0"/>
    <x v="1"/>
    <n v="65"/>
    <x v="1"/>
    <x v="0"/>
  </r>
  <r>
    <n v="16549"/>
    <x v="1"/>
    <x v="0"/>
    <n v="30000"/>
    <s v="Low Income"/>
    <x v="1"/>
    <x v="0"/>
    <x v="1"/>
    <s v="Yes"/>
    <n v="0"/>
    <x v="0"/>
    <x v="0"/>
    <n v="47"/>
    <x v="0"/>
    <x v="1"/>
  </r>
  <r>
    <n v="24305"/>
    <x v="1"/>
    <x v="1"/>
    <n v="100000"/>
    <s v="Medium Income"/>
    <x v="0"/>
    <x v="0"/>
    <x v="4"/>
    <s v="No"/>
    <n v="3"/>
    <x v="0"/>
    <x v="1"/>
    <n v="46"/>
    <x v="0"/>
    <x v="1"/>
  </r>
  <r>
    <n v="18253"/>
    <x v="0"/>
    <x v="0"/>
    <n v="80000"/>
    <s v="Medium Income"/>
    <x v="2"/>
    <x v="4"/>
    <x v="4"/>
    <s v="Yes"/>
    <n v="3"/>
    <x v="0"/>
    <x v="1"/>
    <n v="40"/>
    <x v="0"/>
    <x v="0"/>
  </r>
  <r>
    <n v="20147"/>
    <x v="0"/>
    <x v="0"/>
    <n v="30000"/>
    <s v="Low Income"/>
    <x v="0"/>
    <x v="0"/>
    <x v="1"/>
    <s v="Yes"/>
    <n v="0"/>
    <x v="0"/>
    <x v="0"/>
    <n v="65"/>
    <x v="1"/>
    <x v="0"/>
  </r>
  <r>
    <n v="15612"/>
    <x v="1"/>
    <x v="1"/>
    <n v="30000"/>
    <s v="Low Income"/>
    <x v="3"/>
    <x v="2"/>
    <x v="3"/>
    <s v="No"/>
    <n v="1"/>
    <x v="3"/>
    <x v="0"/>
    <n v="28"/>
    <x v="3"/>
    <x v="0"/>
  </r>
  <r>
    <n v="28323"/>
    <x v="1"/>
    <x v="1"/>
    <n v="70000"/>
    <s v="Medium Income"/>
    <x v="3"/>
    <x v="0"/>
    <x v="2"/>
    <s v="No"/>
    <n v="2"/>
    <x v="2"/>
    <x v="1"/>
    <n v="43"/>
    <x v="0"/>
    <x v="1"/>
  </r>
  <r>
    <n v="22634"/>
    <x v="1"/>
    <x v="0"/>
    <n v="40000"/>
    <s v="Low Income"/>
    <x v="3"/>
    <x v="4"/>
    <x v="1"/>
    <s v="Yes"/>
    <n v="0"/>
    <x v="0"/>
    <x v="0"/>
    <n v="38"/>
    <x v="2"/>
    <x v="1"/>
  </r>
  <r>
    <n v="15665"/>
    <x v="0"/>
    <x v="0"/>
    <n v="30000"/>
    <s v="Low Income"/>
    <x v="3"/>
    <x v="0"/>
    <x v="1"/>
    <s v="Yes"/>
    <n v="0"/>
    <x v="0"/>
    <x v="0"/>
    <n v="47"/>
    <x v="0"/>
    <x v="1"/>
  </r>
  <r>
    <n v="27585"/>
    <x v="0"/>
    <x v="0"/>
    <n v="90000"/>
    <s v="Medium Income"/>
    <x v="4"/>
    <x v="0"/>
    <x v="2"/>
    <s v="No"/>
    <n v="0"/>
    <x v="0"/>
    <x v="1"/>
    <n v="36"/>
    <x v="2"/>
    <x v="1"/>
  </r>
  <r>
    <n v="19748"/>
    <x v="0"/>
    <x v="1"/>
    <n v="20000"/>
    <s v="Low Income"/>
    <x v="5"/>
    <x v="2"/>
    <x v="0"/>
    <s v="No"/>
    <n v="2"/>
    <x v="3"/>
    <x v="1"/>
    <n v="60"/>
    <x v="1"/>
    <x v="0"/>
  </r>
  <r>
    <n v="21974"/>
    <x v="1"/>
    <x v="0"/>
    <n v="70000"/>
    <s v="Medium Income"/>
    <x v="3"/>
    <x v="0"/>
    <x v="2"/>
    <s v="Yes"/>
    <n v="1"/>
    <x v="2"/>
    <x v="1"/>
    <n v="42"/>
    <x v="0"/>
    <x v="1"/>
  </r>
  <r>
    <n v="14032"/>
    <x v="0"/>
    <x v="1"/>
    <n v="70000"/>
    <s v="Medium Income"/>
    <x v="4"/>
    <x v="2"/>
    <x v="0"/>
    <s v="No"/>
    <n v="2"/>
    <x v="3"/>
    <x v="1"/>
    <n v="50"/>
    <x v="0"/>
    <x v="1"/>
  </r>
  <r>
    <n v="22610"/>
    <x v="0"/>
    <x v="1"/>
    <n v="30000"/>
    <s v="Low Income"/>
    <x v="3"/>
    <x v="0"/>
    <x v="1"/>
    <s v="Yes"/>
    <n v="0"/>
    <x v="0"/>
    <x v="0"/>
    <n v="35"/>
    <x v="2"/>
    <x v="1"/>
  </r>
  <r>
    <n v="26984"/>
    <x v="0"/>
    <x v="1"/>
    <n v="40000"/>
    <s v="Low Income"/>
    <x v="0"/>
    <x v="0"/>
    <x v="0"/>
    <s v="Yes"/>
    <n v="1"/>
    <x v="0"/>
    <x v="0"/>
    <n v="32"/>
    <x v="2"/>
    <x v="1"/>
  </r>
  <r>
    <n v="18294"/>
    <x v="0"/>
    <x v="0"/>
    <n v="90000"/>
    <s v="Medium Income"/>
    <x v="0"/>
    <x v="0"/>
    <x v="2"/>
    <s v="Yes"/>
    <n v="1"/>
    <x v="2"/>
    <x v="1"/>
    <n v="46"/>
    <x v="0"/>
    <x v="0"/>
  </r>
  <r>
    <n v="28564"/>
    <x v="1"/>
    <x v="0"/>
    <n v="40000"/>
    <s v="Low Income"/>
    <x v="4"/>
    <x v="1"/>
    <x v="1"/>
    <s v="Yes"/>
    <n v="0"/>
    <x v="3"/>
    <x v="0"/>
    <n v="33"/>
    <x v="2"/>
    <x v="1"/>
  </r>
  <r>
    <n v="28521"/>
    <x v="1"/>
    <x v="1"/>
    <n v="40000"/>
    <s v="Low Income"/>
    <x v="3"/>
    <x v="4"/>
    <x v="1"/>
    <s v="No"/>
    <n v="0"/>
    <x v="0"/>
    <x v="0"/>
    <n v="36"/>
    <x v="2"/>
    <x v="1"/>
  </r>
  <r>
    <n v="15450"/>
    <x v="0"/>
    <x v="1"/>
    <n v="10000"/>
    <s v="Low Income"/>
    <x v="0"/>
    <x v="4"/>
    <x v="1"/>
    <s v="Yes"/>
    <n v="0"/>
    <x v="0"/>
    <x v="0"/>
    <n v="70"/>
    <x v="1"/>
    <x v="0"/>
  </r>
  <r>
    <n v="25681"/>
    <x v="1"/>
    <x v="0"/>
    <n v="30000"/>
    <s v="Low Income"/>
    <x v="3"/>
    <x v="1"/>
    <x v="1"/>
    <s v="No"/>
    <n v="1"/>
    <x v="1"/>
    <x v="0"/>
    <n v="31"/>
    <x v="2"/>
    <x v="1"/>
  </r>
  <r>
    <n v="19491"/>
    <x v="1"/>
    <x v="1"/>
    <n v="30000"/>
    <s v="Low Income"/>
    <x v="4"/>
    <x v="1"/>
    <x v="1"/>
    <s v="Yes"/>
    <n v="2"/>
    <x v="0"/>
    <x v="0"/>
    <n v="42"/>
    <x v="0"/>
    <x v="0"/>
  </r>
  <r>
    <n v="26415"/>
    <x v="0"/>
    <x v="0"/>
    <n v="90000"/>
    <s v="Medium Income"/>
    <x v="5"/>
    <x v="3"/>
    <x v="0"/>
    <s v="Yes"/>
    <n v="4"/>
    <x v="4"/>
    <x v="0"/>
    <n v="58"/>
    <x v="0"/>
    <x v="0"/>
  </r>
  <r>
    <n v="12821"/>
    <x v="0"/>
    <x v="1"/>
    <n v="40000"/>
    <s v="Low Income"/>
    <x v="3"/>
    <x v="0"/>
    <x v="1"/>
    <s v="Yes"/>
    <n v="0"/>
    <x v="0"/>
    <x v="0"/>
    <n v="39"/>
    <x v="2"/>
    <x v="0"/>
  </r>
  <r>
    <n v="15629"/>
    <x v="1"/>
    <x v="0"/>
    <n v="10000"/>
    <s v="Low Income"/>
    <x v="3"/>
    <x v="3"/>
    <x v="3"/>
    <s v="Yes"/>
    <n v="2"/>
    <x v="3"/>
    <x v="0"/>
    <n v="34"/>
    <x v="2"/>
    <x v="0"/>
  </r>
  <r>
    <n v="27835"/>
    <x v="0"/>
    <x v="1"/>
    <n v="20000"/>
    <s v="Low Income"/>
    <x v="3"/>
    <x v="3"/>
    <x v="3"/>
    <s v="Yes"/>
    <n v="2"/>
    <x v="0"/>
    <x v="0"/>
    <n v="32"/>
    <x v="2"/>
    <x v="0"/>
  </r>
  <r>
    <n v="11738"/>
    <x v="0"/>
    <x v="1"/>
    <n v="60000"/>
    <s v="Low Income"/>
    <x v="5"/>
    <x v="0"/>
    <x v="2"/>
    <s v="Yes"/>
    <n v="0"/>
    <x v="1"/>
    <x v="2"/>
    <n v="46"/>
    <x v="0"/>
    <x v="0"/>
  </r>
  <r>
    <n v="25065"/>
    <x v="0"/>
    <x v="1"/>
    <n v="70000"/>
    <s v="Medium Income"/>
    <x v="4"/>
    <x v="3"/>
    <x v="0"/>
    <s v="Yes"/>
    <n v="2"/>
    <x v="2"/>
    <x v="2"/>
    <n v="48"/>
    <x v="0"/>
    <x v="0"/>
  </r>
  <r>
    <n v="26238"/>
    <x v="1"/>
    <x v="0"/>
    <n v="40000"/>
    <s v="Low Income"/>
    <x v="1"/>
    <x v="1"/>
    <x v="1"/>
    <s v="Yes"/>
    <n v="1"/>
    <x v="3"/>
    <x v="2"/>
    <n v="31"/>
    <x v="2"/>
    <x v="1"/>
  </r>
  <r>
    <n v="23707"/>
    <x v="1"/>
    <x v="1"/>
    <n v="70000"/>
    <s v="Medium Income"/>
    <x v="2"/>
    <x v="0"/>
    <x v="4"/>
    <s v="Yes"/>
    <n v="3"/>
    <x v="4"/>
    <x v="2"/>
    <n v="60"/>
    <x v="1"/>
    <x v="1"/>
  </r>
  <r>
    <n v="27650"/>
    <x v="0"/>
    <x v="1"/>
    <n v="70000"/>
    <s v="Medium Income"/>
    <x v="5"/>
    <x v="2"/>
    <x v="2"/>
    <s v="Yes"/>
    <n v="0"/>
    <x v="2"/>
    <x v="2"/>
    <n v="51"/>
    <x v="0"/>
    <x v="0"/>
  </r>
  <r>
    <n v="24981"/>
    <x v="0"/>
    <x v="1"/>
    <n v="60000"/>
    <s v="Low Income"/>
    <x v="4"/>
    <x v="1"/>
    <x v="2"/>
    <s v="Yes"/>
    <n v="2"/>
    <x v="4"/>
    <x v="2"/>
    <n v="56"/>
    <x v="0"/>
    <x v="0"/>
  </r>
  <r>
    <n v="20678"/>
    <x v="1"/>
    <x v="0"/>
    <n v="60000"/>
    <s v="Low Income"/>
    <x v="1"/>
    <x v="0"/>
    <x v="0"/>
    <s v="Yes"/>
    <n v="1"/>
    <x v="1"/>
    <x v="2"/>
    <n v="40"/>
    <x v="0"/>
    <x v="1"/>
  </r>
  <r>
    <n v="15302"/>
    <x v="1"/>
    <x v="0"/>
    <n v="70000"/>
    <s v="Medium Income"/>
    <x v="0"/>
    <x v="4"/>
    <x v="2"/>
    <s v="Yes"/>
    <n v="0"/>
    <x v="1"/>
    <x v="2"/>
    <n v="34"/>
    <x v="2"/>
    <x v="1"/>
  </r>
  <r>
    <n v="26012"/>
    <x v="0"/>
    <x v="1"/>
    <n v="80000"/>
    <s v="Medium Income"/>
    <x v="0"/>
    <x v="1"/>
    <x v="0"/>
    <s v="Yes"/>
    <n v="1"/>
    <x v="1"/>
    <x v="2"/>
    <n v="48"/>
    <x v="0"/>
    <x v="1"/>
  </r>
  <r>
    <n v="26575"/>
    <x v="1"/>
    <x v="0"/>
    <n v="40000"/>
    <s v="Low Income"/>
    <x v="3"/>
    <x v="2"/>
    <x v="0"/>
    <s v="No"/>
    <n v="2"/>
    <x v="3"/>
    <x v="2"/>
    <n v="31"/>
    <x v="2"/>
    <x v="1"/>
  </r>
  <r>
    <n v="15559"/>
    <x v="0"/>
    <x v="1"/>
    <n v="60000"/>
    <s v="Low Income"/>
    <x v="2"/>
    <x v="0"/>
    <x v="2"/>
    <s v="Yes"/>
    <n v="1"/>
    <x v="1"/>
    <x v="2"/>
    <n v="47"/>
    <x v="0"/>
    <x v="0"/>
  </r>
  <r>
    <n v="19235"/>
    <x v="0"/>
    <x v="0"/>
    <n v="50000"/>
    <s v="Low Income"/>
    <x v="3"/>
    <x v="4"/>
    <x v="0"/>
    <s v="Yes"/>
    <n v="0"/>
    <x v="0"/>
    <x v="2"/>
    <n v="34"/>
    <x v="2"/>
    <x v="0"/>
  </r>
  <r>
    <n v="15275"/>
    <x v="0"/>
    <x v="1"/>
    <n v="40000"/>
    <s v="Low Income"/>
    <x v="3"/>
    <x v="1"/>
    <x v="0"/>
    <s v="Yes"/>
    <n v="1"/>
    <x v="2"/>
    <x v="2"/>
    <n v="29"/>
    <x v="3"/>
    <x v="0"/>
  </r>
  <r>
    <n v="20339"/>
    <x v="0"/>
    <x v="0"/>
    <n v="130000"/>
    <s v="High Income"/>
    <x v="0"/>
    <x v="0"/>
    <x v="4"/>
    <s v="Yes"/>
    <n v="4"/>
    <x v="1"/>
    <x v="2"/>
    <n v="44"/>
    <x v="0"/>
    <x v="1"/>
  </r>
  <r>
    <n v="25405"/>
    <x v="0"/>
    <x v="1"/>
    <n v="70000"/>
    <s v="Medium Income"/>
    <x v="4"/>
    <x v="0"/>
    <x v="0"/>
    <s v="Yes"/>
    <n v="1"/>
    <x v="1"/>
    <x v="2"/>
    <n v="38"/>
    <x v="2"/>
    <x v="1"/>
  </r>
  <r>
    <n v="15940"/>
    <x v="0"/>
    <x v="1"/>
    <n v="100000"/>
    <s v="Medium Income"/>
    <x v="5"/>
    <x v="1"/>
    <x v="2"/>
    <s v="Yes"/>
    <n v="4"/>
    <x v="0"/>
    <x v="2"/>
    <n v="40"/>
    <x v="0"/>
    <x v="0"/>
  </r>
  <r>
    <n v="25074"/>
    <x v="0"/>
    <x v="0"/>
    <n v="70000"/>
    <s v="Medium Income"/>
    <x v="5"/>
    <x v="0"/>
    <x v="2"/>
    <s v="Yes"/>
    <n v="2"/>
    <x v="1"/>
    <x v="2"/>
    <n v="42"/>
    <x v="0"/>
    <x v="1"/>
  </r>
  <r>
    <n v="24738"/>
    <x v="0"/>
    <x v="0"/>
    <n v="40000"/>
    <s v="Low Income"/>
    <x v="0"/>
    <x v="1"/>
    <x v="1"/>
    <s v="Yes"/>
    <n v="1"/>
    <x v="3"/>
    <x v="2"/>
    <n v="51"/>
    <x v="0"/>
    <x v="1"/>
  </r>
  <r>
    <n v="16337"/>
    <x v="0"/>
    <x v="1"/>
    <n v="60000"/>
    <s v="Low Income"/>
    <x v="3"/>
    <x v="1"/>
    <x v="0"/>
    <s v="No"/>
    <n v="2"/>
    <x v="3"/>
    <x v="2"/>
    <n v="29"/>
    <x v="3"/>
    <x v="0"/>
  </r>
  <r>
    <n v="24357"/>
    <x v="0"/>
    <x v="1"/>
    <n v="80000"/>
    <s v="Medium Income"/>
    <x v="1"/>
    <x v="0"/>
    <x v="2"/>
    <s v="Yes"/>
    <n v="1"/>
    <x v="1"/>
    <x v="2"/>
    <n v="48"/>
    <x v="0"/>
    <x v="1"/>
  </r>
  <r>
    <n v="18613"/>
    <x v="1"/>
    <x v="1"/>
    <n v="70000"/>
    <s v="Medium Income"/>
    <x v="3"/>
    <x v="0"/>
    <x v="2"/>
    <s v="No"/>
    <n v="1"/>
    <x v="1"/>
    <x v="2"/>
    <n v="37"/>
    <x v="2"/>
    <x v="1"/>
  </r>
  <r>
    <n v="12207"/>
    <x v="1"/>
    <x v="1"/>
    <n v="80000"/>
    <s v="Medium Income"/>
    <x v="5"/>
    <x v="0"/>
    <x v="4"/>
    <s v="Yes"/>
    <n v="0"/>
    <x v="2"/>
    <x v="2"/>
    <n v="66"/>
    <x v="1"/>
    <x v="1"/>
  </r>
  <r>
    <n v="18052"/>
    <x v="0"/>
    <x v="0"/>
    <n v="60000"/>
    <s v="Low Income"/>
    <x v="0"/>
    <x v="1"/>
    <x v="0"/>
    <s v="Yes"/>
    <n v="1"/>
    <x v="0"/>
    <x v="2"/>
    <n v="45"/>
    <x v="0"/>
    <x v="1"/>
  </r>
  <r>
    <n v="13353"/>
    <x v="1"/>
    <x v="0"/>
    <n v="60000"/>
    <s v="Low Income"/>
    <x v="5"/>
    <x v="4"/>
    <x v="4"/>
    <s v="Yes"/>
    <n v="2"/>
    <x v="4"/>
    <x v="2"/>
    <n v="61"/>
    <x v="1"/>
    <x v="1"/>
  </r>
  <r>
    <n v="19399"/>
    <x v="1"/>
    <x v="1"/>
    <n v="40000"/>
    <s v="Low Income"/>
    <x v="3"/>
    <x v="0"/>
    <x v="2"/>
    <s v="No"/>
    <n v="1"/>
    <x v="1"/>
    <x v="2"/>
    <n v="45"/>
    <x v="0"/>
    <x v="0"/>
  </r>
  <r>
    <n v="16154"/>
    <x v="0"/>
    <x v="0"/>
    <n v="70000"/>
    <s v="Medium Income"/>
    <x v="2"/>
    <x v="0"/>
    <x v="2"/>
    <s v="Yes"/>
    <n v="2"/>
    <x v="1"/>
    <x v="2"/>
    <n v="47"/>
    <x v="0"/>
    <x v="0"/>
  </r>
  <r>
    <n v="22219"/>
    <x v="0"/>
    <x v="0"/>
    <n v="60000"/>
    <s v="Low Income"/>
    <x v="4"/>
    <x v="2"/>
    <x v="2"/>
    <s v="Yes"/>
    <n v="2"/>
    <x v="2"/>
    <x v="2"/>
    <n v="49"/>
    <x v="0"/>
    <x v="0"/>
  </r>
  <r>
    <n v="17269"/>
    <x v="1"/>
    <x v="1"/>
    <n v="60000"/>
    <s v="Low Income"/>
    <x v="1"/>
    <x v="0"/>
    <x v="2"/>
    <s v="No"/>
    <n v="0"/>
    <x v="0"/>
    <x v="2"/>
    <n v="47"/>
    <x v="0"/>
    <x v="1"/>
  </r>
  <r>
    <n v="23586"/>
    <x v="0"/>
    <x v="0"/>
    <n v="80000"/>
    <s v="Medium Income"/>
    <x v="3"/>
    <x v="0"/>
    <x v="4"/>
    <s v="Yes"/>
    <n v="1"/>
    <x v="3"/>
    <x v="2"/>
    <n v="34"/>
    <x v="2"/>
    <x v="1"/>
  </r>
  <r>
    <n v="15740"/>
    <x v="0"/>
    <x v="1"/>
    <n v="80000"/>
    <s v="Medium Income"/>
    <x v="2"/>
    <x v="0"/>
    <x v="4"/>
    <s v="Yes"/>
    <n v="2"/>
    <x v="3"/>
    <x v="2"/>
    <n v="64"/>
    <x v="1"/>
    <x v="0"/>
  </r>
  <r>
    <n v="27638"/>
    <x v="1"/>
    <x v="1"/>
    <n v="100000"/>
    <s v="Medium Income"/>
    <x v="0"/>
    <x v="1"/>
    <x v="2"/>
    <s v="No"/>
    <n v="3"/>
    <x v="3"/>
    <x v="2"/>
    <n v="44"/>
    <x v="0"/>
    <x v="0"/>
  </r>
  <r>
    <n v="18976"/>
    <x v="1"/>
    <x v="1"/>
    <n v="40000"/>
    <s v="Low Income"/>
    <x v="5"/>
    <x v="2"/>
    <x v="2"/>
    <s v="Yes"/>
    <n v="2"/>
    <x v="4"/>
    <x v="2"/>
    <n v="62"/>
    <x v="1"/>
    <x v="1"/>
  </r>
  <r>
    <n v="19413"/>
    <x v="1"/>
    <x v="1"/>
    <n v="60000"/>
    <s v="Low Income"/>
    <x v="1"/>
    <x v="0"/>
    <x v="2"/>
    <s v="No"/>
    <n v="1"/>
    <x v="0"/>
    <x v="2"/>
    <n v="47"/>
    <x v="0"/>
    <x v="1"/>
  </r>
  <r>
    <n v="13283"/>
    <x v="0"/>
    <x v="1"/>
    <n v="80000"/>
    <s v="Medium Income"/>
    <x v="1"/>
    <x v="1"/>
    <x v="2"/>
    <s v="No"/>
    <n v="2"/>
    <x v="0"/>
    <x v="2"/>
    <n v="49"/>
    <x v="0"/>
    <x v="1"/>
  </r>
  <r>
    <n v="17471"/>
    <x v="1"/>
    <x v="0"/>
    <n v="80000"/>
    <s v="Medium Income"/>
    <x v="5"/>
    <x v="4"/>
    <x v="4"/>
    <s v="Yes"/>
    <n v="2"/>
    <x v="2"/>
    <x v="2"/>
    <n v="67"/>
    <x v="1"/>
    <x v="0"/>
  </r>
  <r>
    <n v="16791"/>
    <x v="1"/>
    <x v="1"/>
    <n v="60000"/>
    <s v="Low Income"/>
    <x v="2"/>
    <x v="0"/>
    <x v="4"/>
    <s v="Yes"/>
    <n v="3"/>
    <x v="4"/>
    <x v="2"/>
    <n v="59"/>
    <x v="0"/>
    <x v="1"/>
  </r>
  <r>
    <n v="15382"/>
    <x v="0"/>
    <x v="0"/>
    <n v="110000"/>
    <s v="Medium Income"/>
    <x v="0"/>
    <x v="0"/>
    <x v="4"/>
    <s v="Yes"/>
    <n v="2"/>
    <x v="3"/>
    <x v="2"/>
    <n v="44"/>
    <x v="0"/>
    <x v="0"/>
  </r>
  <r>
    <n v="11641"/>
    <x v="0"/>
    <x v="1"/>
    <n v="50000"/>
    <s v="Low Income"/>
    <x v="0"/>
    <x v="0"/>
    <x v="0"/>
    <s v="Yes"/>
    <n v="0"/>
    <x v="0"/>
    <x v="2"/>
    <n v="36"/>
    <x v="2"/>
    <x v="0"/>
  </r>
  <r>
    <n v="11935"/>
    <x v="1"/>
    <x v="0"/>
    <n v="30000"/>
    <s v="Low Income"/>
    <x v="3"/>
    <x v="1"/>
    <x v="0"/>
    <s v="Yes"/>
    <n v="1"/>
    <x v="2"/>
    <x v="2"/>
    <n v="28"/>
    <x v="3"/>
    <x v="0"/>
  </r>
  <r>
    <n v="13233"/>
    <x v="0"/>
    <x v="1"/>
    <n v="60000"/>
    <s v="Low Income"/>
    <x v="4"/>
    <x v="1"/>
    <x v="2"/>
    <s v="Yes"/>
    <n v="1"/>
    <x v="4"/>
    <x v="2"/>
    <n v="57"/>
    <x v="0"/>
    <x v="1"/>
  </r>
  <r>
    <n v="25909"/>
    <x v="0"/>
    <x v="1"/>
    <n v="60000"/>
    <s v="Low Income"/>
    <x v="3"/>
    <x v="1"/>
    <x v="0"/>
    <s v="Yes"/>
    <n v="1"/>
    <x v="2"/>
    <x v="2"/>
    <n v="27"/>
    <x v="3"/>
    <x v="1"/>
  </r>
  <r>
    <n v="14092"/>
    <x v="1"/>
    <x v="1"/>
    <n v="30000"/>
    <s v="Low Income"/>
    <x v="3"/>
    <x v="3"/>
    <x v="1"/>
    <s v="Yes"/>
    <n v="2"/>
    <x v="2"/>
    <x v="2"/>
    <n v="28"/>
    <x v="3"/>
    <x v="0"/>
  </r>
  <r>
    <n v="29143"/>
    <x v="1"/>
    <x v="0"/>
    <n v="60000"/>
    <s v="Low Income"/>
    <x v="0"/>
    <x v="0"/>
    <x v="2"/>
    <s v="No"/>
    <n v="1"/>
    <x v="0"/>
    <x v="2"/>
    <n v="44"/>
    <x v="0"/>
    <x v="1"/>
  </r>
  <r>
    <n v="24941"/>
    <x v="0"/>
    <x v="1"/>
    <n v="60000"/>
    <s v="Low Income"/>
    <x v="1"/>
    <x v="0"/>
    <x v="4"/>
    <s v="Yes"/>
    <n v="2"/>
    <x v="4"/>
    <x v="2"/>
    <n v="66"/>
    <x v="1"/>
    <x v="0"/>
  </r>
  <r>
    <n v="24637"/>
    <x v="0"/>
    <x v="1"/>
    <n v="40000"/>
    <s v="Low Income"/>
    <x v="5"/>
    <x v="2"/>
    <x v="2"/>
    <s v="Yes"/>
    <n v="2"/>
    <x v="4"/>
    <x v="2"/>
    <n v="64"/>
    <x v="1"/>
    <x v="0"/>
  </r>
  <r>
    <n v="23893"/>
    <x v="0"/>
    <x v="1"/>
    <n v="50000"/>
    <s v="Low Income"/>
    <x v="1"/>
    <x v="0"/>
    <x v="0"/>
    <s v="Yes"/>
    <n v="3"/>
    <x v="4"/>
    <x v="2"/>
    <n v="41"/>
    <x v="0"/>
    <x v="0"/>
  </r>
  <r>
    <n v="13907"/>
    <x v="1"/>
    <x v="0"/>
    <n v="80000"/>
    <s v="Medium Income"/>
    <x v="1"/>
    <x v="0"/>
    <x v="0"/>
    <s v="Yes"/>
    <n v="1"/>
    <x v="0"/>
    <x v="2"/>
    <n v="41"/>
    <x v="0"/>
    <x v="1"/>
  </r>
  <r>
    <n v="14900"/>
    <x v="0"/>
    <x v="0"/>
    <n v="40000"/>
    <s v="Low Income"/>
    <x v="0"/>
    <x v="1"/>
    <x v="1"/>
    <s v="Yes"/>
    <n v="1"/>
    <x v="3"/>
    <x v="2"/>
    <n v="49"/>
    <x v="0"/>
    <x v="1"/>
  </r>
  <r>
    <n v="11262"/>
    <x v="0"/>
    <x v="0"/>
    <n v="80000"/>
    <s v="Medium Income"/>
    <x v="5"/>
    <x v="0"/>
    <x v="4"/>
    <s v="Yes"/>
    <n v="0"/>
    <x v="0"/>
    <x v="2"/>
    <n v="42"/>
    <x v="0"/>
    <x v="0"/>
  </r>
  <r>
    <n v="22294"/>
    <x v="1"/>
    <x v="0"/>
    <n v="70000"/>
    <s v="Medium Income"/>
    <x v="3"/>
    <x v="0"/>
    <x v="2"/>
    <s v="No"/>
    <n v="1"/>
    <x v="1"/>
    <x v="2"/>
    <n v="37"/>
    <x v="2"/>
    <x v="1"/>
  </r>
  <r>
    <n v="12195"/>
    <x v="1"/>
    <x v="0"/>
    <n v="70000"/>
    <s v="Medium Income"/>
    <x v="1"/>
    <x v="4"/>
    <x v="4"/>
    <s v="Yes"/>
    <n v="2"/>
    <x v="3"/>
    <x v="2"/>
    <n v="52"/>
    <x v="0"/>
    <x v="0"/>
  </r>
  <r>
    <n v="25375"/>
    <x v="0"/>
    <x v="1"/>
    <n v="50000"/>
    <s v="Low Income"/>
    <x v="0"/>
    <x v="4"/>
    <x v="0"/>
    <s v="Yes"/>
    <n v="0"/>
    <x v="3"/>
    <x v="2"/>
    <n v="34"/>
    <x v="2"/>
    <x v="0"/>
  </r>
  <r>
    <n v="11143"/>
    <x v="0"/>
    <x v="1"/>
    <n v="40000"/>
    <s v="Low Income"/>
    <x v="3"/>
    <x v="2"/>
    <x v="0"/>
    <s v="Yes"/>
    <n v="2"/>
    <x v="2"/>
    <x v="2"/>
    <n v="29"/>
    <x v="3"/>
    <x v="0"/>
  </r>
  <r>
    <n v="25898"/>
    <x v="0"/>
    <x v="0"/>
    <n v="70000"/>
    <s v="Medium Income"/>
    <x v="4"/>
    <x v="2"/>
    <x v="2"/>
    <s v="Yes"/>
    <n v="2"/>
    <x v="1"/>
    <x v="2"/>
    <n v="53"/>
    <x v="0"/>
    <x v="0"/>
  </r>
  <r>
    <n v="24397"/>
    <x v="1"/>
    <x v="1"/>
    <n v="120000"/>
    <s v="Medium Income"/>
    <x v="4"/>
    <x v="0"/>
    <x v="4"/>
    <s v="No"/>
    <n v="4"/>
    <x v="3"/>
    <x v="2"/>
    <n v="40"/>
    <x v="0"/>
    <x v="0"/>
  </r>
  <r>
    <n v="19758"/>
    <x v="1"/>
    <x v="1"/>
    <n v="60000"/>
    <s v="Low Income"/>
    <x v="3"/>
    <x v="1"/>
    <x v="0"/>
    <s v="No"/>
    <n v="2"/>
    <x v="3"/>
    <x v="2"/>
    <n v="29"/>
    <x v="3"/>
    <x v="0"/>
  </r>
  <r>
    <n v="15529"/>
    <x v="0"/>
    <x v="1"/>
    <n v="60000"/>
    <s v="Low Income"/>
    <x v="5"/>
    <x v="0"/>
    <x v="2"/>
    <s v="Yes"/>
    <n v="2"/>
    <x v="1"/>
    <x v="2"/>
    <n v="43"/>
    <x v="0"/>
    <x v="1"/>
  </r>
  <r>
    <n v="19884"/>
    <x v="0"/>
    <x v="1"/>
    <n v="60000"/>
    <s v="Low Income"/>
    <x v="4"/>
    <x v="2"/>
    <x v="2"/>
    <s v="Yes"/>
    <n v="2"/>
    <x v="1"/>
    <x v="2"/>
    <n v="55"/>
    <x v="0"/>
    <x v="1"/>
  </r>
  <r>
    <n v="18674"/>
    <x v="1"/>
    <x v="0"/>
    <n v="80000"/>
    <s v="Medium Income"/>
    <x v="5"/>
    <x v="4"/>
    <x v="0"/>
    <s v="No"/>
    <n v="0"/>
    <x v="0"/>
    <x v="2"/>
    <n v="48"/>
    <x v="0"/>
    <x v="0"/>
  </r>
  <r>
    <n v="13453"/>
    <x v="0"/>
    <x v="0"/>
    <n v="130000"/>
    <s v="High Income"/>
    <x v="1"/>
    <x v="0"/>
    <x v="4"/>
    <s v="Yes"/>
    <n v="3"/>
    <x v="0"/>
    <x v="2"/>
    <n v="45"/>
    <x v="0"/>
    <x v="1"/>
  </r>
  <r>
    <n v="14063"/>
    <x v="1"/>
    <x v="0"/>
    <n v="70000"/>
    <s v="Medium Income"/>
    <x v="3"/>
    <x v="0"/>
    <x v="2"/>
    <s v="No"/>
    <n v="1"/>
    <x v="0"/>
    <x v="1"/>
    <n v="42"/>
    <x v="0"/>
    <x v="1"/>
  </r>
  <r>
    <n v="27393"/>
    <x v="0"/>
    <x v="0"/>
    <n v="50000"/>
    <s v="Low Income"/>
    <x v="5"/>
    <x v="0"/>
    <x v="4"/>
    <s v="Yes"/>
    <n v="2"/>
    <x v="4"/>
    <x v="2"/>
    <n v="63"/>
    <x v="1"/>
    <x v="0"/>
  </r>
  <r>
    <n v="14417"/>
    <x v="1"/>
    <x v="1"/>
    <n v="60000"/>
    <s v="Low Income"/>
    <x v="1"/>
    <x v="2"/>
    <x v="2"/>
    <s v="Yes"/>
    <n v="2"/>
    <x v="4"/>
    <x v="2"/>
    <n v="54"/>
    <x v="0"/>
    <x v="1"/>
  </r>
  <r>
    <n v="17533"/>
    <x v="0"/>
    <x v="1"/>
    <n v="40000"/>
    <s v="Low Income"/>
    <x v="1"/>
    <x v="1"/>
    <x v="2"/>
    <s v="No"/>
    <n v="2"/>
    <x v="2"/>
    <x v="2"/>
    <n v="73"/>
    <x v="1"/>
    <x v="1"/>
  </r>
  <r>
    <n v="18580"/>
    <x v="0"/>
    <x v="0"/>
    <n v="60000"/>
    <s v="Low Income"/>
    <x v="4"/>
    <x v="4"/>
    <x v="2"/>
    <s v="Yes"/>
    <n v="0"/>
    <x v="1"/>
    <x v="2"/>
    <n v="40"/>
    <x v="0"/>
    <x v="1"/>
  </r>
  <r>
    <n v="17025"/>
    <x v="1"/>
    <x v="1"/>
    <n v="50000"/>
    <s v="Low Income"/>
    <x v="3"/>
    <x v="1"/>
    <x v="0"/>
    <s v="No"/>
    <n v="1"/>
    <x v="1"/>
    <x v="2"/>
    <n v="39"/>
    <x v="2"/>
    <x v="1"/>
  </r>
  <r>
    <n v="25293"/>
    <x v="0"/>
    <x v="1"/>
    <n v="80000"/>
    <s v="Medium Income"/>
    <x v="5"/>
    <x v="0"/>
    <x v="4"/>
    <s v="Yes"/>
    <n v="0"/>
    <x v="3"/>
    <x v="2"/>
    <n v="42"/>
    <x v="0"/>
    <x v="0"/>
  </r>
  <r>
    <n v="24725"/>
    <x v="0"/>
    <x v="0"/>
    <n v="40000"/>
    <s v="Low Income"/>
    <x v="1"/>
    <x v="1"/>
    <x v="1"/>
    <s v="Yes"/>
    <n v="0"/>
    <x v="3"/>
    <x v="2"/>
    <n v="31"/>
    <x v="2"/>
    <x v="0"/>
  </r>
  <r>
    <n v="23200"/>
    <x v="0"/>
    <x v="0"/>
    <n v="50000"/>
    <s v="Low Income"/>
    <x v="1"/>
    <x v="0"/>
    <x v="0"/>
    <s v="Yes"/>
    <n v="2"/>
    <x v="0"/>
    <x v="2"/>
    <n v="41"/>
    <x v="0"/>
    <x v="0"/>
  </r>
  <r>
    <n v="15895"/>
    <x v="1"/>
    <x v="0"/>
    <n v="60000"/>
    <s v="Low Income"/>
    <x v="4"/>
    <x v="0"/>
    <x v="4"/>
    <s v="Yes"/>
    <n v="0"/>
    <x v="4"/>
    <x v="2"/>
    <n v="58"/>
    <x v="0"/>
    <x v="0"/>
  </r>
  <r>
    <n v="18577"/>
    <x v="0"/>
    <x v="0"/>
    <n v="60000"/>
    <s v="Low Income"/>
    <x v="3"/>
    <x v="4"/>
    <x v="2"/>
    <s v="Yes"/>
    <n v="0"/>
    <x v="0"/>
    <x v="2"/>
    <n v="40"/>
    <x v="0"/>
    <x v="0"/>
  </r>
  <r>
    <n v="27218"/>
    <x v="0"/>
    <x v="0"/>
    <n v="20000"/>
    <s v="Low Income"/>
    <x v="4"/>
    <x v="3"/>
    <x v="1"/>
    <s v="No"/>
    <n v="0"/>
    <x v="0"/>
    <x v="2"/>
    <n v="48"/>
    <x v="0"/>
    <x v="0"/>
  </r>
  <r>
    <n v="18560"/>
    <x v="0"/>
    <x v="0"/>
    <n v="70000"/>
    <s v="Medium Income"/>
    <x v="4"/>
    <x v="4"/>
    <x v="2"/>
    <s v="Yes"/>
    <n v="0"/>
    <x v="1"/>
    <x v="2"/>
    <n v="34"/>
    <x v="2"/>
    <x v="1"/>
  </r>
  <r>
    <n v="25006"/>
    <x v="1"/>
    <x v="0"/>
    <n v="30000"/>
    <s v="Low Income"/>
    <x v="3"/>
    <x v="1"/>
    <x v="0"/>
    <s v="Yes"/>
    <n v="1"/>
    <x v="2"/>
    <x v="2"/>
    <n v="28"/>
    <x v="3"/>
    <x v="0"/>
  </r>
  <r>
    <n v="17369"/>
    <x v="1"/>
    <x v="1"/>
    <n v="30000"/>
    <s v="Low Income"/>
    <x v="3"/>
    <x v="1"/>
    <x v="0"/>
    <s v="Yes"/>
    <n v="1"/>
    <x v="2"/>
    <x v="2"/>
    <n v="27"/>
    <x v="3"/>
    <x v="0"/>
  </r>
  <r>
    <n v="14495"/>
    <x v="0"/>
    <x v="1"/>
    <n v="40000"/>
    <s v="Low Income"/>
    <x v="1"/>
    <x v="1"/>
    <x v="2"/>
    <s v="No"/>
    <n v="2"/>
    <x v="2"/>
    <x v="2"/>
    <n v="54"/>
    <x v="0"/>
    <x v="1"/>
  </r>
  <r>
    <n v="18847"/>
    <x v="0"/>
    <x v="0"/>
    <n v="60000"/>
    <s v="Low Income"/>
    <x v="4"/>
    <x v="4"/>
    <x v="4"/>
    <s v="Yes"/>
    <n v="2"/>
    <x v="2"/>
    <x v="2"/>
    <n v="70"/>
    <x v="1"/>
    <x v="0"/>
  </r>
  <r>
    <n v="14754"/>
    <x v="0"/>
    <x v="1"/>
    <n v="40000"/>
    <s v="Low Income"/>
    <x v="0"/>
    <x v="1"/>
    <x v="1"/>
    <s v="Yes"/>
    <n v="1"/>
    <x v="3"/>
    <x v="2"/>
    <n v="48"/>
    <x v="0"/>
    <x v="1"/>
  </r>
  <r>
    <n v="23378"/>
    <x v="0"/>
    <x v="1"/>
    <n v="70000"/>
    <s v="Medium Income"/>
    <x v="0"/>
    <x v="1"/>
    <x v="0"/>
    <s v="Yes"/>
    <n v="1"/>
    <x v="1"/>
    <x v="2"/>
    <n v="44"/>
    <x v="0"/>
    <x v="1"/>
  </r>
  <r>
    <n v="26452"/>
    <x v="1"/>
    <x v="1"/>
    <n v="50000"/>
    <s v="Low Income"/>
    <x v="1"/>
    <x v="4"/>
    <x v="4"/>
    <s v="Yes"/>
    <n v="2"/>
    <x v="4"/>
    <x v="2"/>
    <n v="69"/>
    <x v="1"/>
    <x v="0"/>
  </r>
  <r>
    <n v="20370"/>
    <x v="0"/>
    <x v="1"/>
    <n v="70000"/>
    <s v="Medium Income"/>
    <x v="1"/>
    <x v="3"/>
    <x v="0"/>
    <s v="Yes"/>
    <n v="2"/>
    <x v="2"/>
    <x v="2"/>
    <n v="52"/>
    <x v="0"/>
    <x v="0"/>
  </r>
  <r>
    <n v="20528"/>
    <x v="0"/>
    <x v="1"/>
    <n v="40000"/>
    <s v="Low Income"/>
    <x v="4"/>
    <x v="3"/>
    <x v="0"/>
    <s v="Yes"/>
    <n v="2"/>
    <x v="1"/>
    <x v="2"/>
    <n v="55"/>
    <x v="0"/>
    <x v="0"/>
  </r>
  <r>
    <n v="23549"/>
    <x v="1"/>
    <x v="1"/>
    <n v="30000"/>
    <s v="Low Income"/>
    <x v="3"/>
    <x v="2"/>
    <x v="0"/>
    <s v="Yes"/>
    <n v="2"/>
    <x v="2"/>
    <x v="2"/>
    <n v="30"/>
    <x v="2"/>
    <x v="0"/>
  </r>
  <r>
    <n v="21751"/>
    <x v="0"/>
    <x v="1"/>
    <n v="60000"/>
    <s v="Low Income"/>
    <x v="1"/>
    <x v="4"/>
    <x v="4"/>
    <s v="Yes"/>
    <n v="2"/>
    <x v="3"/>
    <x v="2"/>
    <n v="63"/>
    <x v="1"/>
    <x v="0"/>
  </r>
  <r>
    <n v="21266"/>
    <x v="1"/>
    <x v="0"/>
    <n v="80000"/>
    <s v="Medium Income"/>
    <x v="3"/>
    <x v="0"/>
    <x v="4"/>
    <s v="Yes"/>
    <n v="1"/>
    <x v="3"/>
    <x v="2"/>
    <n v="34"/>
    <x v="2"/>
    <x v="1"/>
  </r>
  <r>
    <n v="13388"/>
    <x v="1"/>
    <x v="1"/>
    <n v="60000"/>
    <s v="Low Income"/>
    <x v="4"/>
    <x v="1"/>
    <x v="2"/>
    <s v="Yes"/>
    <n v="1"/>
    <x v="4"/>
    <x v="2"/>
    <n v="56"/>
    <x v="0"/>
    <x v="0"/>
  </r>
  <r>
    <n v="18752"/>
    <x v="1"/>
    <x v="0"/>
    <n v="40000"/>
    <s v="Low Income"/>
    <x v="3"/>
    <x v="2"/>
    <x v="0"/>
    <s v="Yes"/>
    <n v="1"/>
    <x v="2"/>
    <x v="2"/>
    <n v="31"/>
    <x v="2"/>
    <x v="0"/>
  </r>
  <r>
    <n v="16917"/>
    <x v="0"/>
    <x v="1"/>
    <n v="120000"/>
    <s v="Medium Income"/>
    <x v="0"/>
    <x v="0"/>
    <x v="4"/>
    <s v="Yes"/>
    <n v="4"/>
    <x v="0"/>
    <x v="2"/>
    <n v="38"/>
    <x v="2"/>
    <x v="0"/>
  </r>
  <r>
    <n v="15313"/>
    <x v="0"/>
    <x v="1"/>
    <n v="60000"/>
    <s v="Low Income"/>
    <x v="5"/>
    <x v="0"/>
    <x v="4"/>
    <s v="Yes"/>
    <n v="2"/>
    <x v="1"/>
    <x v="2"/>
    <n v="59"/>
    <x v="0"/>
    <x v="0"/>
  </r>
  <r>
    <n v="25329"/>
    <x v="1"/>
    <x v="0"/>
    <n v="40000"/>
    <s v="Low Income"/>
    <x v="1"/>
    <x v="1"/>
    <x v="1"/>
    <s v="No"/>
    <n v="2"/>
    <x v="0"/>
    <x v="2"/>
    <n v="32"/>
    <x v="2"/>
    <x v="0"/>
  </r>
  <r>
    <n v="20380"/>
    <x v="0"/>
    <x v="0"/>
    <n v="60000"/>
    <s v="Low Income"/>
    <x v="1"/>
    <x v="4"/>
    <x v="4"/>
    <s v="Yes"/>
    <n v="2"/>
    <x v="4"/>
    <x v="2"/>
    <n v="69"/>
    <x v="1"/>
    <x v="0"/>
  </r>
  <r>
    <n v="23089"/>
    <x v="0"/>
    <x v="1"/>
    <n v="40000"/>
    <s v="Low Income"/>
    <x v="3"/>
    <x v="1"/>
    <x v="0"/>
    <s v="Yes"/>
    <n v="1"/>
    <x v="2"/>
    <x v="2"/>
    <n v="28"/>
    <x v="3"/>
    <x v="0"/>
  </r>
  <r>
    <n v="13749"/>
    <x v="0"/>
    <x v="1"/>
    <n v="80000"/>
    <s v="Medium Income"/>
    <x v="5"/>
    <x v="4"/>
    <x v="0"/>
    <s v="Yes"/>
    <n v="0"/>
    <x v="3"/>
    <x v="2"/>
    <n v="47"/>
    <x v="0"/>
    <x v="0"/>
  </r>
  <r>
    <n v="24943"/>
    <x v="0"/>
    <x v="1"/>
    <n v="60000"/>
    <s v="Low Income"/>
    <x v="1"/>
    <x v="0"/>
    <x v="4"/>
    <s v="Yes"/>
    <n v="2"/>
    <x v="4"/>
    <x v="2"/>
    <n v="66"/>
    <x v="1"/>
    <x v="0"/>
  </r>
  <r>
    <n v="28667"/>
    <x v="1"/>
    <x v="1"/>
    <n v="70000"/>
    <s v="Medium Income"/>
    <x v="4"/>
    <x v="0"/>
    <x v="0"/>
    <s v="No"/>
    <n v="1"/>
    <x v="0"/>
    <x v="2"/>
    <n v="37"/>
    <x v="2"/>
    <x v="1"/>
  </r>
  <r>
    <n v="15194"/>
    <x v="1"/>
    <x v="1"/>
    <n v="120000"/>
    <s v="Medium Income"/>
    <x v="4"/>
    <x v="0"/>
    <x v="4"/>
    <s v="No"/>
    <n v="3"/>
    <x v="0"/>
    <x v="2"/>
    <n v="39"/>
    <x v="2"/>
    <x v="1"/>
  </r>
  <r>
    <n v="17436"/>
    <x v="0"/>
    <x v="1"/>
    <n v="60000"/>
    <s v="Low Income"/>
    <x v="4"/>
    <x v="2"/>
    <x v="2"/>
    <s v="No"/>
    <n v="2"/>
    <x v="3"/>
    <x v="2"/>
    <n v="51"/>
    <x v="0"/>
    <x v="0"/>
  </r>
  <r>
    <n v="18935"/>
    <x v="0"/>
    <x v="0"/>
    <n v="130000"/>
    <s v="High Income"/>
    <x v="3"/>
    <x v="4"/>
    <x v="4"/>
    <s v="Yes"/>
    <n v="3"/>
    <x v="3"/>
    <x v="2"/>
    <n v="40"/>
    <x v="0"/>
    <x v="0"/>
  </r>
  <r>
    <n v="16871"/>
    <x v="0"/>
    <x v="0"/>
    <n v="90000"/>
    <s v="Medium Income"/>
    <x v="4"/>
    <x v="2"/>
    <x v="2"/>
    <s v="Yes"/>
    <n v="1"/>
    <x v="4"/>
    <x v="2"/>
    <n v="51"/>
    <x v="0"/>
    <x v="1"/>
  </r>
  <r>
    <n v="12100"/>
    <x v="1"/>
    <x v="1"/>
    <n v="60000"/>
    <s v="Low Income"/>
    <x v="4"/>
    <x v="0"/>
    <x v="4"/>
    <s v="Yes"/>
    <n v="0"/>
    <x v="4"/>
    <x v="2"/>
    <n v="57"/>
    <x v="0"/>
    <x v="0"/>
  </r>
  <r>
    <n v="23158"/>
    <x v="0"/>
    <x v="0"/>
    <n v="60000"/>
    <s v="Low Income"/>
    <x v="0"/>
    <x v="4"/>
    <x v="2"/>
    <s v="No"/>
    <n v="0"/>
    <x v="0"/>
    <x v="2"/>
    <n v="35"/>
    <x v="2"/>
    <x v="1"/>
  </r>
  <r>
    <n v="18545"/>
    <x v="0"/>
    <x v="1"/>
    <n v="40000"/>
    <s v="Low Income"/>
    <x v="5"/>
    <x v="2"/>
    <x v="2"/>
    <s v="No"/>
    <n v="2"/>
    <x v="4"/>
    <x v="2"/>
    <n v="61"/>
    <x v="1"/>
    <x v="1"/>
  </r>
  <r>
    <n v="18391"/>
    <x v="1"/>
    <x v="0"/>
    <n v="80000"/>
    <s v="Medium Income"/>
    <x v="2"/>
    <x v="1"/>
    <x v="2"/>
    <s v="Yes"/>
    <n v="2"/>
    <x v="2"/>
    <x v="2"/>
    <n v="44"/>
    <x v="0"/>
    <x v="0"/>
  </r>
  <r>
    <n v="19812"/>
    <x v="1"/>
    <x v="0"/>
    <n v="70000"/>
    <s v="Medium Income"/>
    <x v="4"/>
    <x v="1"/>
    <x v="2"/>
    <s v="Yes"/>
    <n v="0"/>
    <x v="2"/>
    <x v="2"/>
    <n v="49"/>
    <x v="0"/>
    <x v="1"/>
  </r>
  <r>
    <n v="27660"/>
    <x v="0"/>
    <x v="1"/>
    <n v="80000"/>
    <s v="Medium Income"/>
    <x v="5"/>
    <x v="4"/>
    <x v="4"/>
    <s v="Yes"/>
    <n v="2"/>
    <x v="2"/>
    <x v="2"/>
    <n v="70"/>
    <x v="1"/>
    <x v="0"/>
  </r>
  <r>
    <n v="18058"/>
    <x v="1"/>
    <x v="0"/>
    <n v="20000"/>
    <s v="Low Income"/>
    <x v="1"/>
    <x v="2"/>
    <x v="0"/>
    <s v="Yes"/>
    <n v="2"/>
    <x v="1"/>
    <x v="2"/>
    <n v="78"/>
    <x v="1"/>
    <x v="0"/>
  </r>
  <r>
    <n v="20343"/>
    <x v="0"/>
    <x v="0"/>
    <n v="90000"/>
    <s v="Medium Income"/>
    <x v="5"/>
    <x v="1"/>
    <x v="2"/>
    <s v="Yes"/>
    <n v="1"/>
    <x v="3"/>
    <x v="2"/>
    <n v="45"/>
    <x v="0"/>
    <x v="0"/>
  </r>
  <r>
    <n v="28997"/>
    <x v="1"/>
    <x v="1"/>
    <n v="40000"/>
    <s v="Low Income"/>
    <x v="4"/>
    <x v="2"/>
    <x v="2"/>
    <s v="No"/>
    <n v="1"/>
    <x v="1"/>
    <x v="2"/>
    <n v="58"/>
    <x v="0"/>
    <x v="1"/>
  </r>
  <r>
    <n v="24398"/>
    <x v="0"/>
    <x v="1"/>
    <n v="130000"/>
    <s v="High Income"/>
    <x v="0"/>
    <x v="4"/>
    <x v="4"/>
    <s v="Yes"/>
    <n v="4"/>
    <x v="0"/>
    <x v="2"/>
    <n v="41"/>
    <x v="0"/>
    <x v="0"/>
  </r>
  <r>
    <n v="19002"/>
    <x v="0"/>
    <x v="0"/>
    <n v="60000"/>
    <s v="Low Income"/>
    <x v="4"/>
    <x v="1"/>
    <x v="2"/>
    <s v="Yes"/>
    <n v="1"/>
    <x v="1"/>
    <x v="2"/>
    <n v="57"/>
    <x v="0"/>
    <x v="1"/>
  </r>
  <r>
    <n v="28609"/>
    <x v="0"/>
    <x v="1"/>
    <n v="30000"/>
    <s v="Low Income"/>
    <x v="4"/>
    <x v="2"/>
    <x v="0"/>
    <s v="No"/>
    <n v="2"/>
    <x v="0"/>
    <x v="2"/>
    <n v="49"/>
    <x v="0"/>
    <x v="0"/>
  </r>
  <r>
    <n v="29231"/>
    <x v="1"/>
    <x v="1"/>
    <n v="80000"/>
    <s v="Medium Income"/>
    <x v="5"/>
    <x v="1"/>
    <x v="2"/>
    <s v="No"/>
    <n v="2"/>
    <x v="0"/>
    <x v="2"/>
    <n v="43"/>
    <x v="0"/>
    <x v="0"/>
  </r>
  <r>
    <n v="18858"/>
    <x v="1"/>
    <x v="1"/>
    <n v="60000"/>
    <s v="Low Income"/>
    <x v="4"/>
    <x v="3"/>
    <x v="0"/>
    <s v="Yes"/>
    <n v="2"/>
    <x v="2"/>
    <x v="2"/>
    <n v="52"/>
    <x v="0"/>
    <x v="1"/>
  </r>
  <r>
    <n v="20000"/>
    <x v="0"/>
    <x v="1"/>
    <n v="60000"/>
    <s v="Low Income"/>
    <x v="0"/>
    <x v="4"/>
    <x v="2"/>
    <s v="Yes"/>
    <n v="0"/>
    <x v="0"/>
    <x v="2"/>
    <n v="35"/>
    <x v="2"/>
    <x v="1"/>
  </r>
  <r>
    <n v="25261"/>
    <x v="0"/>
    <x v="1"/>
    <n v="40000"/>
    <s v="Low Income"/>
    <x v="3"/>
    <x v="2"/>
    <x v="0"/>
    <s v="Yes"/>
    <n v="2"/>
    <x v="2"/>
    <x v="2"/>
    <n v="27"/>
    <x v="3"/>
    <x v="0"/>
  </r>
  <r>
    <n v="17458"/>
    <x v="1"/>
    <x v="1"/>
    <n v="70000"/>
    <s v="Medium Income"/>
    <x v="1"/>
    <x v="2"/>
    <x v="2"/>
    <s v="Yes"/>
    <n v="0"/>
    <x v="2"/>
    <x v="2"/>
    <n v="52"/>
    <x v="0"/>
    <x v="1"/>
  </r>
  <r>
    <n v="11644"/>
    <x v="1"/>
    <x v="1"/>
    <n v="40000"/>
    <s v="Low Income"/>
    <x v="4"/>
    <x v="0"/>
    <x v="0"/>
    <s v="Yes"/>
    <n v="0"/>
    <x v="1"/>
    <x v="2"/>
    <n v="36"/>
    <x v="2"/>
    <x v="0"/>
  </r>
  <r>
    <n v="16145"/>
    <x v="1"/>
    <x v="0"/>
    <n v="70000"/>
    <s v="Medium Income"/>
    <x v="2"/>
    <x v="4"/>
    <x v="2"/>
    <s v="Yes"/>
    <n v="3"/>
    <x v="4"/>
    <x v="2"/>
    <n v="46"/>
    <x v="0"/>
    <x v="1"/>
  </r>
  <r>
    <n v="16890"/>
    <x v="0"/>
    <x v="1"/>
    <n v="60000"/>
    <s v="Low Income"/>
    <x v="1"/>
    <x v="3"/>
    <x v="0"/>
    <s v="Yes"/>
    <n v="2"/>
    <x v="2"/>
    <x v="2"/>
    <n v="52"/>
    <x v="0"/>
    <x v="1"/>
  </r>
  <r>
    <n v="25983"/>
    <x v="0"/>
    <x v="1"/>
    <n v="70000"/>
    <s v="Medium Income"/>
    <x v="3"/>
    <x v="0"/>
    <x v="2"/>
    <s v="No"/>
    <n v="1"/>
    <x v="0"/>
    <x v="2"/>
    <n v="43"/>
    <x v="0"/>
    <x v="0"/>
  </r>
  <r>
    <n v="14633"/>
    <x v="0"/>
    <x v="1"/>
    <n v="60000"/>
    <s v="Low Income"/>
    <x v="0"/>
    <x v="1"/>
    <x v="0"/>
    <s v="Yes"/>
    <n v="1"/>
    <x v="1"/>
    <x v="2"/>
    <n v="44"/>
    <x v="0"/>
    <x v="0"/>
  </r>
  <r>
    <n v="22994"/>
    <x v="0"/>
    <x v="0"/>
    <n v="80000"/>
    <s v="Medium Income"/>
    <x v="3"/>
    <x v="0"/>
    <x v="4"/>
    <s v="Yes"/>
    <n v="1"/>
    <x v="3"/>
    <x v="2"/>
    <n v="34"/>
    <x v="2"/>
    <x v="1"/>
  </r>
  <r>
    <n v="22983"/>
    <x v="1"/>
    <x v="0"/>
    <n v="30000"/>
    <s v="Low Income"/>
    <x v="3"/>
    <x v="3"/>
    <x v="1"/>
    <s v="Yes"/>
    <n v="2"/>
    <x v="2"/>
    <x v="2"/>
    <n v="27"/>
    <x v="3"/>
    <x v="0"/>
  </r>
  <r>
    <n v="25184"/>
    <x v="1"/>
    <x v="1"/>
    <n v="110000"/>
    <s v="Medium Income"/>
    <x v="0"/>
    <x v="1"/>
    <x v="2"/>
    <s v="Yes"/>
    <n v="4"/>
    <x v="2"/>
    <x v="2"/>
    <n v="45"/>
    <x v="0"/>
    <x v="1"/>
  </r>
  <r>
    <n v="14469"/>
    <x v="0"/>
    <x v="0"/>
    <n v="100000"/>
    <s v="Medium Income"/>
    <x v="1"/>
    <x v="1"/>
    <x v="2"/>
    <s v="Yes"/>
    <n v="4"/>
    <x v="3"/>
    <x v="2"/>
    <n v="45"/>
    <x v="0"/>
    <x v="0"/>
  </r>
  <r>
    <n v="11538"/>
    <x v="1"/>
    <x v="0"/>
    <n v="60000"/>
    <s v="Low Income"/>
    <x v="5"/>
    <x v="4"/>
    <x v="0"/>
    <s v="No"/>
    <n v="0"/>
    <x v="0"/>
    <x v="2"/>
    <n v="47"/>
    <x v="0"/>
    <x v="1"/>
  </r>
  <r>
    <n v="16245"/>
    <x v="1"/>
    <x v="0"/>
    <n v="80000"/>
    <s v="Medium Income"/>
    <x v="5"/>
    <x v="4"/>
    <x v="0"/>
    <s v="Yes"/>
    <n v="0"/>
    <x v="3"/>
    <x v="2"/>
    <n v="47"/>
    <x v="0"/>
    <x v="0"/>
  </r>
  <r>
    <n v="17858"/>
    <x v="0"/>
    <x v="1"/>
    <n v="40000"/>
    <s v="Low Income"/>
    <x v="5"/>
    <x v="2"/>
    <x v="0"/>
    <s v="Yes"/>
    <n v="2"/>
    <x v="1"/>
    <x v="2"/>
    <n v="44"/>
    <x v="0"/>
    <x v="1"/>
  </r>
  <r>
    <n v="25347"/>
    <x v="1"/>
    <x v="0"/>
    <n v="20000"/>
    <s v="Low Income"/>
    <x v="1"/>
    <x v="3"/>
    <x v="1"/>
    <s v="No"/>
    <n v="2"/>
    <x v="0"/>
    <x v="2"/>
    <n v="49"/>
    <x v="0"/>
    <x v="0"/>
  </r>
  <r>
    <n v="15814"/>
    <x v="1"/>
    <x v="0"/>
    <n v="40000"/>
    <s v="Low Income"/>
    <x v="3"/>
    <x v="2"/>
    <x v="0"/>
    <s v="Yes"/>
    <n v="1"/>
    <x v="2"/>
    <x v="2"/>
    <n v="30"/>
    <x v="2"/>
    <x v="0"/>
  </r>
  <r>
    <n v="11259"/>
    <x v="0"/>
    <x v="0"/>
    <n v="100000"/>
    <s v="Medium Income"/>
    <x v="5"/>
    <x v="1"/>
    <x v="2"/>
    <s v="Yes"/>
    <n v="4"/>
    <x v="1"/>
    <x v="2"/>
    <n v="41"/>
    <x v="0"/>
    <x v="1"/>
  </r>
  <r>
    <n v="11200"/>
    <x v="0"/>
    <x v="1"/>
    <n v="70000"/>
    <s v="Medium Income"/>
    <x v="5"/>
    <x v="0"/>
    <x v="4"/>
    <s v="Yes"/>
    <n v="1"/>
    <x v="3"/>
    <x v="2"/>
    <n v="58"/>
    <x v="0"/>
    <x v="0"/>
  </r>
  <r>
    <n v="25101"/>
    <x v="0"/>
    <x v="1"/>
    <n v="60000"/>
    <s v="Low Income"/>
    <x v="2"/>
    <x v="0"/>
    <x v="2"/>
    <s v="Yes"/>
    <n v="1"/>
    <x v="1"/>
    <x v="2"/>
    <n v="47"/>
    <x v="0"/>
    <x v="0"/>
  </r>
  <r>
    <n v="21801"/>
    <x v="0"/>
    <x v="0"/>
    <n v="70000"/>
    <s v="Medium Income"/>
    <x v="5"/>
    <x v="1"/>
    <x v="2"/>
    <s v="Yes"/>
    <n v="1"/>
    <x v="3"/>
    <x v="2"/>
    <n v="55"/>
    <x v="0"/>
    <x v="0"/>
  </r>
  <r>
    <n v="25943"/>
    <x v="1"/>
    <x v="0"/>
    <n v="70000"/>
    <s v="Medium Income"/>
    <x v="3"/>
    <x v="1"/>
    <x v="0"/>
    <s v="No"/>
    <n v="2"/>
    <x v="0"/>
    <x v="2"/>
    <n v="27"/>
    <x v="3"/>
    <x v="1"/>
  </r>
  <r>
    <n v="22127"/>
    <x v="0"/>
    <x v="1"/>
    <n v="60000"/>
    <s v="Low Income"/>
    <x v="1"/>
    <x v="4"/>
    <x v="4"/>
    <s v="Yes"/>
    <n v="2"/>
    <x v="3"/>
    <x v="2"/>
    <n v="67"/>
    <x v="1"/>
    <x v="0"/>
  </r>
  <r>
    <n v="20414"/>
    <x v="0"/>
    <x v="0"/>
    <n v="60000"/>
    <s v="Low Income"/>
    <x v="3"/>
    <x v="1"/>
    <x v="0"/>
    <s v="Yes"/>
    <n v="2"/>
    <x v="2"/>
    <x v="2"/>
    <n v="29"/>
    <x v="3"/>
    <x v="0"/>
  </r>
  <r>
    <n v="23672"/>
    <x v="0"/>
    <x v="0"/>
    <n v="60000"/>
    <s v="Low Income"/>
    <x v="1"/>
    <x v="4"/>
    <x v="4"/>
    <s v="Yes"/>
    <n v="2"/>
    <x v="3"/>
    <x v="2"/>
    <n v="67"/>
    <x v="1"/>
    <x v="0"/>
  </r>
  <r>
    <n v="29255"/>
    <x v="1"/>
    <x v="1"/>
    <n v="80000"/>
    <s v="Medium Income"/>
    <x v="1"/>
    <x v="1"/>
    <x v="2"/>
    <s v="No"/>
    <n v="1"/>
    <x v="3"/>
    <x v="2"/>
    <n v="51"/>
    <x v="0"/>
    <x v="1"/>
  </r>
  <r>
    <n v="28815"/>
    <x v="0"/>
    <x v="0"/>
    <n v="50000"/>
    <s v="Low Income"/>
    <x v="0"/>
    <x v="4"/>
    <x v="0"/>
    <s v="Yes"/>
    <n v="0"/>
    <x v="0"/>
    <x v="2"/>
    <n v="35"/>
    <x v="2"/>
    <x v="0"/>
  </r>
  <r>
    <n v="27753"/>
    <x v="0"/>
    <x v="1"/>
    <n v="40000"/>
    <s v="Low Income"/>
    <x v="3"/>
    <x v="2"/>
    <x v="0"/>
    <s v="No"/>
    <n v="2"/>
    <x v="3"/>
    <x v="2"/>
    <n v="30"/>
    <x v="2"/>
    <x v="0"/>
  </r>
  <r>
    <n v="27643"/>
    <x v="1"/>
    <x v="1"/>
    <n v="70000"/>
    <s v="Medium Income"/>
    <x v="2"/>
    <x v="1"/>
    <x v="2"/>
    <s v="Yes"/>
    <n v="3"/>
    <x v="1"/>
    <x v="2"/>
    <n v="44"/>
    <x v="0"/>
    <x v="0"/>
  </r>
  <r>
    <n v="13754"/>
    <x v="1"/>
    <x v="0"/>
    <n v="80000"/>
    <s v="Medium Income"/>
    <x v="5"/>
    <x v="4"/>
    <x v="0"/>
    <s v="Yes"/>
    <n v="0"/>
    <x v="3"/>
    <x v="2"/>
    <n v="48"/>
    <x v="0"/>
    <x v="0"/>
  </r>
  <r>
    <n v="22088"/>
    <x v="0"/>
    <x v="0"/>
    <n v="130000"/>
    <s v="High Income"/>
    <x v="0"/>
    <x v="0"/>
    <x v="4"/>
    <s v="Yes"/>
    <n v="2"/>
    <x v="0"/>
    <x v="2"/>
    <n v="45"/>
    <x v="0"/>
    <x v="1"/>
  </r>
  <r>
    <n v="27388"/>
    <x v="0"/>
    <x v="1"/>
    <n v="60000"/>
    <s v="Low Income"/>
    <x v="1"/>
    <x v="0"/>
    <x v="4"/>
    <s v="No"/>
    <n v="2"/>
    <x v="3"/>
    <x v="2"/>
    <n v="66"/>
    <x v="1"/>
    <x v="0"/>
  </r>
  <r>
    <n v="24745"/>
    <x v="1"/>
    <x v="0"/>
    <n v="30000"/>
    <s v="Low Income"/>
    <x v="4"/>
    <x v="2"/>
    <x v="0"/>
    <s v="No"/>
    <n v="2"/>
    <x v="0"/>
    <x v="2"/>
    <n v="49"/>
    <x v="0"/>
    <x v="0"/>
  </r>
  <r>
    <n v="29237"/>
    <x v="1"/>
    <x v="0"/>
    <n v="120000"/>
    <s v="Medium Income"/>
    <x v="5"/>
    <x v="1"/>
    <x v="2"/>
    <s v="Yes"/>
    <n v="3"/>
    <x v="2"/>
    <x v="2"/>
    <n v="43"/>
    <x v="0"/>
    <x v="1"/>
  </r>
  <r>
    <n v="15272"/>
    <x v="1"/>
    <x v="1"/>
    <n v="40000"/>
    <s v="Low Income"/>
    <x v="3"/>
    <x v="2"/>
    <x v="0"/>
    <s v="No"/>
    <n v="2"/>
    <x v="3"/>
    <x v="2"/>
    <n v="30"/>
    <x v="2"/>
    <x v="0"/>
  </r>
  <r>
    <n v="18949"/>
    <x v="1"/>
    <x v="1"/>
    <n v="70000"/>
    <s v="Medium Income"/>
    <x v="3"/>
    <x v="4"/>
    <x v="4"/>
    <s v="Yes"/>
    <n v="2"/>
    <x v="2"/>
    <x v="2"/>
    <n v="74"/>
    <x v="1"/>
    <x v="1"/>
  </r>
  <r>
    <n v="14507"/>
    <x v="0"/>
    <x v="1"/>
    <n v="100000"/>
    <s v="Medium Income"/>
    <x v="4"/>
    <x v="4"/>
    <x v="4"/>
    <s v="Yes"/>
    <n v="3"/>
    <x v="3"/>
    <x v="2"/>
    <n v="65"/>
    <x v="1"/>
    <x v="0"/>
  </r>
  <r>
    <n v="25886"/>
    <x v="0"/>
    <x v="0"/>
    <n v="60000"/>
    <s v="Low Income"/>
    <x v="4"/>
    <x v="1"/>
    <x v="2"/>
    <s v="Yes"/>
    <n v="2"/>
    <x v="1"/>
    <x v="2"/>
    <n v="56"/>
    <x v="0"/>
    <x v="1"/>
  </r>
  <r>
    <n v="21441"/>
    <x v="0"/>
    <x v="1"/>
    <n v="50000"/>
    <s v="Low Income"/>
    <x v="5"/>
    <x v="0"/>
    <x v="4"/>
    <s v="Yes"/>
    <n v="2"/>
    <x v="4"/>
    <x v="2"/>
    <n v="64"/>
    <x v="1"/>
    <x v="0"/>
  </r>
  <r>
    <n v="21741"/>
    <x v="0"/>
    <x v="0"/>
    <n v="70000"/>
    <s v="Medium Income"/>
    <x v="1"/>
    <x v="1"/>
    <x v="2"/>
    <s v="Yes"/>
    <n v="2"/>
    <x v="2"/>
    <x v="2"/>
    <n v="50"/>
    <x v="0"/>
    <x v="1"/>
  </r>
  <r>
    <n v="14572"/>
    <x v="0"/>
    <x v="0"/>
    <n v="70000"/>
    <s v="Medium Income"/>
    <x v="1"/>
    <x v="4"/>
    <x v="2"/>
    <s v="Yes"/>
    <n v="0"/>
    <x v="1"/>
    <x v="2"/>
    <n v="35"/>
    <x v="2"/>
    <x v="1"/>
  </r>
  <r>
    <n v="23368"/>
    <x v="0"/>
    <x v="0"/>
    <n v="60000"/>
    <s v="Low Income"/>
    <x v="2"/>
    <x v="0"/>
    <x v="0"/>
    <s v="Yes"/>
    <n v="3"/>
    <x v="4"/>
    <x v="2"/>
    <n v="41"/>
    <x v="0"/>
    <x v="0"/>
  </r>
  <r>
    <n v="16217"/>
    <x v="1"/>
    <x v="0"/>
    <n v="60000"/>
    <s v="Low Income"/>
    <x v="3"/>
    <x v="4"/>
    <x v="0"/>
    <s v="Yes"/>
    <n v="0"/>
    <x v="0"/>
    <x v="2"/>
    <n v="39"/>
    <x v="2"/>
    <x v="0"/>
  </r>
  <r>
    <n v="16247"/>
    <x v="1"/>
    <x v="0"/>
    <n v="60000"/>
    <s v="Low Income"/>
    <x v="5"/>
    <x v="4"/>
    <x v="0"/>
    <s v="No"/>
    <n v="0"/>
    <x v="3"/>
    <x v="2"/>
    <n v="47"/>
    <x v="0"/>
    <x v="0"/>
  </r>
  <r>
    <n v="22010"/>
    <x v="1"/>
    <x v="1"/>
    <n v="40000"/>
    <s v="Low Income"/>
    <x v="3"/>
    <x v="2"/>
    <x v="0"/>
    <s v="Yes"/>
    <n v="2"/>
    <x v="2"/>
    <x v="2"/>
    <n v="31"/>
    <x v="2"/>
    <x v="0"/>
  </r>
  <r>
    <n v="25872"/>
    <x v="1"/>
    <x v="0"/>
    <n v="70000"/>
    <s v="Medium Income"/>
    <x v="4"/>
    <x v="0"/>
    <x v="4"/>
    <s v="No"/>
    <n v="1"/>
    <x v="1"/>
    <x v="2"/>
    <n v="58"/>
    <x v="0"/>
    <x v="1"/>
  </r>
  <r>
    <n v="19164"/>
    <x v="1"/>
    <x v="0"/>
    <n v="70000"/>
    <s v="Medium Income"/>
    <x v="3"/>
    <x v="0"/>
    <x v="2"/>
    <s v="No"/>
    <n v="1"/>
    <x v="1"/>
    <x v="2"/>
    <n v="38"/>
    <x v="2"/>
    <x v="1"/>
  </r>
  <r>
    <n v="18435"/>
    <x v="1"/>
    <x v="0"/>
    <n v="70000"/>
    <s v="Medium Income"/>
    <x v="2"/>
    <x v="4"/>
    <x v="4"/>
    <s v="Yes"/>
    <n v="2"/>
    <x v="4"/>
    <x v="2"/>
    <n v="67"/>
    <x v="1"/>
    <x v="1"/>
  </r>
  <r>
    <n v="14284"/>
    <x v="1"/>
    <x v="1"/>
    <n v="60000"/>
    <s v="Low Income"/>
    <x v="3"/>
    <x v="1"/>
    <x v="2"/>
    <s v="No"/>
    <n v="2"/>
    <x v="3"/>
    <x v="2"/>
    <n v="32"/>
    <x v="2"/>
    <x v="1"/>
  </r>
  <r>
    <n v="11287"/>
    <x v="0"/>
    <x v="1"/>
    <n v="70000"/>
    <s v="Medium Income"/>
    <x v="2"/>
    <x v="1"/>
    <x v="2"/>
    <s v="No"/>
    <n v="3"/>
    <x v="2"/>
    <x v="2"/>
    <n v="45"/>
    <x v="0"/>
    <x v="0"/>
  </r>
  <r>
    <n v="13066"/>
    <x v="1"/>
    <x v="1"/>
    <n v="30000"/>
    <s v="Low Income"/>
    <x v="3"/>
    <x v="2"/>
    <x v="0"/>
    <s v="No"/>
    <n v="2"/>
    <x v="3"/>
    <x v="2"/>
    <n v="31"/>
    <x v="2"/>
    <x v="1"/>
  </r>
  <r>
    <n v="29106"/>
    <x v="1"/>
    <x v="1"/>
    <n v="40000"/>
    <s v="Low Income"/>
    <x v="3"/>
    <x v="2"/>
    <x v="0"/>
    <s v="No"/>
    <n v="2"/>
    <x v="3"/>
    <x v="2"/>
    <n v="31"/>
    <x v="2"/>
    <x v="1"/>
  </r>
  <r>
    <n v="26236"/>
    <x v="0"/>
    <x v="0"/>
    <n v="40000"/>
    <s v="Low Income"/>
    <x v="1"/>
    <x v="1"/>
    <x v="1"/>
    <s v="Yes"/>
    <n v="1"/>
    <x v="0"/>
    <x v="2"/>
    <n v="31"/>
    <x v="2"/>
    <x v="0"/>
  </r>
  <r>
    <n v="17531"/>
    <x v="0"/>
    <x v="1"/>
    <n v="60000"/>
    <s v="Low Income"/>
    <x v="4"/>
    <x v="2"/>
    <x v="2"/>
    <s v="No"/>
    <n v="2"/>
    <x v="2"/>
    <x v="2"/>
    <n v="50"/>
    <x v="0"/>
    <x v="0"/>
  </r>
  <r>
    <n v="12964"/>
    <x v="0"/>
    <x v="1"/>
    <n v="70000"/>
    <s v="Medium Income"/>
    <x v="0"/>
    <x v="1"/>
    <x v="0"/>
    <s v="Yes"/>
    <n v="1"/>
    <x v="0"/>
    <x v="2"/>
    <n v="44"/>
    <x v="0"/>
    <x v="0"/>
  </r>
  <r>
    <n v="19133"/>
    <x v="1"/>
    <x v="1"/>
    <n v="50000"/>
    <s v="Low Income"/>
    <x v="4"/>
    <x v="0"/>
    <x v="0"/>
    <s v="Yes"/>
    <n v="1"/>
    <x v="1"/>
    <x v="2"/>
    <n v="38"/>
    <x v="2"/>
    <x v="1"/>
  </r>
  <r>
    <n v="24643"/>
    <x v="1"/>
    <x v="0"/>
    <n v="60000"/>
    <s v="Low Income"/>
    <x v="5"/>
    <x v="0"/>
    <x v="4"/>
    <s v="Yes"/>
    <n v="2"/>
    <x v="4"/>
    <x v="2"/>
    <n v="63"/>
    <x v="1"/>
    <x v="0"/>
  </r>
  <r>
    <n v="21599"/>
    <x v="0"/>
    <x v="0"/>
    <n v="60000"/>
    <s v="Low Income"/>
    <x v="0"/>
    <x v="4"/>
    <x v="2"/>
    <s v="Yes"/>
    <n v="0"/>
    <x v="1"/>
    <x v="2"/>
    <n v="36"/>
    <x v="2"/>
    <x v="1"/>
  </r>
  <r>
    <n v="22976"/>
    <x v="1"/>
    <x v="1"/>
    <n v="40000"/>
    <s v="Low Income"/>
    <x v="3"/>
    <x v="2"/>
    <x v="0"/>
    <s v="No"/>
    <n v="2"/>
    <x v="0"/>
    <x v="2"/>
    <n v="28"/>
    <x v="3"/>
    <x v="1"/>
  </r>
  <r>
    <n v="27637"/>
    <x v="1"/>
    <x v="0"/>
    <n v="100000"/>
    <s v="Medium Income"/>
    <x v="0"/>
    <x v="1"/>
    <x v="2"/>
    <s v="No"/>
    <n v="3"/>
    <x v="3"/>
    <x v="2"/>
    <n v="44"/>
    <x v="0"/>
    <x v="0"/>
  </r>
  <r>
    <n v="11890"/>
    <x v="0"/>
    <x v="0"/>
    <n v="70000"/>
    <s v="Medium Income"/>
    <x v="2"/>
    <x v="4"/>
    <x v="2"/>
    <s v="Yes"/>
    <n v="1"/>
    <x v="0"/>
    <x v="2"/>
    <n v="47"/>
    <x v="0"/>
    <x v="0"/>
  </r>
  <r>
    <n v="28580"/>
    <x v="0"/>
    <x v="0"/>
    <n v="80000"/>
    <s v="Medium Income"/>
    <x v="3"/>
    <x v="4"/>
    <x v="0"/>
    <s v="Yes"/>
    <n v="0"/>
    <x v="3"/>
    <x v="2"/>
    <n v="40"/>
    <x v="0"/>
    <x v="1"/>
  </r>
  <r>
    <n v="14443"/>
    <x v="0"/>
    <x v="1"/>
    <n v="130000"/>
    <s v="High Income"/>
    <x v="0"/>
    <x v="4"/>
    <x v="4"/>
    <s v="Yes"/>
    <n v="4"/>
    <x v="0"/>
    <x v="2"/>
    <n v="40"/>
    <x v="0"/>
    <x v="0"/>
  </r>
  <r>
    <n v="17864"/>
    <x v="0"/>
    <x v="0"/>
    <n v="60000"/>
    <s v="Low Income"/>
    <x v="0"/>
    <x v="1"/>
    <x v="0"/>
    <s v="Yes"/>
    <n v="1"/>
    <x v="1"/>
    <x v="2"/>
    <n v="46"/>
    <x v="0"/>
    <x v="1"/>
  </r>
  <r>
    <n v="20505"/>
    <x v="0"/>
    <x v="0"/>
    <n v="40000"/>
    <s v="Low Income"/>
    <x v="2"/>
    <x v="2"/>
    <x v="2"/>
    <s v="No"/>
    <n v="2"/>
    <x v="4"/>
    <x v="2"/>
    <n v="61"/>
    <x v="1"/>
    <x v="0"/>
  </r>
  <r>
    <n v="14592"/>
    <x v="0"/>
    <x v="0"/>
    <n v="60000"/>
    <s v="Low Income"/>
    <x v="3"/>
    <x v="4"/>
    <x v="2"/>
    <s v="Yes"/>
    <n v="0"/>
    <x v="0"/>
    <x v="2"/>
    <n v="40"/>
    <x v="0"/>
    <x v="0"/>
  </r>
  <r>
    <n v="22227"/>
    <x v="0"/>
    <x v="0"/>
    <n v="60000"/>
    <s v="Low Income"/>
    <x v="4"/>
    <x v="2"/>
    <x v="2"/>
    <s v="Yes"/>
    <n v="2"/>
    <x v="2"/>
    <x v="2"/>
    <n v="50"/>
    <x v="0"/>
    <x v="0"/>
  </r>
  <r>
    <n v="21471"/>
    <x v="0"/>
    <x v="1"/>
    <n v="70000"/>
    <s v="Medium Income"/>
    <x v="4"/>
    <x v="1"/>
    <x v="2"/>
    <s v="Yes"/>
    <n v="1"/>
    <x v="4"/>
    <x v="2"/>
    <n v="59"/>
    <x v="0"/>
    <x v="0"/>
  </r>
  <r>
    <n v="22252"/>
    <x v="1"/>
    <x v="0"/>
    <n v="60000"/>
    <s v="Low Income"/>
    <x v="0"/>
    <x v="4"/>
    <x v="2"/>
    <s v="Yes"/>
    <n v="0"/>
    <x v="1"/>
    <x v="2"/>
    <n v="36"/>
    <x v="2"/>
    <x v="1"/>
  </r>
  <r>
    <n v="21260"/>
    <x v="1"/>
    <x v="0"/>
    <n v="40000"/>
    <s v="Low Income"/>
    <x v="3"/>
    <x v="2"/>
    <x v="0"/>
    <s v="Yes"/>
    <n v="2"/>
    <x v="2"/>
    <x v="2"/>
    <n v="30"/>
    <x v="2"/>
    <x v="0"/>
  </r>
  <r>
    <n v="11817"/>
    <x v="1"/>
    <x v="0"/>
    <n v="70000"/>
    <s v="Medium Income"/>
    <x v="5"/>
    <x v="4"/>
    <x v="2"/>
    <s v="Yes"/>
    <n v="0"/>
    <x v="1"/>
    <x v="2"/>
    <n v="35"/>
    <x v="2"/>
    <x v="1"/>
  </r>
  <r>
    <n v="19223"/>
    <x v="0"/>
    <x v="0"/>
    <n v="30000"/>
    <s v="Low Income"/>
    <x v="4"/>
    <x v="2"/>
    <x v="0"/>
    <s v="Yes"/>
    <n v="2"/>
    <x v="3"/>
    <x v="2"/>
    <n v="48"/>
    <x v="0"/>
    <x v="0"/>
  </r>
  <r>
    <n v="18517"/>
    <x v="0"/>
    <x v="1"/>
    <n v="100000"/>
    <s v="Medium Income"/>
    <x v="1"/>
    <x v="0"/>
    <x v="4"/>
    <s v="Yes"/>
    <n v="4"/>
    <x v="0"/>
    <x v="2"/>
    <n v="41"/>
    <x v="0"/>
    <x v="0"/>
  </r>
  <r>
    <n v="21717"/>
    <x v="0"/>
    <x v="1"/>
    <n v="40000"/>
    <s v="Low Income"/>
    <x v="4"/>
    <x v="1"/>
    <x v="1"/>
    <s v="Yes"/>
    <n v="1"/>
    <x v="0"/>
    <x v="2"/>
    <n v="47"/>
    <x v="0"/>
    <x v="0"/>
  </r>
  <r>
    <n v="13760"/>
    <x v="0"/>
    <x v="1"/>
    <n v="60000"/>
    <s v="Low Income"/>
    <x v="5"/>
    <x v="4"/>
    <x v="0"/>
    <s v="No"/>
    <n v="0"/>
    <x v="0"/>
    <x v="2"/>
    <n v="47"/>
    <x v="0"/>
    <x v="0"/>
  </r>
  <r>
    <n v="18145"/>
    <x v="0"/>
    <x v="1"/>
    <n v="80000"/>
    <s v="Medium Income"/>
    <x v="2"/>
    <x v="0"/>
    <x v="4"/>
    <s v="No"/>
    <n v="2"/>
    <x v="1"/>
    <x v="0"/>
    <n v="62"/>
    <x v="1"/>
    <x v="0"/>
  </r>
  <r>
    <n v="21770"/>
    <x v="0"/>
    <x v="1"/>
    <n v="60000"/>
    <s v="Low Income"/>
    <x v="5"/>
    <x v="0"/>
    <x v="4"/>
    <s v="Yes"/>
    <n v="2"/>
    <x v="4"/>
    <x v="2"/>
    <n v="60"/>
    <x v="1"/>
    <x v="0"/>
  </r>
  <r>
    <n v="11165"/>
    <x v="0"/>
    <x v="0"/>
    <n v="60000"/>
    <s v="Low Income"/>
    <x v="3"/>
    <x v="1"/>
    <x v="0"/>
    <s v="No"/>
    <n v="1"/>
    <x v="3"/>
    <x v="2"/>
    <n v="33"/>
    <x v="2"/>
    <x v="0"/>
  </r>
  <r>
    <n v="16377"/>
    <x v="1"/>
    <x v="0"/>
    <n v="80000"/>
    <s v="Medium Income"/>
    <x v="5"/>
    <x v="4"/>
    <x v="0"/>
    <s v="No"/>
    <n v="0"/>
    <x v="0"/>
    <x v="2"/>
    <n v="47"/>
    <x v="0"/>
    <x v="0"/>
  </r>
  <r>
    <n v="26248"/>
    <x v="0"/>
    <x v="1"/>
    <n v="20000"/>
    <s v="Low Income"/>
    <x v="1"/>
    <x v="3"/>
    <x v="1"/>
    <s v="No"/>
    <n v="2"/>
    <x v="0"/>
    <x v="2"/>
    <n v="52"/>
    <x v="0"/>
    <x v="0"/>
  </r>
  <r>
    <n v="23461"/>
    <x v="0"/>
    <x v="0"/>
    <n v="90000"/>
    <s v="Medium Income"/>
    <x v="2"/>
    <x v="1"/>
    <x v="2"/>
    <s v="Yes"/>
    <n v="3"/>
    <x v="1"/>
    <x v="2"/>
    <n v="40"/>
    <x v="0"/>
    <x v="0"/>
  </r>
  <r>
    <n v="29133"/>
    <x v="1"/>
    <x v="0"/>
    <n v="60000"/>
    <s v="Low Income"/>
    <x v="5"/>
    <x v="0"/>
    <x v="0"/>
    <s v="No"/>
    <n v="2"/>
    <x v="0"/>
    <x v="2"/>
    <n v="42"/>
    <x v="0"/>
    <x v="0"/>
  </r>
  <r>
    <n v="27673"/>
    <x v="1"/>
    <x v="0"/>
    <n v="60000"/>
    <s v="Low Income"/>
    <x v="1"/>
    <x v="4"/>
    <x v="4"/>
    <s v="Yes"/>
    <n v="2"/>
    <x v="2"/>
    <x v="2"/>
    <n v="53"/>
    <x v="0"/>
    <x v="1"/>
  </r>
  <r>
    <n v="12774"/>
    <x v="0"/>
    <x v="0"/>
    <n v="40000"/>
    <s v="Low Income"/>
    <x v="0"/>
    <x v="1"/>
    <x v="1"/>
    <s v="Yes"/>
    <n v="1"/>
    <x v="3"/>
    <x v="2"/>
    <n v="51"/>
    <x v="0"/>
    <x v="1"/>
  </r>
  <r>
    <n v="18910"/>
    <x v="1"/>
    <x v="1"/>
    <n v="30000"/>
    <s v="Low Income"/>
    <x v="3"/>
    <x v="1"/>
    <x v="0"/>
    <s v="Yes"/>
    <n v="2"/>
    <x v="2"/>
    <x v="2"/>
    <n v="30"/>
    <x v="2"/>
    <x v="0"/>
  </r>
  <r>
    <n v="11699"/>
    <x v="1"/>
    <x v="1"/>
    <n v="60000"/>
    <s v="Low Income"/>
    <x v="3"/>
    <x v="0"/>
    <x v="0"/>
    <s v="No"/>
    <n v="2"/>
    <x v="0"/>
    <x v="2"/>
    <n v="30"/>
    <x v="2"/>
    <x v="0"/>
  </r>
  <r>
    <n v="16725"/>
    <x v="0"/>
    <x v="1"/>
    <n v="30000"/>
    <s v="Low Income"/>
    <x v="3"/>
    <x v="2"/>
    <x v="0"/>
    <s v="Yes"/>
    <n v="2"/>
    <x v="2"/>
    <x v="2"/>
    <n v="26"/>
    <x v="3"/>
    <x v="0"/>
  </r>
  <r>
    <n v="28269"/>
    <x v="1"/>
    <x v="0"/>
    <n v="130000"/>
    <s v="High Income"/>
    <x v="0"/>
    <x v="0"/>
    <x v="4"/>
    <s v="No"/>
    <n v="1"/>
    <x v="1"/>
    <x v="2"/>
    <n v="45"/>
    <x v="0"/>
    <x v="0"/>
  </r>
  <r>
    <n v="23144"/>
    <x v="0"/>
    <x v="1"/>
    <n v="50000"/>
    <s v="Low Income"/>
    <x v="0"/>
    <x v="0"/>
    <x v="0"/>
    <s v="Yes"/>
    <n v="0"/>
    <x v="0"/>
    <x v="2"/>
    <n v="34"/>
    <x v="2"/>
    <x v="1"/>
  </r>
  <r>
    <n v="23376"/>
    <x v="0"/>
    <x v="1"/>
    <n v="70000"/>
    <s v="Medium Income"/>
    <x v="0"/>
    <x v="0"/>
    <x v="2"/>
    <s v="Yes"/>
    <n v="1"/>
    <x v="1"/>
    <x v="2"/>
    <n v="44"/>
    <x v="0"/>
    <x v="1"/>
  </r>
  <r>
    <n v="25970"/>
    <x v="1"/>
    <x v="0"/>
    <n v="60000"/>
    <s v="Low Income"/>
    <x v="5"/>
    <x v="0"/>
    <x v="0"/>
    <s v="No"/>
    <n v="2"/>
    <x v="0"/>
    <x v="2"/>
    <n v="41"/>
    <x v="0"/>
    <x v="1"/>
  </r>
  <r>
    <n v="28068"/>
    <x v="1"/>
    <x v="0"/>
    <n v="80000"/>
    <s v="Medium Income"/>
    <x v="1"/>
    <x v="4"/>
    <x v="2"/>
    <s v="No"/>
    <n v="0"/>
    <x v="0"/>
    <x v="2"/>
    <n v="36"/>
    <x v="2"/>
    <x v="1"/>
  </r>
  <r>
    <n v="18390"/>
    <x v="0"/>
    <x v="1"/>
    <n v="80000"/>
    <s v="Medium Income"/>
    <x v="2"/>
    <x v="1"/>
    <x v="2"/>
    <s v="Yes"/>
    <n v="2"/>
    <x v="0"/>
    <x v="2"/>
    <n v="44"/>
    <x v="0"/>
    <x v="0"/>
  </r>
  <r>
    <n v="29112"/>
    <x v="1"/>
    <x v="1"/>
    <n v="60000"/>
    <s v="Low Income"/>
    <x v="3"/>
    <x v="1"/>
    <x v="2"/>
    <s v="No"/>
    <n v="2"/>
    <x v="3"/>
    <x v="2"/>
    <n v="30"/>
    <x v="2"/>
    <x v="0"/>
  </r>
  <r>
    <n v="14090"/>
    <x v="0"/>
    <x v="0"/>
    <n v="30000"/>
    <s v="Low Income"/>
    <x v="3"/>
    <x v="3"/>
    <x v="1"/>
    <s v="No"/>
    <n v="2"/>
    <x v="0"/>
    <x v="2"/>
    <n v="28"/>
    <x v="3"/>
    <x v="0"/>
  </r>
  <r>
    <n v="27040"/>
    <x v="0"/>
    <x v="1"/>
    <n v="20000"/>
    <s v="Low Income"/>
    <x v="4"/>
    <x v="3"/>
    <x v="1"/>
    <s v="Yes"/>
    <n v="2"/>
    <x v="3"/>
    <x v="2"/>
    <n v="49"/>
    <x v="0"/>
    <x v="0"/>
  </r>
  <r>
    <n v="23479"/>
    <x v="1"/>
    <x v="1"/>
    <n v="90000"/>
    <s v="Medium Income"/>
    <x v="3"/>
    <x v="1"/>
    <x v="2"/>
    <s v="No"/>
    <n v="2"/>
    <x v="0"/>
    <x v="2"/>
    <n v="43"/>
    <x v="0"/>
    <x v="1"/>
  </r>
  <r>
    <n v="16795"/>
    <x v="0"/>
    <x v="0"/>
    <n v="70000"/>
    <s v="Medium Income"/>
    <x v="5"/>
    <x v="0"/>
    <x v="4"/>
    <s v="Yes"/>
    <n v="1"/>
    <x v="3"/>
    <x v="2"/>
    <n v="59"/>
    <x v="0"/>
    <x v="0"/>
  </r>
  <r>
    <n v="22014"/>
    <x v="1"/>
    <x v="1"/>
    <n v="30000"/>
    <s v="Low Income"/>
    <x v="3"/>
    <x v="2"/>
    <x v="0"/>
    <s v="Yes"/>
    <n v="2"/>
    <x v="2"/>
    <x v="2"/>
    <n v="26"/>
    <x v="3"/>
    <x v="0"/>
  </r>
  <r>
    <n v="13314"/>
    <x v="0"/>
    <x v="1"/>
    <n v="120000"/>
    <s v="Medium Income"/>
    <x v="0"/>
    <x v="2"/>
    <x v="2"/>
    <s v="Yes"/>
    <n v="4"/>
    <x v="2"/>
    <x v="2"/>
    <n v="46"/>
    <x v="0"/>
    <x v="1"/>
  </r>
  <r>
    <n v="11619"/>
    <x v="1"/>
    <x v="0"/>
    <n v="50000"/>
    <s v="Low Income"/>
    <x v="3"/>
    <x v="4"/>
    <x v="0"/>
    <s v="Yes"/>
    <n v="0"/>
    <x v="3"/>
    <x v="2"/>
    <n v="33"/>
    <x v="2"/>
    <x v="0"/>
  </r>
  <r>
    <n v="29132"/>
    <x v="1"/>
    <x v="0"/>
    <n v="40000"/>
    <s v="Low Income"/>
    <x v="3"/>
    <x v="0"/>
    <x v="2"/>
    <s v="Yes"/>
    <n v="1"/>
    <x v="1"/>
    <x v="2"/>
    <n v="42"/>
    <x v="0"/>
    <x v="1"/>
  </r>
  <r>
    <n v="11199"/>
    <x v="0"/>
    <x v="0"/>
    <n v="70000"/>
    <s v="Medium Income"/>
    <x v="5"/>
    <x v="0"/>
    <x v="4"/>
    <s v="Yes"/>
    <n v="1"/>
    <x v="4"/>
    <x v="2"/>
    <n v="59"/>
    <x v="0"/>
    <x v="0"/>
  </r>
  <r>
    <n v="20296"/>
    <x v="1"/>
    <x v="0"/>
    <n v="60000"/>
    <s v="Low Income"/>
    <x v="3"/>
    <x v="1"/>
    <x v="0"/>
    <s v="No"/>
    <n v="1"/>
    <x v="3"/>
    <x v="2"/>
    <n v="33"/>
    <x v="2"/>
    <x v="1"/>
  </r>
  <r>
    <n v="17546"/>
    <x v="0"/>
    <x v="0"/>
    <n v="70000"/>
    <s v="Medium Income"/>
    <x v="0"/>
    <x v="1"/>
    <x v="0"/>
    <s v="Yes"/>
    <n v="1"/>
    <x v="0"/>
    <x v="2"/>
    <n v="44"/>
    <x v="0"/>
    <x v="1"/>
  </r>
  <r>
    <n v="18069"/>
    <x v="0"/>
    <x v="1"/>
    <n v="70000"/>
    <s v="Medium Income"/>
    <x v="2"/>
    <x v="0"/>
    <x v="4"/>
    <s v="Yes"/>
    <n v="4"/>
    <x v="4"/>
    <x v="2"/>
    <n v="60"/>
    <x v="1"/>
    <x v="0"/>
  </r>
  <r>
    <n v="23712"/>
    <x v="1"/>
    <x v="0"/>
    <n v="70000"/>
    <s v="Medium Income"/>
    <x v="4"/>
    <x v="0"/>
    <x v="4"/>
    <s v="Yes"/>
    <n v="1"/>
    <x v="4"/>
    <x v="2"/>
    <n v="59"/>
    <x v="0"/>
    <x v="0"/>
  </r>
  <r>
    <n v="23358"/>
    <x v="0"/>
    <x v="1"/>
    <n v="60000"/>
    <s v="Low Income"/>
    <x v="3"/>
    <x v="2"/>
    <x v="2"/>
    <s v="Yes"/>
    <n v="2"/>
    <x v="2"/>
    <x v="2"/>
    <n v="32"/>
    <x v="2"/>
    <x v="1"/>
  </r>
  <r>
    <n v="20518"/>
    <x v="0"/>
    <x v="0"/>
    <n v="70000"/>
    <s v="Medium Income"/>
    <x v="4"/>
    <x v="1"/>
    <x v="2"/>
    <s v="Yes"/>
    <n v="1"/>
    <x v="4"/>
    <x v="2"/>
    <n v="58"/>
    <x v="0"/>
    <x v="0"/>
  </r>
  <r>
    <n v="28026"/>
    <x v="0"/>
    <x v="0"/>
    <n v="40000"/>
    <s v="Low Income"/>
    <x v="4"/>
    <x v="2"/>
    <x v="2"/>
    <s v="No"/>
    <n v="2"/>
    <x v="1"/>
    <x v="2"/>
    <n v="59"/>
    <x v="0"/>
    <x v="0"/>
  </r>
  <r>
    <n v="11669"/>
    <x v="1"/>
    <x v="0"/>
    <n v="70000"/>
    <s v="Medium Income"/>
    <x v="4"/>
    <x v="0"/>
    <x v="0"/>
    <s v="Yes"/>
    <n v="1"/>
    <x v="1"/>
    <x v="2"/>
    <n v="38"/>
    <x v="2"/>
    <x v="0"/>
  </r>
  <r>
    <n v="16020"/>
    <x v="0"/>
    <x v="1"/>
    <n v="40000"/>
    <s v="Low Income"/>
    <x v="3"/>
    <x v="2"/>
    <x v="0"/>
    <s v="Yes"/>
    <n v="2"/>
    <x v="2"/>
    <x v="2"/>
    <n v="28"/>
    <x v="3"/>
    <x v="1"/>
  </r>
  <r>
    <n v="27090"/>
    <x v="0"/>
    <x v="0"/>
    <n v="60000"/>
    <s v="Low Income"/>
    <x v="0"/>
    <x v="4"/>
    <x v="2"/>
    <s v="Yes"/>
    <n v="0"/>
    <x v="1"/>
    <x v="2"/>
    <n v="37"/>
    <x v="2"/>
    <x v="1"/>
  </r>
  <r>
    <n v="27198"/>
    <x v="1"/>
    <x v="0"/>
    <n v="80000"/>
    <s v="Medium Income"/>
    <x v="3"/>
    <x v="4"/>
    <x v="0"/>
    <s v="No"/>
    <n v="0"/>
    <x v="0"/>
    <x v="2"/>
    <n v="40"/>
    <x v="0"/>
    <x v="0"/>
  </r>
  <r>
    <n v="19661"/>
    <x v="1"/>
    <x v="1"/>
    <n v="90000"/>
    <s v="Medium Income"/>
    <x v="5"/>
    <x v="0"/>
    <x v="4"/>
    <s v="Yes"/>
    <n v="1"/>
    <x v="3"/>
    <x v="2"/>
    <n v="38"/>
    <x v="2"/>
    <x v="1"/>
  </r>
  <r>
    <n v="26327"/>
    <x v="0"/>
    <x v="1"/>
    <n v="70000"/>
    <s v="Medium Income"/>
    <x v="5"/>
    <x v="4"/>
    <x v="2"/>
    <s v="Yes"/>
    <n v="0"/>
    <x v="1"/>
    <x v="2"/>
    <n v="36"/>
    <x v="2"/>
    <x v="1"/>
  </r>
  <r>
    <n v="26341"/>
    <x v="0"/>
    <x v="0"/>
    <n v="70000"/>
    <s v="Medium Income"/>
    <x v="2"/>
    <x v="4"/>
    <x v="2"/>
    <s v="Yes"/>
    <n v="2"/>
    <x v="0"/>
    <x v="2"/>
    <n v="37"/>
    <x v="2"/>
    <x v="0"/>
  </r>
  <r>
    <n v="24958"/>
    <x v="1"/>
    <x v="0"/>
    <n v="40000"/>
    <s v="Low Income"/>
    <x v="2"/>
    <x v="2"/>
    <x v="2"/>
    <s v="No"/>
    <n v="3"/>
    <x v="1"/>
    <x v="2"/>
    <n v="60"/>
    <x v="1"/>
    <x v="1"/>
  </r>
  <r>
    <n v="13287"/>
    <x v="1"/>
    <x v="1"/>
    <n v="110000"/>
    <s v="Medium Income"/>
    <x v="5"/>
    <x v="0"/>
    <x v="4"/>
    <s v="Yes"/>
    <n v="4"/>
    <x v="2"/>
    <x v="2"/>
    <n v="42"/>
    <x v="0"/>
    <x v="1"/>
  </r>
  <r>
    <n v="14493"/>
    <x v="1"/>
    <x v="0"/>
    <n v="70000"/>
    <s v="Medium Income"/>
    <x v="1"/>
    <x v="4"/>
    <x v="4"/>
    <s v="No"/>
    <n v="2"/>
    <x v="3"/>
    <x v="2"/>
    <n v="53"/>
    <x v="0"/>
    <x v="0"/>
  </r>
  <r>
    <n v="26678"/>
    <x v="1"/>
    <x v="0"/>
    <n v="80000"/>
    <s v="Medium Income"/>
    <x v="4"/>
    <x v="3"/>
    <x v="0"/>
    <s v="Yes"/>
    <n v="2"/>
    <x v="2"/>
    <x v="2"/>
    <n v="49"/>
    <x v="0"/>
    <x v="0"/>
  </r>
  <r>
    <n v="23275"/>
    <x v="0"/>
    <x v="1"/>
    <n v="30000"/>
    <s v="Low Income"/>
    <x v="4"/>
    <x v="2"/>
    <x v="0"/>
    <s v="Yes"/>
    <n v="2"/>
    <x v="3"/>
    <x v="2"/>
    <n v="49"/>
    <x v="0"/>
    <x v="0"/>
  </r>
  <r>
    <n v="11270"/>
    <x v="0"/>
    <x v="1"/>
    <n v="130000"/>
    <s v="High Income"/>
    <x v="4"/>
    <x v="4"/>
    <x v="4"/>
    <s v="Yes"/>
    <n v="3"/>
    <x v="0"/>
    <x v="2"/>
    <n v="42"/>
    <x v="0"/>
    <x v="1"/>
  </r>
  <r>
    <n v="20084"/>
    <x v="0"/>
    <x v="1"/>
    <n v="20000"/>
    <s v="Low Income"/>
    <x v="4"/>
    <x v="2"/>
    <x v="3"/>
    <s v="No"/>
    <n v="2"/>
    <x v="0"/>
    <x v="2"/>
    <n v="53"/>
    <x v="0"/>
    <x v="0"/>
  </r>
  <r>
    <n v="16144"/>
    <x v="0"/>
    <x v="1"/>
    <n v="70000"/>
    <s v="Medium Income"/>
    <x v="0"/>
    <x v="4"/>
    <x v="2"/>
    <s v="Yes"/>
    <n v="1"/>
    <x v="0"/>
    <x v="2"/>
    <n v="46"/>
    <x v="0"/>
    <x v="1"/>
  </r>
  <r>
    <n v="27731"/>
    <x v="0"/>
    <x v="1"/>
    <n v="40000"/>
    <s v="Low Income"/>
    <x v="3"/>
    <x v="2"/>
    <x v="0"/>
    <s v="Yes"/>
    <n v="2"/>
    <x v="2"/>
    <x v="2"/>
    <n v="27"/>
    <x v="3"/>
    <x v="0"/>
  </r>
  <r>
    <n v="11886"/>
    <x v="0"/>
    <x v="0"/>
    <n v="60000"/>
    <s v="Low Income"/>
    <x v="1"/>
    <x v="0"/>
    <x v="2"/>
    <s v="Yes"/>
    <n v="1"/>
    <x v="0"/>
    <x v="2"/>
    <n v="48"/>
    <x v="0"/>
    <x v="1"/>
  </r>
  <r>
    <n v="24324"/>
    <x v="1"/>
    <x v="0"/>
    <n v="60000"/>
    <s v="Low Income"/>
    <x v="5"/>
    <x v="0"/>
    <x v="0"/>
    <s v="Yes"/>
    <n v="2"/>
    <x v="1"/>
    <x v="2"/>
    <n v="41"/>
    <x v="0"/>
    <x v="1"/>
  </r>
  <r>
    <n v="22220"/>
    <x v="0"/>
    <x v="1"/>
    <n v="60000"/>
    <s v="Low Income"/>
    <x v="4"/>
    <x v="2"/>
    <x v="2"/>
    <s v="No"/>
    <n v="2"/>
    <x v="3"/>
    <x v="2"/>
    <n v="49"/>
    <x v="0"/>
    <x v="1"/>
  </r>
  <r>
    <n v="26625"/>
    <x v="1"/>
    <x v="0"/>
    <n v="60000"/>
    <s v="Low Income"/>
    <x v="3"/>
    <x v="4"/>
    <x v="2"/>
    <s v="Yes"/>
    <n v="1"/>
    <x v="1"/>
    <x v="2"/>
    <n v="38"/>
    <x v="2"/>
    <x v="1"/>
  </r>
  <r>
    <n v="23027"/>
    <x v="1"/>
    <x v="1"/>
    <n v="130000"/>
    <s v="High Income"/>
    <x v="0"/>
    <x v="0"/>
    <x v="4"/>
    <s v="No"/>
    <n v="4"/>
    <x v="0"/>
    <x v="2"/>
    <n v="44"/>
    <x v="0"/>
    <x v="0"/>
  </r>
  <r>
    <n v="16867"/>
    <x v="1"/>
    <x v="0"/>
    <n v="130000"/>
    <s v="High Income"/>
    <x v="0"/>
    <x v="0"/>
    <x v="4"/>
    <s v="No"/>
    <n v="3"/>
    <x v="0"/>
    <x v="2"/>
    <n v="45"/>
    <x v="0"/>
    <x v="1"/>
  </r>
  <r>
    <n v="14514"/>
    <x v="1"/>
    <x v="0"/>
    <n v="30000"/>
    <s v="Low Income"/>
    <x v="3"/>
    <x v="1"/>
    <x v="0"/>
    <s v="Yes"/>
    <n v="1"/>
    <x v="2"/>
    <x v="2"/>
    <n v="26"/>
    <x v="3"/>
    <x v="0"/>
  </r>
  <r>
    <n v="19634"/>
    <x v="0"/>
    <x v="1"/>
    <n v="40000"/>
    <s v="Low Income"/>
    <x v="3"/>
    <x v="2"/>
    <x v="0"/>
    <s v="Yes"/>
    <n v="1"/>
    <x v="2"/>
    <x v="2"/>
    <n v="31"/>
    <x v="2"/>
    <x v="0"/>
  </r>
  <r>
    <n v="18504"/>
    <x v="0"/>
    <x v="1"/>
    <n v="70000"/>
    <s v="Medium Income"/>
    <x v="4"/>
    <x v="3"/>
    <x v="0"/>
    <s v="No"/>
    <n v="2"/>
    <x v="3"/>
    <x v="2"/>
    <n v="49"/>
    <x v="0"/>
    <x v="0"/>
  </r>
  <r>
    <n v="28799"/>
    <x v="1"/>
    <x v="0"/>
    <n v="40000"/>
    <s v="Low Income"/>
    <x v="4"/>
    <x v="1"/>
    <x v="1"/>
    <s v="No"/>
    <n v="1"/>
    <x v="3"/>
    <x v="2"/>
    <n v="47"/>
    <x v="0"/>
    <x v="1"/>
  </r>
  <r>
    <n v="11225"/>
    <x v="0"/>
    <x v="0"/>
    <n v="60000"/>
    <s v="Low Income"/>
    <x v="4"/>
    <x v="1"/>
    <x v="2"/>
    <s v="Yes"/>
    <n v="1"/>
    <x v="4"/>
    <x v="2"/>
    <n v="55"/>
    <x v="0"/>
    <x v="0"/>
  </r>
  <r>
    <n v="17657"/>
    <x v="0"/>
    <x v="1"/>
    <n v="40000"/>
    <s v="Low Income"/>
    <x v="5"/>
    <x v="1"/>
    <x v="1"/>
    <s v="No"/>
    <n v="0"/>
    <x v="0"/>
    <x v="2"/>
    <n v="30"/>
    <x v="2"/>
    <x v="0"/>
  </r>
  <r>
    <n v="14913"/>
    <x v="0"/>
    <x v="0"/>
    <n v="40000"/>
    <s v="Low Income"/>
    <x v="0"/>
    <x v="1"/>
    <x v="1"/>
    <s v="Yes"/>
    <n v="1"/>
    <x v="3"/>
    <x v="2"/>
    <n v="48"/>
    <x v="0"/>
    <x v="1"/>
  </r>
  <r>
    <n v="14077"/>
    <x v="1"/>
    <x v="1"/>
    <n v="30000"/>
    <s v="Low Income"/>
    <x v="3"/>
    <x v="2"/>
    <x v="0"/>
    <s v="Yes"/>
    <n v="2"/>
    <x v="2"/>
    <x v="2"/>
    <n v="30"/>
    <x v="2"/>
    <x v="0"/>
  </r>
  <r>
    <n v="13296"/>
    <x v="0"/>
    <x v="1"/>
    <n v="110000"/>
    <s v="Medium Income"/>
    <x v="0"/>
    <x v="0"/>
    <x v="4"/>
    <s v="Yes"/>
    <n v="3"/>
    <x v="2"/>
    <x v="2"/>
    <n v="45"/>
    <x v="0"/>
    <x v="0"/>
  </r>
  <r>
    <n v="20535"/>
    <x v="0"/>
    <x v="0"/>
    <n v="70000"/>
    <s v="Medium Income"/>
    <x v="5"/>
    <x v="1"/>
    <x v="2"/>
    <s v="Yes"/>
    <n v="1"/>
    <x v="4"/>
    <x v="2"/>
    <n v="56"/>
    <x v="0"/>
    <x v="0"/>
  </r>
  <r>
    <n v="12452"/>
    <x v="0"/>
    <x v="1"/>
    <n v="60000"/>
    <s v="Low Income"/>
    <x v="5"/>
    <x v="4"/>
    <x v="0"/>
    <s v="Yes"/>
    <n v="0"/>
    <x v="3"/>
    <x v="2"/>
    <n v="47"/>
    <x v="0"/>
    <x v="1"/>
  </r>
  <r>
    <n v="28043"/>
    <x v="0"/>
    <x v="0"/>
    <n v="60000"/>
    <s v="Low Income"/>
    <x v="4"/>
    <x v="0"/>
    <x v="4"/>
    <s v="Yes"/>
    <n v="0"/>
    <x v="4"/>
    <x v="2"/>
    <n v="56"/>
    <x v="0"/>
    <x v="0"/>
  </r>
  <r>
    <n v="12957"/>
    <x v="1"/>
    <x v="0"/>
    <n v="70000"/>
    <s v="Medium Income"/>
    <x v="0"/>
    <x v="0"/>
    <x v="2"/>
    <s v="No"/>
    <n v="1"/>
    <x v="0"/>
    <x v="2"/>
    <n v="44"/>
    <x v="0"/>
    <x v="0"/>
  </r>
  <r>
    <n v="15412"/>
    <x v="0"/>
    <x v="1"/>
    <n v="130000"/>
    <s v="High Income"/>
    <x v="4"/>
    <x v="4"/>
    <x v="4"/>
    <s v="Yes"/>
    <n v="3"/>
    <x v="1"/>
    <x v="2"/>
    <n v="69"/>
    <x v="1"/>
    <x v="0"/>
  </r>
  <r>
    <n v="20514"/>
    <x v="0"/>
    <x v="0"/>
    <n v="70000"/>
    <s v="Medium Income"/>
    <x v="4"/>
    <x v="1"/>
    <x v="2"/>
    <s v="Yes"/>
    <n v="1"/>
    <x v="1"/>
    <x v="2"/>
    <n v="59"/>
    <x v="0"/>
    <x v="0"/>
  </r>
  <r>
    <n v="20758"/>
    <x v="0"/>
    <x v="1"/>
    <n v="30000"/>
    <s v="Low Income"/>
    <x v="4"/>
    <x v="2"/>
    <x v="0"/>
    <s v="Yes"/>
    <n v="2"/>
    <x v="3"/>
    <x v="2"/>
    <n v="50"/>
    <x v="0"/>
    <x v="0"/>
  </r>
  <r>
    <n v="11801"/>
    <x v="0"/>
    <x v="1"/>
    <n v="60000"/>
    <s v="Low Income"/>
    <x v="0"/>
    <x v="4"/>
    <x v="2"/>
    <s v="Yes"/>
    <n v="0"/>
    <x v="1"/>
    <x v="2"/>
    <n v="36"/>
    <x v="2"/>
    <x v="0"/>
  </r>
  <r>
    <n v="22211"/>
    <x v="0"/>
    <x v="1"/>
    <n v="60000"/>
    <s v="Low Income"/>
    <x v="3"/>
    <x v="1"/>
    <x v="2"/>
    <s v="Yes"/>
    <n v="2"/>
    <x v="2"/>
    <x v="2"/>
    <n v="32"/>
    <x v="2"/>
    <x v="0"/>
  </r>
  <r>
    <n v="28087"/>
    <x v="1"/>
    <x v="0"/>
    <n v="40000"/>
    <s v="Low Income"/>
    <x v="3"/>
    <x v="1"/>
    <x v="0"/>
    <s v="No"/>
    <n v="1"/>
    <x v="3"/>
    <x v="2"/>
    <n v="27"/>
    <x v="3"/>
    <x v="0"/>
  </r>
  <r>
    <n v="23668"/>
    <x v="0"/>
    <x v="0"/>
    <n v="40000"/>
    <s v="Low Income"/>
    <x v="5"/>
    <x v="2"/>
    <x v="2"/>
    <s v="Yes"/>
    <n v="2"/>
    <x v="2"/>
    <x v="2"/>
    <n v="59"/>
    <x v="0"/>
    <x v="1"/>
  </r>
  <r>
    <n v="27441"/>
    <x v="0"/>
    <x v="1"/>
    <n v="60000"/>
    <s v="Low Income"/>
    <x v="1"/>
    <x v="2"/>
    <x v="2"/>
    <s v="No"/>
    <n v="2"/>
    <x v="1"/>
    <x v="2"/>
    <n v="53"/>
    <x v="0"/>
    <x v="0"/>
  </r>
  <r>
    <n v="27261"/>
    <x v="0"/>
    <x v="1"/>
    <n v="40000"/>
    <s v="Low Income"/>
    <x v="0"/>
    <x v="0"/>
    <x v="0"/>
    <s v="No"/>
    <n v="1"/>
    <x v="0"/>
    <x v="2"/>
    <n v="36"/>
    <x v="2"/>
    <x v="1"/>
  </r>
  <r>
    <n v="18649"/>
    <x v="1"/>
    <x v="1"/>
    <n v="30000"/>
    <s v="Low Income"/>
    <x v="0"/>
    <x v="2"/>
    <x v="1"/>
    <s v="Yes"/>
    <n v="2"/>
    <x v="3"/>
    <x v="2"/>
    <n v="51"/>
    <x v="0"/>
    <x v="1"/>
  </r>
  <r>
    <n v="21714"/>
    <x v="1"/>
    <x v="0"/>
    <n v="80000"/>
    <s v="Medium Income"/>
    <x v="2"/>
    <x v="4"/>
    <x v="0"/>
    <s v="No"/>
    <n v="0"/>
    <x v="0"/>
    <x v="2"/>
    <n v="47"/>
    <x v="0"/>
    <x v="0"/>
  </r>
  <r>
    <n v="23217"/>
    <x v="1"/>
    <x v="0"/>
    <n v="60000"/>
    <s v="Low Income"/>
    <x v="1"/>
    <x v="4"/>
    <x v="2"/>
    <s v="Yes"/>
    <n v="0"/>
    <x v="1"/>
    <x v="2"/>
    <n v="43"/>
    <x v="0"/>
    <x v="1"/>
  </r>
  <r>
    <n v="23797"/>
    <x v="1"/>
    <x v="1"/>
    <n v="20000"/>
    <s v="Low Income"/>
    <x v="1"/>
    <x v="3"/>
    <x v="1"/>
    <s v="No"/>
    <n v="2"/>
    <x v="0"/>
    <x v="2"/>
    <n v="50"/>
    <x v="0"/>
    <x v="0"/>
  </r>
  <r>
    <n v="13216"/>
    <x v="0"/>
    <x v="0"/>
    <n v="60000"/>
    <s v="Low Income"/>
    <x v="2"/>
    <x v="0"/>
    <x v="4"/>
    <s v="Yes"/>
    <n v="3"/>
    <x v="4"/>
    <x v="2"/>
    <n v="59"/>
    <x v="0"/>
    <x v="0"/>
  </r>
  <r>
    <n v="20657"/>
    <x v="1"/>
    <x v="1"/>
    <n v="50000"/>
    <s v="Low Income"/>
    <x v="4"/>
    <x v="0"/>
    <x v="0"/>
    <s v="Yes"/>
    <n v="0"/>
    <x v="1"/>
    <x v="2"/>
    <n v="37"/>
    <x v="2"/>
    <x v="1"/>
  </r>
  <r>
    <n v="12882"/>
    <x v="0"/>
    <x v="1"/>
    <n v="50000"/>
    <s v="Low Income"/>
    <x v="0"/>
    <x v="4"/>
    <x v="0"/>
    <s v="Yes"/>
    <n v="0"/>
    <x v="0"/>
    <x v="2"/>
    <n v="33"/>
    <x v="2"/>
    <x v="1"/>
  </r>
  <r>
    <n v="25908"/>
    <x v="0"/>
    <x v="0"/>
    <n v="60000"/>
    <s v="Low Income"/>
    <x v="3"/>
    <x v="1"/>
    <x v="0"/>
    <s v="No"/>
    <n v="1"/>
    <x v="3"/>
    <x v="2"/>
    <n v="27"/>
    <x v="3"/>
    <x v="0"/>
  </r>
  <r>
    <n v="16753"/>
    <x v="1"/>
    <x v="0"/>
    <n v="70000"/>
    <s v="Medium Income"/>
    <x v="3"/>
    <x v="1"/>
    <x v="0"/>
    <s v="Yes"/>
    <n v="2"/>
    <x v="2"/>
    <x v="2"/>
    <n v="34"/>
    <x v="2"/>
    <x v="1"/>
  </r>
  <r>
    <n v="14608"/>
    <x v="0"/>
    <x v="1"/>
    <n v="50000"/>
    <s v="Low Income"/>
    <x v="5"/>
    <x v="0"/>
    <x v="0"/>
    <s v="Yes"/>
    <n v="3"/>
    <x v="4"/>
    <x v="2"/>
    <n v="42"/>
    <x v="0"/>
    <x v="0"/>
  </r>
  <r>
    <n v="24979"/>
    <x v="0"/>
    <x v="0"/>
    <n v="60000"/>
    <s v="Low Income"/>
    <x v="4"/>
    <x v="1"/>
    <x v="2"/>
    <s v="Yes"/>
    <n v="2"/>
    <x v="1"/>
    <x v="2"/>
    <n v="57"/>
    <x v="0"/>
    <x v="1"/>
  </r>
  <r>
    <n v="13313"/>
    <x v="0"/>
    <x v="0"/>
    <n v="120000"/>
    <s v="Medium Income"/>
    <x v="0"/>
    <x v="2"/>
    <x v="2"/>
    <s v="No"/>
    <n v="4"/>
    <x v="1"/>
    <x v="2"/>
    <n v="45"/>
    <x v="0"/>
    <x v="0"/>
  </r>
  <r>
    <n v="18952"/>
    <x v="0"/>
    <x v="0"/>
    <n v="100000"/>
    <s v="Medium Income"/>
    <x v="5"/>
    <x v="0"/>
    <x v="4"/>
    <s v="Yes"/>
    <n v="4"/>
    <x v="0"/>
    <x v="2"/>
    <n v="40"/>
    <x v="0"/>
    <x v="0"/>
  </r>
  <r>
    <n v="17699"/>
    <x v="0"/>
    <x v="1"/>
    <n v="60000"/>
    <s v="Low Income"/>
    <x v="0"/>
    <x v="4"/>
    <x v="0"/>
    <s v="No"/>
    <n v="0"/>
    <x v="0"/>
    <x v="2"/>
    <n v="55"/>
    <x v="0"/>
    <x v="0"/>
  </r>
  <r>
    <n v="14657"/>
    <x v="0"/>
    <x v="1"/>
    <n v="80000"/>
    <s v="Medium Income"/>
    <x v="0"/>
    <x v="1"/>
    <x v="0"/>
    <s v="No"/>
    <n v="1"/>
    <x v="0"/>
    <x v="2"/>
    <n v="47"/>
    <x v="0"/>
    <x v="1"/>
  </r>
  <r>
    <n v="11540"/>
    <x v="1"/>
    <x v="1"/>
    <n v="60000"/>
    <s v="Low Income"/>
    <x v="5"/>
    <x v="4"/>
    <x v="0"/>
    <s v="Yes"/>
    <n v="0"/>
    <x v="3"/>
    <x v="2"/>
    <n v="47"/>
    <x v="0"/>
    <x v="1"/>
  </r>
  <r>
    <n v="11783"/>
    <x v="0"/>
    <x v="0"/>
    <n v="60000"/>
    <s v="Low Income"/>
    <x v="0"/>
    <x v="4"/>
    <x v="0"/>
    <s v="Yes"/>
    <n v="0"/>
    <x v="0"/>
    <x v="2"/>
    <n v="34"/>
    <x v="2"/>
    <x v="0"/>
  </r>
  <r>
    <n v="14602"/>
    <x v="0"/>
    <x v="0"/>
    <n v="80000"/>
    <s v="Medium Income"/>
    <x v="1"/>
    <x v="4"/>
    <x v="2"/>
    <s v="Yes"/>
    <n v="0"/>
    <x v="0"/>
    <x v="2"/>
    <n v="36"/>
    <x v="2"/>
    <x v="1"/>
  </r>
  <r>
    <n v="29030"/>
    <x v="0"/>
    <x v="1"/>
    <n v="70000"/>
    <s v="Medium Income"/>
    <x v="4"/>
    <x v="3"/>
    <x v="0"/>
    <s v="Yes"/>
    <n v="2"/>
    <x v="4"/>
    <x v="2"/>
    <n v="54"/>
    <x v="0"/>
    <x v="0"/>
  </r>
  <r>
    <n v="26490"/>
    <x v="1"/>
    <x v="1"/>
    <n v="70000"/>
    <s v="Medium Income"/>
    <x v="4"/>
    <x v="0"/>
    <x v="4"/>
    <s v="No"/>
    <n v="1"/>
    <x v="1"/>
    <x v="2"/>
    <n v="59"/>
    <x v="0"/>
    <x v="1"/>
  </r>
  <r>
    <n v="13151"/>
    <x v="1"/>
    <x v="1"/>
    <n v="40000"/>
    <s v="Low Income"/>
    <x v="3"/>
    <x v="2"/>
    <x v="0"/>
    <s v="Yes"/>
    <n v="2"/>
    <x v="2"/>
    <x v="2"/>
    <n v="27"/>
    <x v="3"/>
    <x v="0"/>
  </r>
  <r>
    <n v="17260"/>
    <x v="0"/>
    <x v="1"/>
    <n v="90000"/>
    <s v="Medium Income"/>
    <x v="2"/>
    <x v="1"/>
    <x v="2"/>
    <s v="Yes"/>
    <n v="3"/>
    <x v="0"/>
    <x v="2"/>
    <n v="41"/>
    <x v="0"/>
    <x v="0"/>
  </r>
  <r>
    <n v="15372"/>
    <x v="0"/>
    <x v="1"/>
    <n v="80000"/>
    <s v="Medium Income"/>
    <x v="1"/>
    <x v="1"/>
    <x v="2"/>
    <s v="No"/>
    <n v="2"/>
    <x v="1"/>
    <x v="2"/>
    <n v="50"/>
    <x v="0"/>
    <x v="1"/>
  </r>
  <r>
    <n v="18105"/>
    <x v="0"/>
    <x v="0"/>
    <n v="60000"/>
    <s v="Low Income"/>
    <x v="4"/>
    <x v="1"/>
    <x v="2"/>
    <s v="Yes"/>
    <n v="1"/>
    <x v="4"/>
    <x v="2"/>
    <n v="55"/>
    <x v="0"/>
    <x v="0"/>
  </r>
  <r>
    <n v="19660"/>
    <x v="0"/>
    <x v="1"/>
    <n v="80000"/>
    <s v="Medium Income"/>
    <x v="5"/>
    <x v="0"/>
    <x v="4"/>
    <s v="Yes"/>
    <n v="0"/>
    <x v="0"/>
    <x v="2"/>
    <n v="43"/>
    <x v="0"/>
    <x v="0"/>
  </r>
  <r>
    <n v="16112"/>
    <x v="1"/>
    <x v="1"/>
    <n v="70000"/>
    <s v="Medium Income"/>
    <x v="5"/>
    <x v="0"/>
    <x v="2"/>
    <s v="Yes"/>
    <n v="2"/>
    <x v="1"/>
    <x v="2"/>
    <n v="43"/>
    <x v="0"/>
    <x v="1"/>
  </r>
  <r>
    <n v="20698"/>
    <x v="0"/>
    <x v="1"/>
    <n v="60000"/>
    <s v="Low Income"/>
    <x v="5"/>
    <x v="0"/>
    <x v="0"/>
    <s v="Yes"/>
    <n v="3"/>
    <x v="2"/>
    <x v="2"/>
    <n v="42"/>
    <x v="0"/>
    <x v="0"/>
  </r>
  <r>
    <n v="20076"/>
    <x v="1"/>
    <x v="0"/>
    <n v="10000"/>
    <s v="Low Income"/>
    <x v="4"/>
    <x v="2"/>
    <x v="3"/>
    <s v="Yes"/>
    <n v="2"/>
    <x v="3"/>
    <x v="2"/>
    <n v="53"/>
    <x v="0"/>
    <x v="1"/>
  </r>
  <r>
    <n v="24496"/>
    <x v="1"/>
    <x v="0"/>
    <n v="40000"/>
    <s v="Low Income"/>
    <x v="3"/>
    <x v="2"/>
    <x v="0"/>
    <s v="No"/>
    <n v="2"/>
    <x v="0"/>
    <x v="2"/>
    <n v="28"/>
    <x v="3"/>
    <x v="1"/>
  </r>
  <r>
    <n v="15468"/>
    <x v="0"/>
    <x v="0"/>
    <n v="50000"/>
    <s v="Low Income"/>
    <x v="0"/>
    <x v="0"/>
    <x v="0"/>
    <s v="Yes"/>
    <n v="1"/>
    <x v="0"/>
    <x v="2"/>
    <n v="35"/>
    <x v="2"/>
    <x v="0"/>
  </r>
  <r>
    <n v="28031"/>
    <x v="1"/>
    <x v="0"/>
    <n v="70000"/>
    <s v="Medium Income"/>
    <x v="4"/>
    <x v="0"/>
    <x v="4"/>
    <s v="No"/>
    <n v="1"/>
    <x v="1"/>
    <x v="2"/>
    <n v="59"/>
    <x v="0"/>
    <x v="1"/>
  </r>
  <r>
    <n v="26270"/>
    <x v="1"/>
    <x v="0"/>
    <n v="20000"/>
    <s v="Low Income"/>
    <x v="4"/>
    <x v="3"/>
    <x v="1"/>
    <s v="Yes"/>
    <n v="2"/>
    <x v="3"/>
    <x v="2"/>
    <n v="49"/>
    <x v="0"/>
    <x v="0"/>
  </r>
  <r>
    <n v="22221"/>
    <x v="0"/>
    <x v="1"/>
    <n v="60000"/>
    <s v="Low Income"/>
    <x v="4"/>
    <x v="2"/>
    <x v="2"/>
    <s v="No"/>
    <n v="2"/>
    <x v="3"/>
    <x v="2"/>
    <n v="48"/>
    <x v="0"/>
    <x v="1"/>
  </r>
  <r>
    <n v="28228"/>
    <x v="1"/>
    <x v="0"/>
    <n v="80000"/>
    <s v="Medium Income"/>
    <x v="4"/>
    <x v="3"/>
    <x v="0"/>
    <s v="No"/>
    <n v="2"/>
    <x v="3"/>
    <x v="2"/>
    <n v="50"/>
    <x v="0"/>
    <x v="0"/>
  </r>
  <r>
    <n v="18363"/>
    <x v="0"/>
    <x v="1"/>
    <n v="40000"/>
    <s v="Low Income"/>
    <x v="3"/>
    <x v="2"/>
    <x v="0"/>
    <s v="Yes"/>
    <n v="2"/>
    <x v="2"/>
    <x v="2"/>
    <n v="28"/>
    <x v="3"/>
    <x v="1"/>
  </r>
  <r>
    <n v="23256"/>
    <x v="1"/>
    <x v="1"/>
    <n v="30000"/>
    <s v="Low Income"/>
    <x v="0"/>
    <x v="2"/>
    <x v="1"/>
    <s v="No"/>
    <n v="1"/>
    <x v="2"/>
    <x v="2"/>
    <n v="52"/>
    <x v="0"/>
    <x v="0"/>
  </r>
  <r>
    <n v="12768"/>
    <x v="0"/>
    <x v="1"/>
    <n v="30000"/>
    <s v="Low Income"/>
    <x v="0"/>
    <x v="2"/>
    <x v="1"/>
    <s v="Yes"/>
    <n v="1"/>
    <x v="1"/>
    <x v="2"/>
    <n v="52"/>
    <x v="0"/>
    <x v="1"/>
  </r>
  <r>
    <n v="20361"/>
    <x v="0"/>
    <x v="1"/>
    <n v="50000"/>
    <s v="Low Income"/>
    <x v="4"/>
    <x v="4"/>
    <x v="4"/>
    <s v="Yes"/>
    <n v="2"/>
    <x v="2"/>
    <x v="2"/>
    <n v="69"/>
    <x v="1"/>
    <x v="0"/>
  </r>
  <r>
    <n v="21306"/>
    <x v="1"/>
    <x v="1"/>
    <n v="60000"/>
    <s v="Low Income"/>
    <x v="4"/>
    <x v="2"/>
    <x v="2"/>
    <s v="Yes"/>
    <n v="2"/>
    <x v="2"/>
    <x v="2"/>
    <n v="51"/>
    <x v="0"/>
    <x v="0"/>
  </r>
  <r>
    <n v="13382"/>
    <x v="0"/>
    <x v="1"/>
    <n v="70000"/>
    <s v="Medium Income"/>
    <x v="2"/>
    <x v="1"/>
    <x v="2"/>
    <s v="Yes"/>
    <n v="2"/>
    <x v="3"/>
    <x v="2"/>
    <n v="57"/>
    <x v="0"/>
    <x v="1"/>
  </r>
  <r>
    <n v="20310"/>
    <x v="1"/>
    <x v="1"/>
    <n v="60000"/>
    <s v="Low Income"/>
    <x v="3"/>
    <x v="1"/>
    <x v="0"/>
    <s v="Yes"/>
    <n v="1"/>
    <x v="2"/>
    <x v="2"/>
    <n v="27"/>
    <x v="3"/>
    <x v="1"/>
  </r>
  <r>
    <n v="22971"/>
    <x v="1"/>
    <x v="0"/>
    <n v="30000"/>
    <s v="Low Income"/>
    <x v="3"/>
    <x v="2"/>
    <x v="0"/>
    <s v="No"/>
    <n v="2"/>
    <x v="0"/>
    <x v="2"/>
    <n v="25"/>
    <x v="3"/>
    <x v="1"/>
  </r>
  <r>
    <n v="15287"/>
    <x v="1"/>
    <x v="0"/>
    <n v="50000"/>
    <s v="Low Income"/>
    <x v="0"/>
    <x v="4"/>
    <x v="0"/>
    <s v="Yes"/>
    <n v="0"/>
    <x v="3"/>
    <x v="2"/>
    <n v="33"/>
    <x v="2"/>
    <x v="1"/>
  </r>
  <r>
    <n v="15532"/>
    <x v="1"/>
    <x v="1"/>
    <n v="60000"/>
    <s v="Low Income"/>
    <x v="5"/>
    <x v="0"/>
    <x v="2"/>
    <s v="Yes"/>
    <n v="2"/>
    <x v="1"/>
    <x v="2"/>
    <n v="43"/>
    <x v="0"/>
    <x v="1"/>
  </r>
  <r>
    <n v="11255"/>
    <x v="0"/>
    <x v="1"/>
    <n v="70000"/>
    <s v="Medium Income"/>
    <x v="5"/>
    <x v="4"/>
    <x v="4"/>
    <s v="Yes"/>
    <n v="2"/>
    <x v="2"/>
    <x v="2"/>
    <n v="73"/>
    <x v="1"/>
    <x v="0"/>
  </r>
  <r>
    <n v="28090"/>
    <x v="0"/>
    <x v="1"/>
    <n v="40000"/>
    <s v="Low Income"/>
    <x v="3"/>
    <x v="1"/>
    <x v="0"/>
    <s v="Yes"/>
    <n v="1"/>
    <x v="2"/>
    <x v="2"/>
    <n v="27"/>
    <x v="3"/>
    <x v="0"/>
  </r>
  <r>
    <n v="15255"/>
    <x v="0"/>
    <x v="1"/>
    <n v="40000"/>
    <s v="Low Income"/>
    <x v="3"/>
    <x v="2"/>
    <x v="0"/>
    <s v="Yes"/>
    <n v="2"/>
    <x v="2"/>
    <x v="2"/>
    <n v="28"/>
    <x v="3"/>
    <x v="1"/>
  </r>
  <r>
    <n v="13154"/>
    <x v="0"/>
    <x v="1"/>
    <n v="40000"/>
    <s v="Low Income"/>
    <x v="3"/>
    <x v="2"/>
    <x v="0"/>
    <s v="No"/>
    <n v="2"/>
    <x v="0"/>
    <x v="2"/>
    <n v="27"/>
    <x v="3"/>
    <x v="1"/>
  </r>
  <r>
    <n v="26778"/>
    <x v="1"/>
    <x v="0"/>
    <n v="40000"/>
    <s v="Low Income"/>
    <x v="3"/>
    <x v="2"/>
    <x v="0"/>
    <s v="Yes"/>
    <n v="2"/>
    <x v="2"/>
    <x v="2"/>
    <n v="31"/>
    <x v="2"/>
    <x v="0"/>
  </r>
  <r>
    <n v="23248"/>
    <x v="0"/>
    <x v="0"/>
    <n v="10000"/>
    <s v="Low Income"/>
    <x v="4"/>
    <x v="2"/>
    <x v="3"/>
    <s v="Yes"/>
    <n v="2"/>
    <x v="3"/>
    <x v="2"/>
    <n v="53"/>
    <x v="0"/>
    <x v="0"/>
  </r>
  <r>
    <n v="21417"/>
    <x v="1"/>
    <x v="0"/>
    <n v="60000"/>
    <s v="Low Income"/>
    <x v="3"/>
    <x v="1"/>
    <x v="2"/>
    <s v="No"/>
    <n v="2"/>
    <x v="3"/>
    <x v="2"/>
    <n v="32"/>
    <x v="2"/>
    <x v="1"/>
  </r>
  <r>
    <n v="17668"/>
    <x v="1"/>
    <x v="1"/>
    <n v="30000"/>
    <s v="Low Income"/>
    <x v="4"/>
    <x v="2"/>
    <x v="0"/>
    <s v="Yes"/>
    <n v="2"/>
    <x v="3"/>
    <x v="2"/>
    <n v="50"/>
    <x v="0"/>
    <x v="1"/>
  </r>
  <r>
    <n v="27994"/>
    <x v="0"/>
    <x v="0"/>
    <n v="40000"/>
    <s v="Low Income"/>
    <x v="5"/>
    <x v="2"/>
    <x v="2"/>
    <s v="Yes"/>
    <n v="2"/>
    <x v="2"/>
    <x v="2"/>
    <n v="69"/>
    <x v="1"/>
    <x v="0"/>
  </r>
  <r>
    <n v="20376"/>
    <x v="1"/>
    <x v="0"/>
    <n v="70000"/>
    <s v="Medium Income"/>
    <x v="1"/>
    <x v="4"/>
    <x v="4"/>
    <s v="Yes"/>
    <n v="2"/>
    <x v="2"/>
    <x v="2"/>
    <n v="52"/>
    <x v="0"/>
    <x v="1"/>
  </r>
  <r>
    <n v="25954"/>
    <x v="0"/>
    <x v="1"/>
    <n v="60000"/>
    <s v="Low Income"/>
    <x v="3"/>
    <x v="1"/>
    <x v="0"/>
    <s v="No"/>
    <n v="2"/>
    <x v="3"/>
    <x v="2"/>
    <n v="31"/>
    <x v="2"/>
    <x v="0"/>
  </r>
  <r>
    <n v="15749"/>
    <x v="1"/>
    <x v="0"/>
    <n v="70000"/>
    <s v="Medium Income"/>
    <x v="5"/>
    <x v="0"/>
    <x v="4"/>
    <s v="Yes"/>
    <n v="2"/>
    <x v="4"/>
    <x v="2"/>
    <n v="61"/>
    <x v="1"/>
    <x v="0"/>
  </r>
  <r>
    <n v="25899"/>
    <x v="0"/>
    <x v="0"/>
    <n v="70000"/>
    <s v="Medium Income"/>
    <x v="4"/>
    <x v="2"/>
    <x v="2"/>
    <s v="Yes"/>
    <n v="2"/>
    <x v="4"/>
    <x v="2"/>
    <n v="53"/>
    <x v="0"/>
    <x v="0"/>
  </r>
  <r>
    <n v="13351"/>
    <x v="1"/>
    <x v="0"/>
    <n v="70000"/>
    <s v="Medium Income"/>
    <x v="5"/>
    <x v="0"/>
    <x v="4"/>
    <s v="Yes"/>
    <n v="2"/>
    <x v="3"/>
    <x v="2"/>
    <n v="62"/>
    <x v="1"/>
    <x v="1"/>
  </r>
  <r>
    <n v="23333"/>
    <x v="0"/>
    <x v="1"/>
    <n v="40000"/>
    <s v="Low Income"/>
    <x v="3"/>
    <x v="1"/>
    <x v="0"/>
    <s v="No"/>
    <n v="2"/>
    <x v="3"/>
    <x v="2"/>
    <n v="30"/>
    <x v="2"/>
    <x v="0"/>
  </r>
  <r>
    <n v="21660"/>
    <x v="0"/>
    <x v="0"/>
    <n v="60000"/>
    <s v="Low Income"/>
    <x v="1"/>
    <x v="4"/>
    <x v="2"/>
    <s v="Yes"/>
    <n v="0"/>
    <x v="1"/>
    <x v="2"/>
    <n v="43"/>
    <x v="0"/>
    <x v="1"/>
  </r>
  <r>
    <n v="17012"/>
    <x v="0"/>
    <x v="0"/>
    <n v="60000"/>
    <s v="Low Income"/>
    <x v="1"/>
    <x v="4"/>
    <x v="2"/>
    <s v="Yes"/>
    <n v="0"/>
    <x v="1"/>
    <x v="2"/>
    <n v="42"/>
    <x v="0"/>
    <x v="1"/>
  </r>
  <r>
    <n v="24514"/>
    <x v="0"/>
    <x v="1"/>
    <n v="40000"/>
    <s v="Low Income"/>
    <x v="3"/>
    <x v="1"/>
    <x v="0"/>
    <s v="Yes"/>
    <n v="1"/>
    <x v="2"/>
    <x v="2"/>
    <n v="30"/>
    <x v="2"/>
    <x v="0"/>
  </r>
  <r>
    <n v="27505"/>
    <x v="1"/>
    <x v="0"/>
    <n v="40000"/>
    <s v="Low Income"/>
    <x v="3"/>
    <x v="2"/>
    <x v="0"/>
    <s v="Yes"/>
    <n v="2"/>
    <x v="2"/>
    <x v="2"/>
    <n v="30"/>
    <x v="2"/>
    <x v="0"/>
  </r>
  <r>
    <n v="29243"/>
    <x v="1"/>
    <x v="1"/>
    <n v="110000"/>
    <s v="Medium Income"/>
    <x v="0"/>
    <x v="0"/>
    <x v="4"/>
    <s v="Yes"/>
    <n v="1"/>
    <x v="2"/>
    <x v="2"/>
    <n v="43"/>
    <x v="0"/>
    <x v="0"/>
  </r>
  <r>
    <n v="26582"/>
    <x v="0"/>
    <x v="1"/>
    <n v="60000"/>
    <s v="Low Income"/>
    <x v="3"/>
    <x v="1"/>
    <x v="0"/>
    <s v="Yes"/>
    <n v="2"/>
    <x v="2"/>
    <x v="2"/>
    <n v="33"/>
    <x v="2"/>
    <x v="1"/>
  </r>
  <r>
    <n v="14271"/>
    <x v="0"/>
    <x v="1"/>
    <n v="30000"/>
    <s v="Low Income"/>
    <x v="3"/>
    <x v="2"/>
    <x v="0"/>
    <s v="Yes"/>
    <n v="2"/>
    <x v="2"/>
    <x v="2"/>
    <n v="32"/>
    <x v="2"/>
    <x v="0"/>
  </r>
  <r>
    <n v="23041"/>
    <x v="1"/>
    <x v="0"/>
    <n v="70000"/>
    <s v="Medium Income"/>
    <x v="5"/>
    <x v="2"/>
    <x v="2"/>
    <s v="Yes"/>
    <n v="0"/>
    <x v="2"/>
    <x v="2"/>
    <n v="50"/>
    <x v="0"/>
    <x v="1"/>
  </r>
  <r>
    <n v="29048"/>
    <x v="1"/>
    <x v="1"/>
    <n v="110000"/>
    <s v="Medium Income"/>
    <x v="4"/>
    <x v="0"/>
    <x v="4"/>
    <s v="No"/>
    <n v="3"/>
    <x v="0"/>
    <x v="2"/>
    <n v="37"/>
    <x v="2"/>
    <x v="1"/>
  </r>
  <r>
    <n v="24433"/>
    <x v="0"/>
    <x v="1"/>
    <n v="70000"/>
    <s v="Medium Income"/>
    <x v="1"/>
    <x v="2"/>
    <x v="2"/>
    <s v="No"/>
    <n v="1"/>
    <x v="3"/>
    <x v="2"/>
    <n v="52"/>
    <x v="0"/>
    <x v="1"/>
  </r>
  <r>
    <n v="15501"/>
    <x v="0"/>
    <x v="1"/>
    <n v="70000"/>
    <s v="Medium Income"/>
    <x v="5"/>
    <x v="4"/>
    <x v="2"/>
    <s v="Yes"/>
    <n v="0"/>
    <x v="1"/>
    <x v="2"/>
    <n v="36"/>
    <x v="2"/>
    <x v="1"/>
  </r>
  <r>
    <n v="13911"/>
    <x v="1"/>
    <x v="0"/>
    <n v="80000"/>
    <s v="Medium Income"/>
    <x v="1"/>
    <x v="0"/>
    <x v="0"/>
    <s v="Yes"/>
    <n v="2"/>
    <x v="1"/>
    <x v="2"/>
    <n v="41"/>
    <x v="0"/>
    <x v="1"/>
  </r>
  <r>
    <n v="20421"/>
    <x v="1"/>
    <x v="0"/>
    <n v="40000"/>
    <s v="Low Income"/>
    <x v="3"/>
    <x v="3"/>
    <x v="1"/>
    <s v="Yes"/>
    <n v="2"/>
    <x v="2"/>
    <x v="2"/>
    <n v="26"/>
    <x v="3"/>
    <x v="0"/>
  </r>
  <r>
    <n v="16009"/>
    <x v="1"/>
    <x v="1"/>
    <n v="170000"/>
    <s v="High Income"/>
    <x v="0"/>
    <x v="4"/>
    <x v="4"/>
    <s v="No"/>
    <n v="4"/>
    <x v="0"/>
    <x v="2"/>
    <n v="66"/>
    <x v="1"/>
    <x v="0"/>
  </r>
  <r>
    <n v="18411"/>
    <x v="0"/>
    <x v="1"/>
    <n v="60000"/>
    <s v="Low Income"/>
    <x v="4"/>
    <x v="2"/>
    <x v="2"/>
    <s v="No"/>
    <n v="2"/>
    <x v="2"/>
    <x v="2"/>
    <n v="51"/>
    <x v="0"/>
    <x v="0"/>
  </r>
  <r>
    <n v="19163"/>
    <x v="0"/>
    <x v="0"/>
    <n v="70000"/>
    <s v="Medium Income"/>
    <x v="5"/>
    <x v="0"/>
    <x v="2"/>
    <s v="Yes"/>
    <n v="2"/>
    <x v="0"/>
    <x v="2"/>
    <n v="43"/>
    <x v="0"/>
    <x v="1"/>
  </r>
  <r>
    <n v="18572"/>
    <x v="0"/>
    <x v="0"/>
    <n v="60000"/>
    <s v="Low Income"/>
    <x v="3"/>
    <x v="4"/>
    <x v="2"/>
    <s v="Yes"/>
    <n v="0"/>
    <x v="0"/>
    <x v="2"/>
    <n v="39"/>
    <x v="2"/>
    <x v="0"/>
  </r>
  <r>
    <n v="27540"/>
    <x v="1"/>
    <x v="0"/>
    <n v="70000"/>
    <s v="Medium Income"/>
    <x v="3"/>
    <x v="0"/>
    <x v="2"/>
    <s v="No"/>
    <n v="1"/>
    <x v="0"/>
    <x v="2"/>
    <n v="37"/>
    <x v="2"/>
    <x v="1"/>
  </r>
  <r>
    <n v="19889"/>
    <x v="1"/>
    <x v="0"/>
    <n v="70000"/>
    <s v="Medium Income"/>
    <x v="4"/>
    <x v="3"/>
    <x v="0"/>
    <s v="No"/>
    <n v="2"/>
    <x v="1"/>
    <x v="2"/>
    <n v="54"/>
    <x v="0"/>
    <x v="1"/>
  </r>
  <r>
    <n v="12922"/>
    <x v="1"/>
    <x v="0"/>
    <n v="60000"/>
    <s v="Low Income"/>
    <x v="1"/>
    <x v="0"/>
    <x v="0"/>
    <s v="Yes"/>
    <n v="0"/>
    <x v="1"/>
    <x v="2"/>
    <n v="40"/>
    <x v="0"/>
    <x v="1"/>
  </r>
  <r>
    <n v="18891"/>
    <x v="0"/>
    <x v="0"/>
    <n v="40000"/>
    <s v="Low Income"/>
    <x v="3"/>
    <x v="1"/>
    <x v="0"/>
    <s v="Yes"/>
    <n v="2"/>
    <x v="2"/>
    <x v="2"/>
    <n v="28"/>
    <x v="3"/>
    <x v="0"/>
  </r>
  <r>
    <n v="16773"/>
    <x v="0"/>
    <x v="1"/>
    <n v="60000"/>
    <s v="Low Income"/>
    <x v="0"/>
    <x v="4"/>
    <x v="0"/>
    <s v="Yes"/>
    <n v="0"/>
    <x v="0"/>
    <x v="2"/>
    <n v="33"/>
    <x v="2"/>
    <x v="0"/>
  </r>
  <r>
    <n v="19143"/>
    <x v="1"/>
    <x v="0"/>
    <n v="80000"/>
    <s v="Medium Income"/>
    <x v="1"/>
    <x v="0"/>
    <x v="0"/>
    <s v="Yes"/>
    <n v="2"/>
    <x v="1"/>
    <x v="2"/>
    <n v="41"/>
    <x v="0"/>
    <x v="1"/>
  </r>
  <r>
    <n v="23882"/>
    <x v="1"/>
    <x v="0"/>
    <n v="80000"/>
    <s v="Medium Income"/>
    <x v="1"/>
    <x v="4"/>
    <x v="2"/>
    <s v="Yes"/>
    <n v="0"/>
    <x v="0"/>
    <x v="2"/>
    <n v="37"/>
    <x v="2"/>
    <x v="1"/>
  </r>
  <r>
    <n v="11233"/>
    <x v="0"/>
    <x v="1"/>
    <n v="70000"/>
    <s v="Medium Income"/>
    <x v="5"/>
    <x v="1"/>
    <x v="2"/>
    <s v="Yes"/>
    <n v="2"/>
    <x v="4"/>
    <x v="2"/>
    <n v="53"/>
    <x v="0"/>
    <x v="0"/>
  </r>
  <r>
    <n v="12056"/>
    <x v="0"/>
    <x v="1"/>
    <n v="120000"/>
    <s v="Medium Income"/>
    <x v="4"/>
    <x v="4"/>
    <x v="4"/>
    <s v="Yes"/>
    <n v="3"/>
    <x v="2"/>
    <x v="2"/>
    <n v="64"/>
    <x v="1"/>
    <x v="0"/>
  </r>
  <r>
    <n v="15555"/>
    <x v="0"/>
    <x v="0"/>
    <n v="60000"/>
    <s v="Low Income"/>
    <x v="0"/>
    <x v="1"/>
    <x v="0"/>
    <s v="Yes"/>
    <n v="1"/>
    <x v="1"/>
    <x v="2"/>
    <n v="45"/>
    <x v="0"/>
    <x v="1"/>
  </r>
  <r>
    <n v="18423"/>
    <x v="1"/>
    <x v="1"/>
    <n v="80000"/>
    <s v="Medium Income"/>
    <x v="4"/>
    <x v="3"/>
    <x v="0"/>
    <s v="No"/>
    <n v="2"/>
    <x v="3"/>
    <x v="2"/>
    <n v="52"/>
    <x v="0"/>
    <x v="0"/>
  </r>
  <r>
    <n v="22743"/>
    <x v="0"/>
    <x v="0"/>
    <n v="40000"/>
    <s v="Low Income"/>
    <x v="2"/>
    <x v="2"/>
    <x v="2"/>
    <s v="Yes"/>
    <n v="2"/>
    <x v="4"/>
    <x v="2"/>
    <n v="60"/>
    <x v="1"/>
    <x v="0"/>
  </r>
  <r>
    <n v="25343"/>
    <x v="1"/>
    <x v="0"/>
    <n v="20000"/>
    <s v="Low Income"/>
    <x v="1"/>
    <x v="3"/>
    <x v="1"/>
    <s v="Yes"/>
    <n v="2"/>
    <x v="3"/>
    <x v="2"/>
    <n v="50"/>
    <x v="0"/>
    <x v="0"/>
  </r>
  <r>
    <n v="13390"/>
    <x v="0"/>
    <x v="0"/>
    <n v="70000"/>
    <s v="Medium Income"/>
    <x v="5"/>
    <x v="1"/>
    <x v="2"/>
    <s v="No"/>
    <n v="1"/>
    <x v="3"/>
    <x v="2"/>
    <n v="56"/>
    <x v="0"/>
    <x v="0"/>
  </r>
  <r>
    <n v="17482"/>
    <x v="1"/>
    <x v="0"/>
    <n v="40000"/>
    <s v="Low Income"/>
    <x v="3"/>
    <x v="3"/>
    <x v="1"/>
    <s v="Yes"/>
    <n v="2"/>
    <x v="2"/>
    <x v="2"/>
    <n v="29"/>
    <x v="3"/>
    <x v="0"/>
  </r>
  <r>
    <n v="13176"/>
    <x v="1"/>
    <x v="1"/>
    <n v="130000"/>
    <s v="High Income"/>
    <x v="3"/>
    <x v="4"/>
    <x v="4"/>
    <s v="No"/>
    <n v="2"/>
    <x v="0"/>
    <x v="2"/>
    <n v="38"/>
    <x v="2"/>
    <x v="1"/>
  </r>
  <r>
    <n v="20504"/>
    <x v="0"/>
    <x v="0"/>
    <n v="40000"/>
    <s v="Low Income"/>
    <x v="2"/>
    <x v="2"/>
    <x v="2"/>
    <s v="No"/>
    <n v="2"/>
    <x v="1"/>
    <x v="2"/>
    <n v="60"/>
    <x v="1"/>
    <x v="0"/>
  </r>
  <r>
    <n v="12205"/>
    <x v="1"/>
    <x v="0"/>
    <n v="130000"/>
    <s v="High Income"/>
    <x v="4"/>
    <x v="0"/>
    <x v="4"/>
    <s v="No"/>
    <n v="4"/>
    <x v="0"/>
    <x v="2"/>
    <n v="67"/>
    <x v="1"/>
    <x v="0"/>
  </r>
  <r>
    <n v="16751"/>
    <x v="0"/>
    <x v="1"/>
    <n v="60000"/>
    <s v="Low Income"/>
    <x v="3"/>
    <x v="1"/>
    <x v="0"/>
    <s v="Yes"/>
    <n v="1"/>
    <x v="2"/>
    <x v="2"/>
    <n v="32"/>
    <x v="2"/>
    <x v="1"/>
  </r>
  <r>
    <n v="21613"/>
    <x v="1"/>
    <x v="1"/>
    <n v="50000"/>
    <s v="Low Income"/>
    <x v="4"/>
    <x v="0"/>
    <x v="0"/>
    <s v="No"/>
    <n v="1"/>
    <x v="0"/>
    <x v="2"/>
    <n v="39"/>
    <x v="2"/>
    <x v="1"/>
  </r>
  <r>
    <n v="24801"/>
    <x v="1"/>
    <x v="1"/>
    <n v="60000"/>
    <s v="Low Income"/>
    <x v="0"/>
    <x v="4"/>
    <x v="2"/>
    <s v="Yes"/>
    <n v="0"/>
    <x v="1"/>
    <x v="2"/>
    <n v="35"/>
    <x v="2"/>
    <x v="1"/>
  </r>
  <r>
    <n v="17519"/>
    <x v="0"/>
    <x v="0"/>
    <n v="60000"/>
    <s v="Low Income"/>
    <x v="3"/>
    <x v="1"/>
    <x v="2"/>
    <s v="Yes"/>
    <n v="2"/>
    <x v="2"/>
    <x v="2"/>
    <n v="32"/>
    <x v="2"/>
    <x v="0"/>
  </r>
  <r>
    <n v="18347"/>
    <x v="1"/>
    <x v="0"/>
    <n v="30000"/>
    <s v="Low Income"/>
    <x v="3"/>
    <x v="1"/>
    <x v="0"/>
    <s v="No"/>
    <n v="1"/>
    <x v="3"/>
    <x v="2"/>
    <n v="31"/>
    <x v="2"/>
    <x v="0"/>
  </r>
  <r>
    <n v="29052"/>
    <x v="1"/>
    <x v="1"/>
    <n v="40000"/>
    <s v="Low Income"/>
    <x v="3"/>
    <x v="1"/>
    <x v="0"/>
    <s v="Yes"/>
    <n v="1"/>
    <x v="2"/>
    <x v="2"/>
    <n v="27"/>
    <x v="3"/>
    <x v="0"/>
  </r>
  <r>
    <n v="11745"/>
    <x v="0"/>
    <x v="0"/>
    <n v="60000"/>
    <s v="Low Income"/>
    <x v="0"/>
    <x v="0"/>
    <x v="2"/>
    <s v="Yes"/>
    <n v="1"/>
    <x v="0"/>
    <x v="2"/>
    <n v="47"/>
    <x v="0"/>
    <x v="1"/>
  </r>
  <r>
    <n v="19147"/>
    <x v="0"/>
    <x v="1"/>
    <n v="40000"/>
    <s v="Low Income"/>
    <x v="3"/>
    <x v="0"/>
    <x v="2"/>
    <s v="No"/>
    <n v="1"/>
    <x v="0"/>
    <x v="2"/>
    <n v="42"/>
    <x v="0"/>
    <x v="0"/>
  </r>
  <r>
    <n v="19217"/>
    <x v="0"/>
    <x v="1"/>
    <n v="30000"/>
    <s v="Low Income"/>
    <x v="4"/>
    <x v="2"/>
    <x v="0"/>
    <s v="Yes"/>
    <n v="2"/>
    <x v="3"/>
    <x v="2"/>
    <n v="49"/>
    <x v="0"/>
    <x v="0"/>
  </r>
  <r>
    <n v="15839"/>
    <x v="1"/>
    <x v="1"/>
    <n v="30000"/>
    <s v="Low Income"/>
    <x v="3"/>
    <x v="1"/>
    <x v="0"/>
    <s v="Yes"/>
    <n v="1"/>
    <x v="2"/>
    <x v="2"/>
    <n v="32"/>
    <x v="2"/>
    <x v="0"/>
  </r>
  <r>
    <n v="13714"/>
    <x v="0"/>
    <x v="0"/>
    <n v="20000"/>
    <s v="Low Income"/>
    <x v="4"/>
    <x v="2"/>
    <x v="3"/>
    <s v="No"/>
    <n v="2"/>
    <x v="3"/>
    <x v="2"/>
    <n v="53"/>
    <x v="0"/>
    <x v="1"/>
  </r>
  <r>
    <n v="22330"/>
    <x v="0"/>
    <x v="1"/>
    <n v="50000"/>
    <s v="Low Income"/>
    <x v="3"/>
    <x v="4"/>
    <x v="0"/>
    <s v="Yes"/>
    <n v="0"/>
    <x v="3"/>
    <x v="2"/>
    <n v="32"/>
    <x v="2"/>
    <x v="1"/>
  </r>
  <r>
    <n v="18783"/>
    <x v="1"/>
    <x v="1"/>
    <n v="80000"/>
    <s v="Medium Income"/>
    <x v="3"/>
    <x v="0"/>
    <x v="4"/>
    <s v="No"/>
    <n v="1"/>
    <x v="0"/>
    <x v="2"/>
    <n v="38"/>
    <x v="2"/>
    <x v="1"/>
  </r>
  <r>
    <n v="25041"/>
    <x v="1"/>
    <x v="1"/>
    <n v="40000"/>
    <s v="Low Income"/>
    <x v="3"/>
    <x v="2"/>
    <x v="0"/>
    <s v="Yes"/>
    <n v="2"/>
    <x v="2"/>
    <x v="2"/>
    <n v="31"/>
    <x v="2"/>
    <x v="0"/>
  </r>
  <r>
    <n v="22046"/>
    <x v="1"/>
    <x v="0"/>
    <n v="80000"/>
    <s v="Medium Income"/>
    <x v="3"/>
    <x v="0"/>
    <x v="4"/>
    <s v="No"/>
    <n v="1"/>
    <x v="0"/>
    <x v="2"/>
    <n v="38"/>
    <x v="2"/>
    <x v="1"/>
  </r>
  <r>
    <n v="28052"/>
    <x v="0"/>
    <x v="1"/>
    <n v="60000"/>
    <s v="Low Income"/>
    <x v="4"/>
    <x v="2"/>
    <x v="2"/>
    <s v="Yes"/>
    <n v="2"/>
    <x v="4"/>
    <x v="2"/>
    <n v="55"/>
    <x v="0"/>
    <x v="0"/>
  </r>
  <r>
    <n v="26693"/>
    <x v="0"/>
    <x v="1"/>
    <n v="70000"/>
    <s v="Medium Income"/>
    <x v="1"/>
    <x v="1"/>
    <x v="2"/>
    <s v="Yes"/>
    <n v="1"/>
    <x v="2"/>
    <x v="2"/>
    <n v="49"/>
    <x v="0"/>
    <x v="0"/>
  </r>
  <r>
    <n v="24955"/>
    <x v="1"/>
    <x v="1"/>
    <n v="30000"/>
    <s v="Low Income"/>
    <x v="2"/>
    <x v="3"/>
    <x v="0"/>
    <s v="Yes"/>
    <n v="3"/>
    <x v="4"/>
    <x v="2"/>
    <n v="60"/>
    <x v="1"/>
    <x v="1"/>
  </r>
  <r>
    <n v="26065"/>
    <x v="1"/>
    <x v="0"/>
    <n v="110000"/>
    <s v="Medium Income"/>
    <x v="1"/>
    <x v="0"/>
    <x v="4"/>
    <s v="No"/>
    <n v="4"/>
    <x v="3"/>
    <x v="2"/>
    <n v="42"/>
    <x v="0"/>
    <x v="0"/>
  </r>
  <r>
    <n v="13942"/>
    <x v="0"/>
    <x v="1"/>
    <n v="60000"/>
    <s v="Low Income"/>
    <x v="0"/>
    <x v="1"/>
    <x v="0"/>
    <s v="Yes"/>
    <n v="1"/>
    <x v="0"/>
    <x v="2"/>
    <n v="46"/>
    <x v="0"/>
    <x v="0"/>
  </r>
  <r>
    <n v="11219"/>
    <x v="0"/>
    <x v="1"/>
    <n v="60000"/>
    <s v="Low Income"/>
    <x v="4"/>
    <x v="2"/>
    <x v="2"/>
    <s v="Yes"/>
    <n v="2"/>
    <x v="4"/>
    <x v="2"/>
    <n v="55"/>
    <x v="0"/>
    <x v="0"/>
  </r>
  <r>
    <n v="22118"/>
    <x v="1"/>
    <x v="0"/>
    <n v="70000"/>
    <s v="Medium Income"/>
    <x v="1"/>
    <x v="4"/>
    <x v="4"/>
    <s v="Yes"/>
    <n v="2"/>
    <x v="2"/>
    <x v="2"/>
    <n v="53"/>
    <x v="0"/>
    <x v="1"/>
  </r>
  <r>
    <n v="23197"/>
    <x v="0"/>
    <x v="1"/>
    <n v="50000"/>
    <s v="Low Income"/>
    <x v="1"/>
    <x v="0"/>
    <x v="0"/>
    <s v="Yes"/>
    <n v="2"/>
    <x v="1"/>
    <x v="2"/>
    <n v="40"/>
    <x v="0"/>
    <x v="0"/>
  </r>
  <r>
    <n v="14883"/>
    <x v="0"/>
    <x v="0"/>
    <n v="30000"/>
    <s v="Low Income"/>
    <x v="0"/>
    <x v="0"/>
    <x v="0"/>
    <s v="Yes"/>
    <n v="1"/>
    <x v="2"/>
    <x v="2"/>
    <n v="53"/>
    <x v="0"/>
    <x v="1"/>
  </r>
  <r>
    <n v="27279"/>
    <x v="1"/>
    <x v="0"/>
    <n v="70000"/>
    <s v="Medium Income"/>
    <x v="4"/>
    <x v="0"/>
    <x v="0"/>
    <s v="Yes"/>
    <n v="0"/>
    <x v="1"/>
    <x v="2"/>
    <n v="38"/>
    <x v="2"/>
    <x v="1"/>
  </r>
  <r>
    <n v="18322"/>
    <x v="1"/>
    <x v="1"/>
    <n v="30000"/>
    <s v="Low Income"/>
    <x v="3"/>
    <x v="3"/>
    <x v="1"/>
    <s v="No"/>
    <n v="2"/>
    <x v="0"/>
    <x v="2"/>
    <n v="26"/>
    <x v="3"/>
    <x v="0"/>
  </r>
  <r>
    <n v="15879"/>
    <x v="0"/>
    <x v="1"/>
    <n v="70000"/>
    <s v="Medium Income"/>
    <x v="2"/>
    <x v="0"/>
    <x v="4"/>
    <s v="Yes"/>
    <n v="2"/>
    <x v="1"/>
    <x v="2"/>
    <n v="61"/>
    <x v="1"/>
    <x v="0"/>
  </r>
  <r>
    <n v="28278"/>
    <x v="0"/>
    <x v="1"/>
    <n v="50000"/>
    <s v="Low Income"/>
    <x v="4"/>
    <x v="4"/>
    <x v="4"/>
    <s v="Yes"/>
    <n v="2"/>
    <x v="2"/>
    <x v="2"/>
    <n v="71"/>
    <x v="1"/>
    <x v="0"/>
  </r>
  <r>
    <n v="24416"/>
    <x v="0"/>
    <x v="1"/>
    <n v="90000"/>
    <s v="Medium Income"/>
    <x v="5"/>
    <x v="2"/>
    <x v="2"/>
    <s v="Yes"/>
    <n v="2"/>
    <x v="3"/>
    <x v="2"/>
    <n v="45"/>
    <x v="0"/>
    <x v="0"/>
  </r>
  <r>
    <n v="28066"/>
    <x v="0"/>
    <x v="1"/>
    <n v="80000"/>
    <s v="Medium Income"/>
    <x v="4"/>
    <x v="4"/>
    <x v="2"/>
    <s v="Yes"/>
    <n v="0"/>
    <x v="0"/>
    <x v="2"/>
    <n v="37"/>
    <x v="2"/>
    <x v="1"/>
  </r>
  <r>
    <n v="11275"/>
    <x v="0"/>
    <x v="0"/>
    <n v="80000"/>
    <s v="Medium Income"/>
    <x v="5"/>
    <x v="4"/>
    <x v="4"/>
    <s v="Yes"/>
    <n v="2"/>
    <x v="0"/>
    <x v="2"/>
    <n v="72"/>
    <x v="1"/>
    <x v="1"/>
  </r>
  <r>
    <n v="14872"/>
    <x v="0"/>
    <x v="1"/>
    <n v="30000"/>
    <s v="Low Income"/>
    <x v="3"/>
    <x v="4"/>
    <x v="0"/>
    <s v="Yes"/>
    <n v="0"/>
    <x v="0"/>
    <x v="2"/>
    <n v="32"/>
    <x v="2"/>
    <x v="0"/>
  </r>
  <r>
    <n v="16151"/>
    <x v="0"/>
    <x v="0"/>
    <n v="60000"/>
    <s v="Low Income"/>
    <x v="0"/>
    <x v="0"/>
    <x v="2"/>
    <s v="Yes"/>
    <n v="1"/>
    <x v="1"/>
    <x v="2"/>
    <n v="48"/>
    <x v="0"/>
    <x v="1"/>
  </r>
  <r>
    <n v="19731"/>
    <x v="0"/>
    <x v="1"/>
    <n v="80000"/>
    <s v="Medium Income"/>
    <x v="5"/>
    <x v="4"/>
    <x v="4"/>
    <s v="Yes"/>
    <n v="2"/>
    <x v="2"/>
    <x v="2"/>
    <n v="68"/>
    <x v="1"/>
    <x v="0"/>
  </r>
  <r>
    <n v="23801"/>
    <x v="0"/>
    <x v="0"/>
    <n v="20000"/>
    <s v="Low Income"/>
    <x v="4"/>
    <x v="3"/>
    <x v="1"/>
    <s v="Yes"/>
    <n v="2"/>
    <x v="0"/>
    <x v="2"/>
    <n v="49"/>
    <x v="0"/>
    <x v="0"/>
  </r>
  <r>
    <n v="11807"/>
    <x v="0"/>
    <x v="1"/>
    <n v="70000"/>
    <s v="Medium Income"/>
    <x v="1"/>
    <x v="4"/>
    <x v="2"/>
    <s v="Yes"/>
    <n v="0"/>
    <x v="1"/>
    <x v="2"/>
    <n v="34"/>
    <x v="2"/>
    <x v="0"/>
  </r>
  <r>
    <n v="11622"/>
    <x v="0"/>
    <x v="1"/>
    <n v="50000"/>
    <s v="Low Income"/>
    <x v="3"/>
    <x v="4"/>
    <x v="0"/>
    <s v="Yes"/>
    <n v="0"/>
    <x v="0"/>
    <x v="2"/>
    <n v="32"/>
    <x v="2"/>
    <x v="0"/>
  </r>
  <r>
    <n v="26597"/>
    <x v="1"/>
    <x v="0"/>
    <n v="60000"/>
    <s v="Low Income"/>
    <x v="5"/>
    <x v="0"/>
    <x v="0"/>
    <s v="No"/>
    <n v="2"/>
    <x v="0"/>
    <x v="2"/>
    <n v="42"/>
    <x v="0"/>
    <x v="0"/>
  </r>
  <r>
    <n v="27074"/>
    <x v="0"/>
    <x v="0"/>
    <n v="70000"/>
    <s v="Medium Income"/>
    <x v="0"/>
    <x v="4"/>
    <x v="0"/>
    <s v="Yes"/>
    <n v="0"/>
    <x v="0"/>
    <x v="2"/>
    <n v="35"/>
    <x v="2"/>
    <x v="1"/>
  </r>
  <r>
    <n v="19228"/>
    <x v="0"/>
    <x v="0"/>
    <n v="40000"/>
    <s v="Low Income"/>
    <x v="4"/>
    <x v="1"/>
    <x v="1"/>
    <s v="Yes"/>
    <n v="1"/>
    <x v="0"/>
    <x v="2"/>
    <n v="48"/>
    <x v="0"/>
    <x v="0"/>
  </r>
  <r>
    <n v="13415"/>
    <x v="1"/>
    <x v="1"/>
    <n v="100000"/>
    <s v="Medium Income"/>
    <x v="0"/>
    <x v="4"/>
    <x v="4"/>
    <s v="Yes"/>
    <n v="3"/>
    <x v="1"/>
    <x v="2"/>
    <n v="73"/>
    <x v="1"/>
    <x v="1"/>
  </r>
  <r>
    <n v="17000"/>
    <x v="1"/>
    <x v="0"/>
    <n v="70000"/>
    <s v="Medium Income"/>
    <x v="5"/>
    <x v="0"/>
    <x v="0"/>
    <s v="Yes"/>
    <n v="2"/>
    <x v="1"/>
    <x v="2"/>
    <n v="43"/>
    <x v="0"/>
    <x v="1"/>
  </r>
  <r>
    <n v="14569"/>
    <x v="0"/>
    <x v="1"/>
    <n v="60000"/>
    <s v="Low Income"/>
    <x v="0"/>
    <x v="4"/>
    <x v="2"/>
    <s v="Yes"/>
    <n v="0"/>
    <x v="0"/>
    <x v="2"/>
    <n v="35"/>
    <x v="2"/>
    <x v="0"/>
  </r>
  <r>
    <n v="13873"/>
    <x v="0"/>
    <x v="1"/>
    <n v="70000"/>
    <s v="Medium Income"/>
    <x v="1"/>
    <x v="4"/>
    <x v="2"/>
    <s v="Yes"/>
    <n v="0"/>
    <x v="0"/>
    <x v="2"/>
    <n v="35"/>
    <x v="2"/>
    <x v="1"/>
  </r>
  <r>
    <n v="20401"/>
    <x v="0"/>
    <x v="0"/>
    <n v="50000"/>
    <s v="Low Income"/>
    <x v="5"/>
    <x v="0"/>
    <x v="4"/>
    <s v="Yes"/>
    <n v="2"/>
    <x v="3"/>
    <x v="2"/>
    <n v="64"/>
    <x v="1"/>
    <x v="1"/>
  </r>
  <r>
    <n v="21583"/>
    <x v="0"/>
    <x v="0"/>
    <n v="50000"/>
    <s v="Low Income"/>
    <x v="0"/>
    <x v="0"/>
    <x v="0"/>
    <s v="Yes"/>
    <n v="0"/>
    <x v="0"/>
    <x v="2"/>
    <n v="34"/>
    <x v="2"/>
    <x v="1"/>
  </r>
  <r>
    <n v="12029"/>
    <x v="0"/>
    <x v="1"/>
    <n v="30000"/>
    <s v="Low Income"/>
    <x v="3"/>
    <x v="3"/>
    <x v="1"/>
    <s v="No"/>
    <n v="2"/>
    <x v="0"/>
    <x v="2"/>
    <n v="28"/>
    <x v="3"/>
    <x v="0"/>
  </r>
  <r>
    <n v="18066"/>
    <x v="1"/>
    <x v="1"/>
    <n v="70000"/>
    <s v="Medium Income"/>
    <x v="2"/>
    <x v="0"/>
    <x v="4"/>
    <s v="Yes"/>
    <n v="3"/>
    <x v="4"/>
    <x v="2"/>
    <n v="60"/>
    <x v="1"/>
    <x v="1"/>
  </r>
  <r>
    <n v="28192"/>
    <x v="0"/>
    <x v="0"/>
    <n v="70000"/>
    <s v="Medium Income"/>
    <x v="2"/>
    <x v="4"/>
    <x v="2"/>
    <s v="Yes"/>
    <n v="3"/>
    <x v="4"/>
    <x v="2"/>
    <n v="46"/>
    <x v="0"/>
    <x v="0"/>
  </r>
  <r>
    <n v="16122"/>
    <x v="0"/>
    <x v="1"/>
    <n v="40000"/>
    <s v="Low Income"/>
    <x v="5"/>
    <x v="2"/>
    <x v="0"/>
    <s v="Yes"/>
    <n v="2"/>
    <x v="0"/>
    <x v="2"/>
    <n v="44"/>
    <x v="0"/>
    <x v="1"/>
  </r>
  <r>
    <n v="18607"/>
    <x v="1"/>
    <x v="0"/>
    <n v="60000"/>
    <s v="Low Income"/>
    <x v="5"/>
    <x v="0"/>
    <x v="0"/>
    <s v="Yes"/>
    <n v="2"/>
    <x v="1"/>
    <x v="2"/>
    <n v="42"/>
    <x v="0"/>
    <x v="1"/>
  </r>
  <r>
    <n v="28858"/>
    <x v="1"/>
    <x v="1"/>
    <n v="80000"/>
    <s v="Medium Income"/>
    <x v="1"/>
    <x v="0"/>
    <x v="0"/>
    <s v="Yes"/>
    <n v="0"/>
    <x v="1"/>
    <x v="2"/>
    <n v="40"/>
    <x v="0"/>
    <x v="0"/>
  </r>
  <r>
    <n v="14432"/>
    <x v="1"/>
    <x v="1"/>
    <n v="90000"/>
    <s v="Medium Income"/>
    <x v="5"/>
    <x v="4"/>
    <x v="4"/>
    <s v="Yes"/>
    <n v="1"/>
    <x v="2"/>
    <x v="2"/>
    <n v="73"/>
    <x v="1"/>
    <x v="0"/>
  </r>
  <r>
    <n v="26305"/>
    <x v="1"/>
    <x v="0"/>
    <n v="60000"/>
    <s v="Low Income"/>
    <x v="4"/>
    <x v="0"/>
    <x v="0"/>
    <s v="No"/>
    <n v="0"/>
    <x v="0"/>
    <x v="2"/>
    <n v="36"/>
    <x v="2"/>
    <x v="1"/>
  </r>
  <r>
    <n v="22050"/>
    <x v="1"/>
    <x v="1"/>
    <n v="90000"/>
    <s v="Medium Income"/>
    <x v="5"/>
    <x v="0"/>
    <x v="4"/>
    <s v="Yes"/>
    <n v="1"/>
    <x v="3"/>
    <x v="2"/>
    <n v="38"/>
    <x v="2"/>
    <x v="1"/>
  </r>
  <r>
    <n v="25394"/>
    <x v="0"/>
    <x v="1"/>
    <n v="60000"/>
    <s v="Low Income"/>
    <x v="0"/>
    <x v="4"/>
    <x v="2"/>
    <s v="Yes"/>
    <n v="0"/>
    <x v="1"/>
    <x v="2"/>
    <n v="34"/>
    <x v="2"/>
    <x v="1"/>
  </r>
  <r>
    <n v="19747"/>
    <x v="0"/>
    <x v="1"/>
    <n v="50000"/>
    <s v="Low Income"/>
    <x v="5"/>
    <x v="0"/>
    <x v="4"/>
    <s v="Yes"/>
    <n v="2"/>
    <x v="4"/>
    <x v="2"/>
    <n v="63"/>
    <x v="1"/>
    <x v="0"/>
  </r>
  <r>
    <n v="23195"/>
    <x v="1"/>
    <x v="1"/>
    <n v="50000"/>
    <s v="Low Income"/>
    <x v="1"/>
    <x v="0"/>
    <x v="0"/>
    <s v="Yes"/>
    <n v="2"/>
    <x v="1"/>
    <x v="2"/>
    <n v="41"/>
    <x v="0"/>
    <x v="1"/>
  </r>
  <r>
    <n v="21695"/>
    <x v="0"/>
    <x v="1"/>
    <n v="60000"/>
    <s v="Low Income"/>
    <x v="3"/>
    <x v="4"/>
    <x v="0"/>
    <s v="Yes"/>
    <n v="0"/>
    <x v="3"/>
    <x v="2"/>
    <n v="39"/>
    <x v="2"/>
    <x v="1"/>
  </r>
  <r>
    <n v="13934"/>
    <x v="0"/>
    <x v="1"/>
    <n v="40000"/>
    <s v="Low Income"/>
    <x v="5"/>
    <x v="2"/>
    <x v="0"/>
    <s v="Yes"/>
    <n v="2"/>
    <x v="1"/>
    <x v="2"/>
    <n v="46"/>
    <x v="0"/>
    <x v="0"/>
  </r>
  <r>
    <n v="13337"/>
    <x v="0"/>
    <x v="0"/>
    <n v="80000"/>
    <s v="Medium Income"/>
    <x v="2"/>
    <x v="0"/>
    <x v="4"/>
    <s v="Yes"/>
    <n v="2"/>
    <x v="2"/>
    <x v="2"/>
    <n v="64"/>
    <x v="1"/>
    <x v="0"/>
  </r>
  <r>
    <n v="27190"/>
    <x v="0"/>
    <x v="0"/>
    <n v="40000"/>
    <s v="Low Income"/>
    <x v="1"/>
    <x v="1"/>
    <x v="1"/>
    <s v="Yes"/>
    <n v="1"/>
    <x v="3"/>
    <x v="2"/>
    <n v="32"/>
    <x v="2"/>
    <x v="0"/>
  </r>
  <r>
    <n v="28657"/>
    <x v="1"/>
    <x v="1"/>
    <n v="60000"/>
    <s v="Low Income"/>
    <x v="4"/>
    <x v="0"/>
    <x v="0"/>
    <s v="Yes"/>
    <n v="0"/>
    <x v="1"/>
    <x v="2"/>
    <n v="36"/>
    <x v="2"/>
    <x v="1"/>
  </r>
  <r>
    <n v="21713"/>
    <x v="1"/>
    <x v="1"/>
    <n v="80000"/>
    <s v="Medium Income"/>
    <x v="2"/>
    <x v="4"/>
    <x v="0"/>
    <s v="No"/>
    <n v="0"/>
    <x v="0"/>
    <x v="2"/>
    <n v="47"/>
    <x v="0"/>
    <x v="0"/>
  </r>
  <r>
    <n v="21752"/>
    <x v="0"/>
    <x v="1"/>
    <n v="60000"/>
    <s v="Low Income"/>
    <x v="1"/>
    <x v="4"/>
    <x v="4"/>
    <s v="Yes"/>
    <n v="2"/>
    <x v="4"/>
    <x v="2"/>
    <n v="64"/>
    <x v="1"/>
    <x v="0"/>
  </r>
  <r>
    <n v="27273"/>
    <x v="1"/>
    <x v="1"/>
    <n v="70000"/>
    <s v="Medium Income"/>
    <x v="1"/>
    <x v="4"/>
    <x v="2"/>
    <s v="No"/>
    <n v="0"/>
    <x v="0"/>
    <x v="2"/>
    <n v="35"/>
    <x v="2"/>
    <x v="1"/>
  </r>
  <r>
    <n v="22719"/>
    <x v="1"/>
    <x v="1"/>
    <n v="110000"/>
    <s v="Medium Income"/>
    <x v="1"/>
    <x v="0"/>
    <x v="4"/>
    <s v="Yes"/>
    <n v="4"/>
    <x v="1"/>
    <x v="2"/>
    <n v="40"/>
    <x v="0"/>
    <x v="1"/>
  </r>
  <r>
    <n v="22042"/>
    <x v="0"/>
    <x v="0"/>
    <n v="70000"/>
    <s v="Medium Income"/>
    <x v="3"/>
    <x v="1"/>
    <x v="0"/>
    <s v="Yes"/>
    <n v="2"/>
    <x v="2"/>
    <x v="2"/>
    <n v="34"/>
    <x v="2"/>
    <x v="1"/>
  </r>
  <r>
    <n v="21451"/>
    <x v="0"/>
    <x v="0"/>
    <n v="40000"/>
    <s v="Low Income"/>
    <x v="5"/>
    <x v="2"/>
    <x v="2"/>
    <s v="Yes"/>
    <n v="2"/>
    <x v="4"/>
    <x v="2"/>
    <n v="61"/>
    <x v="1"/>
    <x v="0"/>
  </r>
  <r>
    <n v="20754"/>
    <x v="0"/>
    <x v="1"/>
    <n v="30000"/>
    <s v="Low Income"/>
    <x v="4"/>
    <x v="2"/>
    <x v="0"/>
    <s v="Yes"/>
    <n v="2"/>
    <x v="3"/>
    <x v="2"/>
    <n v="51"/>
    <x v="0"/>
    <x v="0"/>
  </r>
  <r>
    <n v="12153"/>
    <x v="1"/>
    <x v="0"/>
    <n v="70000"/>
    <s v="Medium Income"/>
    <x v="1"/>
    <x v="1"/>
    <x v="2"/>
    <s v="Yes"/>
    <n v="1"/>
    <x v="2"/>
    <x v="2"/>
    <n v="49"/>
    <x v="0"/>
    <x v="1"/>
  </r>
  <r>
    <n v="16895"/>
    <x v="0"/>
    <x v="0"/>
    <n v="40000"/>
    <s v="Low Income"/>
    <x v="1"/>
    <x v="1"/>
    <x v="2"/>
    <s v="No"/>
    <n v="2"/>
    <x v="3"/>
    <x v="2"/>
    <n v="54"/>
    <x v="0"/>
    <x v="1"/>
  </r>
  <r>
    <n v="26728"/>
    <x v="1"/>
    <x v="1"/>
    <n v="70000"/>
    <s v="Medium Income"/>
    <x v="1"/>
    <x v="4"/>
    <x v="4"/>
    <s v="No"/>
    <n v="2"/>
    <x v="3"/>
    <x v="2"/>
    <n v="53"/>
    <x v="0"/>
    <x v="1"/>
  </r>
  <r>
    <n v="11090"/>
    <x v="1"/>
    <x v="1"/>
    <n v="90000"/>
    <s v="Medium Income"/>
    <x v="4"/>
    <x v="1"/>
    <x v="2"/>
    <s v="Yes"/>
    <n v="1"/>
    <x v="1"/>
    <x v="2"/>
    <n v="48"/>
    <x v="0"/>
    <x v="1"/>
  </r>
  <r>
    <n v="15862"/>
    <x v="1"/>
    <x v="0"/>
    <n v="50000"/>
    <s v="Low Income"/>
    <x v="3"/>
    <x v="4"/>
    <x v="0"/>
    <s v="Yes"/>
    <n v="0"/>
    <x v="3"/>
    <x v="2"/>
    <n v="33"/>
    <x v="2"/>
    <x v="1"/>
  </r>
  <r>
    <n v="26495"/>
    <x v="1"/>
    <x v="0"/>
    <n v="40000"/>
    <s v="Low Income"/>
    <x v="4"/>
    <x v="2"/>
    <x v="2"/>
    <s v="Yes"/>
    <n v="2"/>
    <x v="4"/>
    <x v="2"/>
    <n v="57"/>
    <x v="0"/>
    <x v="0"/>
  </r>
  <r>
    <n v="11823"/>
    <x v="0"/>
    <x v="0"/>
    <n v="70000"/>
    <s v="Medium Income"/>
    <x v="3"/>
    <x v="4"/>
    <x v="2"/>
    <s v="Yes"/>
    <n v="0"/>
    <x v="1"/>
    <x v="2"/>
    <n v="39"/>
    <x v="2"/>
    <x v="0"/>
  </r>
  <r>
    <n v="23449"/>
    <x v="0"/>
    <x v="1"/>
    <n v="60000"/>
    <s v="Low Income"/>
    <x v="4"/>
    <x v="2"/>
    <x v="2"/>
    <s v="Yes"/>
    <n v="2"/>
    <x v="2"/>
    <x v="2"/>
    <n v="48"/>
    <x v="0"/>
    <x v="0"/>
  </r>
  <r>
    <n v="23459"/>
    <x v="0"/>
    <x v="1"/>
    <n v="60000"/>
    <s v="Low Income"/>
    <x v="4"/>
    <x v="2"/>
    <x v="2"/>
    <s v="Yes"/>
    <n v="2"/>
    <x v="2"/>
    <x v="2"/>
    <n v="50"/>
    <x v="0"/>
    <x v="0"/>
  </r>
  <r>
    <n v="19543"/>
    <x v="0"/>
    <x v="1"/>
    <n v="70000"/>
    <s v="Medium Income"/>
    <x v="2"/>
    <x v="4"/>
    <x v="2"/>
    <s v="No"/>
    <n v="3"/>
    <x v="4"/>
    <x v="2"/>
    <n v="47"/>
    <x v="0"/>
    <x v="0"/>
  </r>
  <r>
    <n v="14914"/>
    <x v="0"/>
    <x v="0"/>
    <n v="40000"/>
    <s v="Low Income"/>
    <x v="0"/>
    <x v="1"/>
    <x v="1"/>
    <s v="Yes"/>
    <n v="1"/>
    <x v="3"/>
    <x v="2"/>
    <n v="49"/>
    <x v="0"/>
    <x v="1"/>
  </r>
  <r>
    <n v="12033"/>
    <x v="1"/>
    <x v="0"/>
    <n v="40000"/>
    <s v="Low Income"/>
    <x v="3"/>
    <x v="2"/>
    <x v="0"/>
    <s v="No"/>
    <n v="2"/>
    <x v="0"/>
    <x v="2"/>
    <n v="27"/>
    <x v="3"/>
    <x v="1"/>
  </r>
  <r>
    <n v="11941"/>
    <x v="1"/>
    <x v="1"/>
    <n v="60000"/>
    <s v="Low Income"/>
    <x v="3"/>
    <x v="1"/>
    <x v="0"/>
    <s v="Yes"/>
    <n v="0"/>
    <x v="2"/>
    <x v="2"/>
    <n v="29"/>
    <x v="3"/>
    <x v="0"/>
  </r>
  <r>
    <n v="14389"/>
    <x v="0"/>
    <x v="1"/>
    <n v="60000"/>
    <s v="Low Income"/>
    <x v="4"/>
    <x v="0"/>
    <x v="4"/>
    <s v="Yes"/>
    <n v="0"/>
    <x v="1"/>
    <x v="2"/>
    <n v="59"/>
    <x v="0"/>
    <x v="0"/>
  </r>
  <r>
    <n v="18050"/>
    <x v="0"/>
    <x v="0"/>
    <n v="60000"/>
    <s v="Low Income"/>
    <x v="0"/>
    <x v="1"/>
    <x v="0"/>
    <s v="Yes"/>
    <n v="1"/>
    <x v="0"/>
    <x v="2"/>
    <n v="45"/>
    <x v="0"/>
    <x v="1"/>
  </r>
  <r>
    <n v="19856"/>
    <x v="0"/>
    <x v="0"/>
    <n v="60000"/>
    <s v="Low Income"/>
    <x v="5"/>
    <x v="0"/>
    <x v="4"/>
    <s v="Yes"/>
    <n v="2"/>
    <x v="1"/>
    <x v="2"/>
    <n v="60"/>
    <x v="1"/>
    <x v="0"/>
  </r>
  <r>
    <n v="11663"/>
    <x v="0"/>
    <x v="1"/>
    <n v="70000"/>
    <s v="Medium Income"/>
    <x v="5"/>
    <x v="4"/>
    <x v="2"/>
    <s v="Yes"/>
    <n v="0"/>
    <x v="0"/>
    <x v="2"/>
    <n v="36"/>
    <x v="2"/>
    <x v="1"/>
  </r>
  <r>
    <n v="27740"/>
    <x v="0"/>
    <x v="0"/>
    <n v="40000"/>
    <s v="Low Income"/>
    <x v="3"/>
    <x v="2"/>
    <x v="0"/>
    <s v="Yes"/>
    <n v="2"/>
    <x v="2"/>
    <x v="2"/>
    <n v="27"/>
    <x v="3"/>
    <x v="0"/>
  </r>
  <r>
    <n v="23455"/>
    <x v="1"/>
    <x v="1"/>
    <n v="80000"/>
    <s v="Medium Income"/>
    <x v="4"/>
    <x v="3"/>
    <x v="0"/>
    <s v="No"/>
    <n v="2"/>
    <x v="3"/>
    <x v="2"/>
    <n v="50"/>
    <x v="0"/>
    <x v="0"/>
  </r>
  <r>
    <n v="15292"/>
    <x v="1"/>
    <x v="0"/>
    <n v="60000"/>
    <s v="Low Income"/>
    <x v="0"/>
    <x v="4"/>
    <x v="0"/>
    <s v="Yes"/>
    <n v="0"/>
    <x v="3"/>
    <x v="2"/>
    <n v="35"/>
    <x v="2"/>
    <x v="0"/>
  </r>
  <r>
    <n v="21587"/>
    <x v="0"/>
    <x v="0"/>
    <n v="60000"/>
    <s v="Low Income"/>
    <x v="0"/>
    <x v="4"/>
    <x v="0"/>
    <s v="Yes"/>
    <n v="0"/>
    <x v="1"/>
    <x v="2"/>
    <n v="34"/>
    <x v="2"/>
    <x v="1"/>
  </r>
  <r>
    <n v="23513"/>
    <x v="0"/>
    <x v="0"/>
    <n v="40000"/>
    <s v="Low Income"/>
    <x v="1"/>
    <x v="1"/>
    <x v="2"/>
    <s v="Yes"/>
    <n v="2"/>
    <x v="2"/>
    <x v="2"/>
    <n v="54"/>
    <x v="0"/>
    <x v="0"/>
  </r>
  <r>
    <n v="24322"/>
    <x v="0"/>
    <x v="0"/>
    <n v="60000"/>
    <s v="Low Income"/>
    <x v="5"/>
    <x v="0"/>
    <x v="0"/>
    <s v="No"/>
    <n v="2"/>
    <x v="0"/>
    <x v="2"/>
    <n v="42"/>
    <x v="0"/>
    <x v="0"/>
  </r>
  <r>
    <n v="26298"/>
    <x v="0"/>
    <x v="0"/>
    <n v="50000"/>
    <s v="Low Income"/>
    <x v="0"/>
    <x v="0"/>
    <x v="0"/>
    <s v="Yes"/>
    <n v="0"/>
    <x v="1"/>
    <x v="2"/>
    <n v="34"/>
    <x v="2"/>
    <x v="1"/>
  </r>
  <r>
    <n v="25419"/>
    <x v="1"/>
    <x v="1"/>
    <n v="50000"/>
    <s v="Low Income"/>
    <x v="4"/>
    <x v="0"/>
    <x v="0"/>
    <s v="No"/>
    <n v="1"/>
    <x v="0"/>
    <x v="2"/>
    <n v="38"/>
    <x v="2"/>
    <x v="1"/>
  </r>
  <r>
    <n v="13343"/>
    <x v="0"/>
    <x v="0"/>
    <n v="90000"/>
    <s v="Medium Income"/>
    <x v="2"/>
    <x v="0"/>
    <x v="4"/>
    <s v="Yes"/>
    <n v="2"/>
    <x v="3"/>
    <x v="2"/>
    <n v="63"/>
    <x v="1"/>
    <x v="1"/>
  </r>
  <r>
    <n v="11303"/>
    <x v="1"/>
    <x v="0"/>
    <n v="90000"/>
    <s v="Medium Income"/>
    <x v="5"/>
    <x v="2"/>
    <x v="2"/>
    <s v="No"/>
    <n v="3"/>
    <x v="3"/>
    <x v="2"/>
    <n v="45"/>
    <x v="0"/>
    <x v="1"/>
  </r>
  <r>
    <n v="21693"/>
    <x v="1"/>
    <x v="0"/>
    <n v="60000"/>
    <s v="Low Income"/>
    <x v="3"/>
    <x v="4"/>
    <x v="0"/>
    <s v="No"/>
    <n v="0"/>
    <x v="0"/>
    <x v="2"/>
    <n v="40"/>
    <x v="0"/>
    <x v="0"/>
  </r>
  <r>
    <n v="28056"/>
    <x v="0"/>
    <x v="1"/>
    <n v="70000"/>
    <s v="Medium Income"/>
    <x v="4"/>
    <x v="3"/>
    <x v="0"/>
    <s v="Yes"/>
    <n v="2"/>
    <x v="4"/>
    <x v="2"/>
    <n v="53"/>
    <x v="0"/>
    <x v="0"/>
  </r>
  <r>
    <n v="11788"/>
    <x v="1"/>
    <x v="0"/>
    <n v="70000"/>
    <s v="Medium Income"/>
    <x v="0"/>
    <x v="4"/>
    <x v="2"/>
    <s v="Yes"/>
    <n v="0"/>
    <x v="1"/>
    <x v="2"/>
    <n v="34"/>
    <x v="2"/>
    <x v="0"/>
  </r>
  <r>
    <n v="22296"/>
    <x v="0"/>
    <x v="1"/>
    <n v="70000"/>
    <s v="Medium Income"/>
    <x v="3"/>
    <x v="0"/>
    <x v="2"/>
    <s v="No"/>
    <n v="1"/>
    <x v="0"/>
    <x v="2"/>
    <n v="38"/>
    <x v="2"/>
    <x v="0"/>
  </r>
  <r>
    <n v="15319"/>
    <x v="0"/>
    <x v="0"/>
    <n v="70000"/>
    <s v="Medium Income"/>
    <x v="5"/>
    <x v="0"/>
    <x v="4"/>
    <s v="No"/>
    <n v="1"/>
    <x v="3"/>
    <x v="2"/>
    <n v="59"/>
    <x v="0"/>
    <x v="0"/>
  </r>
  <r>
    <n v="17654"/>
    <x v="1"/>
    <x v="0"/>
    <n v="40000"/>
    <s v="Low Income"/>
    <x v="1"/>
    <x v="1"/>
    <x v="1"/>
    <s v="Yes"/>
    <n v="1"/>
    <x v="3"/>
    <x v="2"/>
    <n v="30"/>
    <x v="2"/>
    <x v="1"/>
  </r>
  <r>
    <n v="14662"/>
    <x v="0"/>
    <x v="1"/>
    <n v="60000"/>
    <s v="Low Income"/>
    <x v="0"/>
    <x v="0"/>
    <x v="2"/>
    <s v="Yes"/>
    <n v="1"/>
    <x v="0"/>
    <x v="2"/>
    <n v="48"/>
    <x v="0"/>
    <x v="1"/>
  </r>
  <r>
    <n v="17541"/>
    <x v="0"/>
    <x v="0"/>
    <n v="40000"/>
    <s v="Low Income"/>
    <x v="5"/>
    <x v="2"/>
    <x v="0"/>
    <s v="Yes"/>
    <n v="2"/>
    <x v="1"/>
    <x v="2"/>
    <n v="43"/>
    <x v="0"/>
    <x v="0"/>
  </r>
  <r>
    <n v="13886"/>
    <x v="0"/>
    <x v="0"/>
    <n v="70000"/>
    <s v="Medium Income"/>
    <x v="5"/>
    <x v="4"/>
    <x v="2"/>
    <s v="Yes"/>
    <n v="0"/>
    <x v="1"/>
    <x v="2"/>
    <n v="35"/>
    <x v="2"/>
    <x v="1"/>
  </r>
  <r>
    <n v="13073"/>
    <x v="0"/>
    <x v="0"/>
    <n v="60000"/>
    <s v="Low Income"/>
    <x v="3"/>
    <x v="1"/>
    <x v="2"/>
    <s v="Yes"/>
    <n v="2"/>
    <x v="2"/>
    <x v="2"/>
    <n v="30"/>
    <x v="2"/>
    <x v="0"/>
  </r>
  <r>
    <n v="21940"/>
    <x v="0"/>
    <x v="1"/>
    <n v="90000"/>
    <s v="Medium Income"/>
    <x v="2"/>
    <x v="4"/>
    <x v="2"/>
    <s v="Yes"/>
    <n v="0"/>
    <x v="0"/>
    <x v="2"/>
    <n v="47"/>
    <x v="0"/>
    <x v="1"/>
  </r>
  <r>
    <n v="20196"/>
    <x v="0"/>
    <x v="1"/>
    <n v="60000"/>
    <s v="Low Income"/>
    <x v="0"/>
    <x v="1"/>
    <x v="0"/>
    <s v="Yes"/>
    <n v="1"/>
    <x v="1"/>
    <x v="2"/>
    <n v="45"/>
    <x v="0"/>
    <x v="1"/>
  </r>
  <r>
    <n v="23491"/>
    <x v="1"/>
    <x v="1"/>
    <n v="100000"/>
    <s v="Medium Income"/>
    <x v="3"/>
    <x v="1"/>
    <x v="2"/>
    <s v="No"/>
    <n v="4"/>
    <x v="3"/>
    <x v="2"/>
    <n v="45"/>
    <x v="0"/>
    <x v="0"/>
  </r>
  <r>
    <n v="16651"/>
    <x v="0"/>
    <x v="0"/>
    <n v="120000"/>
    <s v="Medium Income"/>
    <x v="4"/>
    <x v="0"/>
    <x v="4"/>
    <s v="Yes"/>
    <n v="3"/>
    <x v="2"/>
    <x v="2"/>
    <n v="62"/>
    <x v="1"/>
    <x v="0"/>
  </r>
  <r>
    <n v="16813"/>
    <x v="0"/>
    <x v="1"/>
    <n v="60000"/>
    <s v="Low Income"/>
    <x v="4"/>
    <x v="1"/>
    <x v="2"/>
    <s v="Yes"/>
    <n v="2"/>
    <x v="4"/>
    <x v="2"/>
    <n v="55"/>
    <x v="0"/>
    <x v="0"/>
  </r>
  <r>
    <n v="16007"/>
    <x v="0"/>
    <x v="0"/>
    <n v="90000"/>
    <s v="Medium Income"/>
    <x v="2"/>
    <x v="0"/>
    <x v="4"/>
    <s v="Yes"/>
    <n v="2"/>
    <x v="3"/>
    <x v="2"/>
    <n v="66"/>
    <x v="1"/>
    <x v="1"/>
  </r>
  <r>
    <n v="27434"/>
    <x v="1"/>
    <x v="1"/>
    <n v="70000"/>
    <s v="Medium Income"/>
    <x v="5"/>
    <x v="1"/>
    <x v="2"/>
    <s v="Yes"/>
    <n v="1"/>
    <x v="4"/>
    <x v="2"/>
    <n v="56"/>
    <x v="0"/>
    <x v="0"/>
  </r>
  <r>
    <n v="27756"/>
    <x v="1"/>
    <x v="0"/>
    <n v="50000"/>
    <s v="Low Income"/>
    <x v="1"/>
    <x v="0"/>
    <x v="0"/>
    <s v="No"/>
    <n v="1"/>
    <x v="0"/>
    <x v="2"/>
    <n v="40"/>
    <x v="0"/>
    <x v="0"/>
  </r>
  <r>
    <n v="23818"/>
    <x v="0"/>
    <x v="0"/>
    <n v="50000"/>
    <s v="Low Income"/>
    <x v="3"/>
    <x v="4"/>
    <x v="0"/>
    <s v="Yes"/>
    <n v="0"/>
    <x v="3"/>
    <x v="2"/>
    <n v="33"/>
    <x v="2"/>
    <x v="1"/>
  </r>
  <r>
    <n v="19012"/>
    <x v="0"/>
    <x v="1"/>
    <n v="80000"/>
    <s v="Medium Income"/>
    <x v="1"/>
    <x v="0"/>
    <x v="4"/>
    <s v="Yes"/>
    <n v="1"/>
    <x v="3"/>
    <x v="2"/>
    <n v="56"/>
    <x v="0"/>
    <x v="0"/>
  </r>
  <r>
    <n v="18329"/>
    <x v="1"/>
    <x v="1"/>
    <n v="30000"/>
    <s v="Low Income"/>
    <x v="3"/>
    <x v="3"/>
    <x v="1"/>
    <s v="No"/>
    <n v="2"/>
    <x v="2"/>
    <x v="2"/>
    <n v="27"/>
    <x v="3"/>
    <x v="0"/>
  </r>
  <r>
    <n v="29037"/>
    <x v="0"/>
    <x v="1"/>
    <n v="60000"/>
    <s v="Low Income"/>
    <x v="3"/>
    <x v="4"/>
    <x v="2"/>
    <s v="No"/>
    <n v="0"/>
    <x v="0"/>
    <x v="2"/>
    <n v="39"/>
    <x v="2"/>
    <x v="0"/>
  </r>
  <r>
    <n v="26576"/>
    <x v="0"/>
    <x v="0"/>
    <n v="60000"/>
    <s v="Low Income"/>
    <x v="3"/>
    <x v="1"/>
    <x v="0"/>
    <s v="Yes"/>
    <n v="2"/>
    <x v="2"/>
    <x v="2"/>
    <n v="31"/>
    <x v="2"/>
    <x v="0"/>
  </r>
  <r>
    <n v="12192"/>
    <x v="1"/>
    <x v="0"/>
    <n v="60000"/>
    <s v="Low Income"/>
    <x v="4"/>
    <x v="3"/>
    <x v="0"/>
    <s v="No"/>
    <n v="2"/>
    <x v="3"/>
    <x v="2"/>
    <n v="51"/>
    <x v="0"/>
    <x v="0"/>
  </r>
  <r>
    <n v="14887"/>
    <x v="0"/>
    <x v="0"/>
    <n v="30000"/>
    <s v="Low Income"/>
    <x v="0"/>
    <x v="2"/>
    <x v="1"/>
    <s v="Yes"/>
    <n v="1"/>
    <x v="2"/>
    <x v="2"/>
    <n v="52"/>
    <x v="0"/>
    <x v="0"/>
  </r>
  <r>
    <n v="11734"/>
    <x v="0"/>
    <x v="1"/>
    <n v="60000"/>
    <s v="Low Income"/>
    <x v="0"/>
    <x v="1"/>
    <x v="0"/>
    <s v="No"/>
    <n v="1"/>
    <x v="0"/>
    <x v="2"/>
    <n v="47"/>
    <x v="0"/>
    <x v="0"/>
  </r>
  <r>
    <n v="17462"/>
    <x v="0"/>
    <x v="1"/>
    <n v="70000"/>
    <s v="Medium Income"/>
    <x v="1"/>
    <x v="4"/>
    <x v="4"/>
    <s v="Yes"/>
    <n v="2"/>
    <x v="2"/>
    <x v="2"/>
    <n v="53"/>
    <x v="0"/>
    <x v="1"/>
  </r>
  <r>
    <n v="20659"/>
    <x v="0"/>
    <x v="1"/>
    <n v="70000"/>
    <s v="Medium Income"/>
    <x v="1"/>
    <x v="4"/>
    <x v="2"/>
    <s v="Yes"/>
    <n v="0"/>
    <x v="0"/>
    <x v="2"/>
    <n v="35"/>
    <x v="2"/>
    <x v="1"/>
  </r>
  <r>
    <n v="28004"/>
    <x v="0"/>
    <x v="0"/>
    <n v="60000"/>
    <s v="Low Income"/>
    <x v="1"/>
    <x v="0"/>
    <x v="4"/>
    <s v="Yes"/>
    <n v="2"/>
    <x v="4"/>
    <x v="2"/>
    <n v="66"/>
    <x v="1"/>
    <x v="0"/>
  </r>
  <r>
    <n v="19741"/>
    <x v="1"/>
    <x v="0"/>
    <n v="80000"/>
    <s v="Medium Income"/>
    <x v="5"/>
    <x v="4"/>
    <x v="4"/>
    <s v="Yes"/>
    <n v="2"/>
    <x v="2"/>
    <x v="2"/>
    <n v="65"/>
    <x v="1"/>
    <x v="0"/>
  </r>
  <r>
    <n v="17450"/>
    <x v="0"/>
    <x v="1"/>
    <n v="80000"/>
    <s v="Medium Income"/>
    <x v="2"/>
    <x v="1"/>
    <x v="2"/>
    <s v="Yes"/>
    <n v="3"/>
    <x v="2"/>
    <x v="2"/>
    <n v="45"/>
    <x v="0"/>
    <x v="0"/>
  </r>
  <r>
    <n v="17337"/>
    <x v="1"/>
    <x v="1"/>
    <n v="40000"/>
    <s v="Low Income"/>
    <x v="3"/>
    <x v="2"/>
    <x v="0"/>
    <s v="Yes"/>
    <n v="1"/>
    <x v="2"/>
    <x v="2"/>
    <n v="31"/>
    <x v="2"/>
    <x v="0"/>
  </r>
  <r>
    <n v="18594"/>
    <x v="1"/>
    <x v="0"/>
    <n v="80000"/>
    <s v="Medium Income"/>
    <x v="1"/>
    <x v="0"/>
    <x v="0"/>
    <s v="Yes"/>
    <n v="3"/>
    <x v="4"/>
    <x v="2"/>
    <n v="40"/>
    <x v="0"/>
    <x v="1"/>
  </r>
  <r>
    <n v="15982"/>
    <x v="0"/>
    <x v="1"/>
    <n v="110000"/>
    <s v="Medium Income"/>
    <x v="2"/>
    <x v="1"/>
    <x v="2"/>
    <s v="Yes"/>
    <n v="4"/>
    <x v="1"/>
    <x v="2"/>
    <n v="46"/>
    <x v="0"/>
    <x v="0"/>
  </r>
  <r>
    <n v="28625"/>
    <x v="1"/>
    <x v="1"/>
    <n v="40000"/>
    <s v="Low Income"/>
    <x v="4"/>
    <x v="1"/>
    <x v="1"/>
    <s v="No"/>
    <n v="1"/>
    <x v="3"/>
    <x v="2"/>
    <n v="47"/>
    <x v="0"/>
    <x v="1"/>
  </r>
  <r>
    <n v="11269"/>
    <x v="0"/>
    <x v="1"/>
    <n v="130000"/>
    <s v="High Income"/>
    <x v="4"/>
    <x v="4"/>
    <x v="4"/>
    <s v="Yes"/>
    <n v="2"/>
    <x v="0"/>
    <x v="2"/>
    <n v="41"/>
    <x v="0"/>
    <x v="0"/>
  </r>
  <r>
    <n v="25148"/>
    <x v="0"/>
    <x v="1"/>
    <n v="60000"/>
    <s v="Low Income"/>
    <x v="4"/>
    <x v="2"/>
    <x v="2"/>
    <s v="No"/>
    <n v="2"/>
    <x v="3"/>
    <x v="2"/>
    <n v="48"/>
    <x v="0"/>
    <x v="1"/>
  </r>
  <r>
    <n v="13920"/>
    <x v="1"/>
    <x v="0"/>
    <n v="50000"/>
    <s v="Low Income"/>
    <x v="5"/>
    <x v="0"/>
    <x v="0"/>
    <s v="Yes"/>
    <n v="2"/>
    <x v="0"/>
    <x v="2"/>
    <n v="42"/>
    <x v="0"/>
    <x v="0"/>
  </r>
  <r>
    <n v="23704"/>
    <x v="1"/>
    <x v="1"/>
    <n v="40000"/>
    <s v="Low Income"/>
    <x v="2"/>
    <x v="2"/>
    <x v="2"/>
    <s v="Yes"/>
    <n v="4"/>
    <x v="4"/>
    <x v="2"/>
    <n v="60"/>
    <x v="1"/>
    <x v="1"/>
  </r>
  <r>
    <n v="28972"/>
    <x v="1"/>
    <x v="0"/>
    <n v="60000"/>
    <s v="Low Income"/>
    <x v="1"/>
    <x v="4"/>
    <x v="4"/>
    <s v="Yes"/>
    <n v="2"/>
    <x v="4"/>
    <x v="2"/>
    <n v="66"/>
    <x v="1"/>
    <x v="0"/>
  </r>
  <r>
    <n v="22730"/>
    <x v="0"/>
    <x v="1"/>
    <n v="70000"/>
    <s v="Medium Income"/>
    <x v="2"/>
    <x v="0"/>
    <x v="4"/>
    <s v="Yes"/>
    <n v="2"/>
    <x v="4"/>
    <x v="2"/>
    <n v="63"/>
    <x v="1"/>
    <x v="0"/>
  </r>
  <r>
    <n v="29134"/>
    <x v="0"/>
    <x v="1"/>
    <n v="60000"/>
    <s v="Low Income"/>
    <x v="5"/>
    <x v="0"/>
    <x v="0"/>
    <s v="No"/>
    <n v="3"/>
    <x v="4"/>
    <x v="2"/>
    <n v="42"/>
    <x v="0"/>
    <x v="0"/>
  </r>
  <r>
    <n v="14332"/>
    <x v="1"/>
    <x v="0"/>
    <n v="30000"/>
    <s v="Low Income"/>
    <x v="3"/>
    <x v="2"/>
    <x v="0"/>
    <s v="No"/>
    <n v="2"/>
    <x v="2"/>
    <x v="2"/>
    <n v="26"/>
    <x v="3"/>
    <x v="0"/>
  </r>
  <r>
    <n v="19117"/>
    <x v="1"/>
    <x v="0"/>
    <n v="60000"/>
    <s v="Low Income"/>
    <x v="0"/>
    <x v="4"/>
    <x v="2"/>
    <s v="Yes"/>
    <n v="0"/>
    <x v="1"/>
    <x v="2"/>
    <n v="36"/>
    <x v="2"/>
    <x v="1"/>
  </r>
  <r>
    <n v="22864"/>
    <x v="0"/>
    <x v="1"/>
    <n v="90000"/>
    <s v="Medium Income"/>
    <x v="4"/>
    <x v="1"/>
    <x v="2"/>
    <s v="No"/>
    <n v="0"/>
    <x v="2"/>
    <x v="2"/>
    <n v="49"/>
    <x v="0"/>
    <x v="1"/>
  </r>
  <r>
    <n v="11292"/>
    <x v="1"/>
    <x v="1"/>
    <n v="150000"/>
    <s v="High Income"/>
    <x v="0"/>
    <x v="1"/>
    <x v="2"/>
    <s v="No"/>
    <n v="3"/>
    <x v="0"/>
    <x v="2"/>
    <n v="44"/>
    <x v="0"/>
    <x v="1"/>
  </r>
  <r>
    <n v="13466"/>
    <x v="0"/>
    <x v="1"/>
    <n v="80000"/>
    <s v="Medium Income"/>
    <x v="2"/>
    <x v="1"/>
    <x v="2"/>
    <s v="Yes"/>
    <n v="3"/>
    <x v="3"/>
    <x v="2"/>
    <n v="46"/>
    <x v="0"/>
    <x v="0"/>
  </r>
  <r>
    <n v="23731"/>
    <x v="0"/>
    <x v="1"/>
    <n v="60000"/>
    <s v="Low Income"/>
    <x v="4"/>
    <x v="2"/>
    <x v="2"/>
    <s v="Yes"/>
    <n v="2"/>
    <x v="1"/>
    <x v="2"/>
    <n v="54"/>
    <x v="0"/>
    <x v="1"/>
  </r>
  <r>
    <n v="28672"/>
    <x v="1"/>
    <x v="1"/>
    <n v="70000"/>
    <s v="Medium Income"/>
    <x v="5"/>
    <x v="4"/>
    <x v="2"/>
    <s v="Yes"/>
    <n v="0"/>
    <x v="1"/>
    <x v="2"/>
    <n v="35"/>
    <x v="2"/>
    <x v="1"/>
  </r>
  <r>
    <n v="11809"/>
    <x v="0"/>
    <x v="1"/>
    <n v="60000"/>
    <s v="Low Income"/>
    <x v="4"/>
    <x v="0"/>
    <x v="0"/>
    <s v="Yes"/>
    <n v="0"/>
    <x v="0"/>
    <x v="2"/>
    <n v="38"/>
    <x v="2"/>
    <x v="1"/>
  </r>
  <r>
    <n v="19664"/>
    <x v="1"/>
    <x v="1"/>
    <n v="100000"/>
    <s v="Medium Income"/>
    <x v="1"/>
    <x v="0"/>
    <x v="4"/>
    <s v="No"/>
    <n v="3"/>
    <x v="3"/>
    <x v="2"/>
    <n v="38"/>
    <x v="2"/>
    <x v="0"/>
  </r>
  <r>
    <n v="12121"/>
    <x v="1"/>
    <x v="1"/>
    <n v="60000"/>
    <s v="Low Income"/>
    <x v="1"/>
    <x v="2"/>
    <x v="2"/>
    <s v="Yes"/>
    <n v="2"/>
    <x v="4"/>
    <x v="2"/>
    <n v="53"/>
    <x v="0"/>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s v="Low Income"/>
    <n v="1"/>
    <s v="Bachelors"/>
    <s v="Skilled Manual"/>
    <s v="Yes"/>
    <n v="0"/>
    <s v="0-1 Miles"/>
    <x v="0"/>
    <n v="42"/>
    <s v="Middle-Aged"/>
    <s v="No"/>
    <n v="0"/>
    <n v="1"/>
  </r>
  <r>
    <n v="24107"/>
    <s v="Married"/>
    <s v="Male"/>
    <n v="30000"/>
    <s v="Low Income"/>
    <n v="3"/>
    <s v="Partial College"/>
    <s v="Clerical"/>
    <s v="Yes"/>
    <n v="1"/>
    <s v="0-1 Miles"/>
    <x v="0"/>
    <n v="43"/>
    <s v="Middle-Aged"/>
    <s v="No"/>
    <n v="0"/>
    <n v="1"/>
  </r>
  <r>
    <n v="14177"/>
    <s v="Married"/>
    <s v="Male"/>
    <n v="80000"/>
    <s v="Medium Income"/>
    <n v="5"/>
    <s v="Partial College"/>
    <s v="Professional"/>
    <s v="No"/>
    <n v="2"/>
    <s v="2-5 Miles"/>
    <x v="0"/>
    <n v="60"/>
    <s v="Seniors"/>
    <s v="No"/>
    <n v="0"/>
    <n v="1"/>
  </r>
  <r>
    <n v="24381"/>
    <s v="Single"/>
    <s v="Male"/>
    <n v="70000"/>
    <s v="Medium Income"/>
    <n v="0"/>
    <s v="Bachelors"/>
    <s v="Professional"/>
    <s v="Yes"/>
    <n v="1"/>
    <s v="5-10 Miles"/>
    <x v="1"/>
    <n v="41"/>
    <s v="Middle-Aged"/>
    <s v="Yes"/>
    <n v="1"/>
    <n v="1"/>
  </r>
  <r>
    <n v="25597"/>
    <s v="Single"/>
    <s v="Male"/>
    <n v="30000"/>
    <s v="Low Income"/>
    <n v="0"/>
    <s v="Bachelors"/>
    <s v="Clerical"/>
    <s v="No"/>
    <n v="0"/>
    <s v="0-1 Miles"/>
    <x v="0"/>
    <n v="36"/>
    <s v="Adults"/>
    <s v="Yes"/>
    <n v="1"/>
    <n v="1"/>
  </r>
  <r>
    <n v="13507"/>
    <s v="Married"/>
    <s v="Female"/>
    <n v="10000"/>
    <s v="Low Income"/>
    <n v="2"/>
    <s v="Partial College"/>
    <s v="Manual"/>
    <s v="Yes"/>
    <n v="0"/>
    <s v="1-2 Miles"/>
    <x v="0"/>
    <n v="50"/>
    <s v="Middle-Aged"/>
    <s v="No"/>
    <n v="0"/>
    <n v="1"/>
  </r>
  <r>
    <n v="27974"/>
    <s v="Single"/>
    <s v="Male"/>
    <n v="160000"/>
    <s v="High Income"/>
    <n v="2"/>
    <s v="High School"/>
    <s v="Management"/>
    <s v="Yes"/>
    <n v="4"/>
    <s v="0-1 Miles"/>
    <x v="1"/>
    <n v="33"/>
    <s v="Adults"/>
    <s v="Yes"/>
    <n v="1"/>
    <n v="1"/>
  </r>
  <r>
    <n v="19364"/>
    <s v="Married"/>
    <s v="Male"/>
    <n v="40000"/>
    <s v="Low Income"/>
    <n v="1"/>
    <s v="Bachelors"/>
    <s v="Skilled Manual"/>
    <s v="Yes"/>
    <n v="0"/>
    <s v="0-1 Miles"/>
    <x v="0"/>
    <n v="43"/>
    <s v="Middle-Aged"/>
    <s v="Yes"/>
    <n v="1"/>
    <n v="1"/>
  </r>
  <r>
    <n v="22155"/>
    <s v="Married"/>
    <s v="Male"/>
    <n v="20000"/>
    <s v="Low Income"/>
    <n v="2"/>
    <s v="Partial High School"/>
    <s v="Clerical"/>
    <s v="Yes"/>
    <n v="2"/>
    <s v="5-10 Miles"/>
    <x v="1"/>
    <n v="58"/>
    <s v="Middle-Aged"/>
    <s v="No"/>
    <n v="0"/>
    <n v="1"/>
  </r>
  <r>
    <n v="19280"/>
    <s v="Married"/>
    <s v="Male"/>
    <n v="120000"/>
    <s v="Medium Income"/>
    <n v="2"/>
    <s v="Partial College"/>
    <s v="Manual"/>
    <s v="Yes"/>
    <n v="1"/>
    <s v="0-1 Miles"/>
    <x v="0"/>
    <n v="40"/>
    <s v="Middle-Aged"/>
    <s v="Yes"/>
    <n v="1"/>
    <n v="1"/>
  </r>
  <r>
    <n v="22173"/>
    <s v="Married"/>
    <s v="Female"/>
    <n v="30000"/>
    <s v="Low Income"/>
    <n v="3"/>
    <s v="High School"/>
    <s v="Skilled Manual"/>
    <s v="No"/>
    <n v="2"/>
    <s v="1-2 Miles"/>
    <x v="1"/>
    <n v="54"/>
    <s v="Middle-Aged"/>
    <s v="Yes"/>
    <n v="1"/>
    <n v="1"/>
  </r>
  <r>
    <n v="12697"/>
    <s v="Single"/>
    <s v="Female"/>
    <n v="90000"/>
    <s v="Medium Income"/>
    <n v="0"/>
    <s v="Bachelors"/>
    <s v="Professional"/>
    <s v="No"/>
    <n v="4"/>
    <s v="More than 10 Miles"/>
    <x v="1"/>
    <n v="36"/>
    <s v="Adults"/>
    <s v="No"/>
    <n v="0"/>
    <n v="1"/>
  </r>
  <r>
    <n v="11434"/>
    <s v="Married"/>
    <s v="Male"/>
    <n v="170000"/>
    <s v="High Income"/>
    <n v="5"/>
    <s v="Partial College"/>
    <s v="Professional"/>
    <s v="Yes"/>
    <n v="0"/>
    <s v="0-1 Miles"/>
    <x v="0"/>
    <n v="55"/>
    <s v="Middle-Aged"/>
    <s v="No"/>
    <n v="0"/>
    <n v="1"/>
  </r>
  <r>
    <n v="25323"/>
    <s v="Married"/>
    <s v="Male"/>
    <n v="40000"/>
    <s v="Low Income"/>
    <n v="2"/>
    <s v="Partial College"/>
    <s v="Clerical"/>
    <s v="Yes"/>
    <n v="1"/>
    <s v="1-2 Miles"/>
    <x v="0"/>
    <n v="35"/>
    <s v="Adults"/>
    <s v="Yes"/>
    <n v="1"/>
    <n v="1"/>
  </r>
  <r>
    <n v="23542"/>
    <s v="Single"/>
    <s v="Male"/>
    <n v="60000"/>
    <s v="Low Income"/>
    <n v="1"/>
    <s v="Partial College"/>
    <s v="Skilled Manual"/>
    <s v="No"/>
    <n v="1"/>
    <s v="0-1 Miles"/>
    <x v="1"/>
    <n v="45"/>
    <s v="Middle-Aged"/>
    <s v="Yes"/>
    <n v="1"/>
    <n v="1"/>
  </r>
  <r>
    <n v="20870"/>
    <s v="Single"/>
    <s v="Female"/>
    <n v="10000"/>
    <s v="Low Income"/>
    <n v="2"/>
    <s v="High School"/>
    <s v="Manual"/>
    <s v="Yes"/>
    <n v="1"/>
    <s v="0-1 Miles"/>
    <x v="0"/>
    <n v="38"/>
    <s v="Adults"/>
    <s v="Yes"/>
    <n v="1"/>
    <n v="1"/>
  </r>
  <r>
    <n v="23316"/>
    <s v="Single"/>
    <s v="Male"/>
    <n v="30000"/>
    <s v="Low Income"/>
    <n v="3"/>
    <s v="Partial College"/>
    <s v="Clerical"/>
    <s v="No"/>
    <n v="2"/>
    <s v="1-2 Miles"/>
    <x v="1"/>
    <n v="59"/>
    <s v="Middle-Aged"/>
    <s v="Yes"/>
    <n v="1"/>
    <n v="1"/>
  </r>
  <r>
    <n v="12610"/>
    <s v="Married"/>
    <s v="Female"/>
    <n v="30000"/>
    <s v="Low Income"/>
    <n v="1"/>
    <s v="Bachelors"/>
    <s v="Clerical"/>
    <s v="Yes"/>
    <n v="0"/>
    <s v="0-1 Miles"/>
    <x v="0"/>
    <n v="47"/>
    <s v="Middle-Aged"/>
    <s v="No"/>
    <n v="0"/>
    <n v="1"/>
  </r>
  <r>
    <n v="27183"/>
    <s v="Single"/>
    <s v="Male"/>
    <n v="40000"/>
    <s v="Low Income"/>
    <n v="2"/>
    <s v="Partial College"/>
    <s v="Clerical"/>
    <s v="Yes"/>
    <n v="1"/>
    <s v="1-2 Miles"/>
    <x v="0"/>
    <n v="35"/>
    <s v="Adults"/>
    <s v="Yes"/>
    <n v="1"/>
    <n v="1"/>
  </r>
  <r>
    <n v="25940"/>
    <s v="Single"/>
    <s v="Male"/>
    <n v="20000"/>
    <s v="Low Income"/>
    <n v="2"/>
    <s v="Partial High School"/>
    <s v="Clerical"/>
    <s v="Yes"/>
    <n v="2"/>
    <s v="5-10 Miles"/>
    <x v="1"/>
    <n v="55"/>
    <s v="Middle-Aged"/>
    <s v="Yes"/>
    <n v="1"/>
    <n v="1"/>
  </r>
  <r>
    <n v="25598"/>
    <s v="Married"/>
    <s v="Female"/>
    <n v="40000"/>
    <s v="Low Income"/>
    <n v="0"/>
    <s v="Graduate Degree"/>
    <s v="Clerical"/>
    <s v="Yes"/>
    <n v="0"/>
    <s v="0-1 Miles"/>
    <x v="0"/>
    <n v="36"/>
    <s v="Adults"/>
    <s v="Yes"/>
    <n v="1"/>
    <n v="1"/>
  </r>
  <r>
    <n v="21564"/>
    <s v="Single"/>
    <s v="Female"/>
    <n v="80000"/>
    <s v="Medium Income"/>
    <n v="0"/>
    <s v="Bachelors"/>
    <s v="Professional"/>
    <s v="Yes"/>
    <n v="4"/>
    <s v="More than 10 Miles"/>
    <x v="1"/>
    <n v="35"/>
    <s v="Adults"/>
    <s v="No"/>
    <n v="0"/>
    <n v="1"/>
  </r>
  <r>
    <n v="19193"/>
    <s v="Single"/>
    <s v="Male"/>
    <n v="40000"/>
    <s v="Low Income"/>
    <n v="2"/>
    <s v="Partial College"/>
    <s v="Clerical"/>
    <s v="Yes"/>
    <n v="0"/>
    <s v="1-2 Miles"/>
    <x v="0"/>
    <n v="35"/>
    <s v="Adults"/>
    <s v="Yes"/>
    <n v="1"/>
    <n v="1"/>
  </r>
  <r>
    <n v="26412"/>
    <s v="Married"/>
    <s v="Female"/>
    <n v="80000"/>
    <s v="Medium Income"/>
    <n v="5"/>
    <s v="High School"/>
    <s v="Management"/>
    <s v="No"/>
    <n v="3"/>
    <s v="5-10 Miles"/>
    <x v="0"/>
    <n v="56"/>
    <s v="Middle-Aged"/>
    <s v="No"/>
    <n v="0"/>
    <n v="1"/>
  </r>
  <r>
    <n v="27184"/>
    <s v="Single"/>
    <s v="Male"/>
    <n v="40000"/>
    <s v="Low Income"/>
    <n v="2"/>
    <s v="Partial College"/>
    <s v="Clerical"/>
    <s v="No"/>
    <n v="1"/>
    <s v="0-1 Miles"/>
    <x v="0"/>
    <n v="34"/>
    <s v="Adults"/>
    <s v="No"/>
    <n v="0"/>
    <n v="1"/>
  </r>
  <r>
    <n v="12590"/>
    <s v="Single"/>
    <s v="Male"/>
    <n v="30000"/>
    <s v="Low Income"/>
    <n v="1"/>
    <s v="Bachelors"/>
    <s v="Clerical"/>
    <s v="Yes"/>
    <n v="0"/>
    <s v="0-1 Miles"/>
    <x v="0"/>
    <n v="63"/>
    <s v="Seniors"/>
    <s v="No"/>
    <n v="0"/>
    <n v="1"/>
  </r>
  <r>
    <n v="17841"/>
    <s v="Single"/>
    <s v="Male"/>
    <n v="30000"/>
    <s v="Low Income"/>
    <n v="0"/>
    <s v="Partial College"/>
    <s v="Clerical"/>
    <s v="No"/>
    <n v="1"/>
    <s v="0-1 Miles"/>
    <x v="0"/>
    <n v="29"/>
    <s v="Young Adults"/>
    <s v="Yes"/>
    <n v="1"/>
    <n v="1"/>
  </r>
  <r>
    <n v="18283"/>
    <s v="Single"/>
    <s v="Female"/>
    <n v="100000"/>
    <s v="Medium Income"/>
    <n v="0"/>
    <s v="Bachelors"/>
    <s v="Professional"/>
    <s v="No"/>
    <n v="1"/>
    <s v="5-10 Miles"/>
    <x v="1"/>
    <n v="40"/>
    <s v="Middle-Aged"/>
    <s v="No"/>
    <n v="0"/>
    <n v="1"/>
  </r>
  <r>
    <n v="18299"/>
    <s v="Married"/>
    <s v="Male"/>
    <n v="70000"/>
    <s v="Medium Income"/>
    <n v="5"/>
    <s v="Partial College"/>
    <s v="Skilled Manual"/>
    <s v="Yes"/>
    <n v="2"/>
    <s v="5-10 Miles"/>
    <x v="1"/>
    <n v="44"/>
    <s v="Middle-Aged"/>
    <s v="No"/>
    <n v="0"/>
    <n v="1"/>
  </r>
  <r>
    <n v="16466"/>
    <s v="Single"/>
    <s v="Female"/>
    <n v="20000"/>
    <s v="Low Income"/>
    <n v="0"/>
    <s v="Partial High School"/>
    <s v="Manual"/>
    <s v="No"/>
    <n v="2"/>
    <s v="0-1 Miles"/>
    <x v="0"/>
    <n v="32"/>
    <s v="Adults"/>
    <s v="Yes"/>
    <n v="1"/>
    <n v="1"/>
  </r>
  <r>
    <n v="19273"/>
    <s v="Married"/>
    <s v="Female"/>
    <n v="20000"/>
    <s v="Low Income"/>
    <n v="2"/>
    <s v="Partial College"/>
    <s v="Manual"/>
    <s v="Yes"/>
    <n v="0"/>
    <s v="0-1 Miles"/>
    <x v="0"/>
    <n v="63"/>
    <s v="Seniors"/>
    <s v="No"/>
    <n v="0"/>
    <n v="1"/>
  </r>
  <r>
    <n v="22400"/>
    <s v="Married"/>
    <s v="Male"/>
    <n v="10000"/>
    <s v="Low Income"/>
    <n v="0"/>
    <s v="Partial College"/>
    <s v="Manual"/>
    <s v="No"/>
    <n v="1"/>
    <s v="0-1 Miles"/>
    <x v="1"/>
    <n v="26"/>
    <s v="Young Adults"/>
    <s v="Yes"/>
    <n v="1"/>
    <n v="1"/>
  </r>
  <r>
    <n v="20942"/>
    <s v="Single"/>
    <s v="Female"/>
    <n v="20000"/>
    <s v="Low Income"/>
    <n v="0"/>
    <s v="High School"/>
    <s v="Manual"/>
    <s v="No"/>
    <n v="1"/>
    <s v="5-10 Miles"/>
    <x v="0"/>
    <n v="31"/>
    <s v="Adults"/>
    <s v="No"/>
    <n v="0"/>
    <n v="1"/>
  </r>
  <r>
    <n v="18484"/>
    <s v="Single"/>
    <s v="Male"/>
    <n v="80000"/>
    <s v="Medium Income"/>
    <n v="2"/>
    <s v="High School"/>
    <s v="Skilled Manual"/>
    <s v="No"/>
    <n v="2"/>
    <s v="1-2 Miles"/>
    <x v="1"/>
    <n v="50"/>
    <s v="Middle-Aged"/>
    <s v="Yes"/>
    <n v="1"/>
    <n v="1"/>
  </r>
  <r>
    <n v="12291"/>
    <s v="Single"/>
    <s v="Male"/>
    <n v="90000"/>
    <s v="Medium Income"/>
    <n v="5"/>
    <s v="Partial College"/>
    <s v="Professional"/>
    <s v="No"/>
    <n v="2"/>
    <s v="2-5 Miles"/>
    <x v="0"/>
    <n v="62"/>
    <s v="Seniors"/>
    <s v="Yes"/>
    <n v="1"/>
    <n v="1"/>
  </r>
  <r>
    <n v="28380"/>
    <s v="Single"/>
    <s v="Female"/>
    <n v="10000"/>
    <s v="Low Income"/>
    <n v="5"/>
    <s v="Partial High School"/>
    <s v="Manual"/>
    <s v="No"/>
    <n v="2"/>
    <s v="0-1 Miles"/>
    <x v="0"/>
    <n v="41"/>
    <s v="Middle-Aged"/>
    <s v="No"/>
    <n v="0"/>
    <n v="1"/>
  </r>
  <r>
    <n v="17891"/>
    <s v="Married"/>
    <s v="Female"/>
    <n v="10000"/>
    <s v="Low Income"/>
    <n v="2"/>
    <s v="Partial College"/>
    <s v="Manual"/>
    <s v="Yes"/>
    <n v="1"/>
    <s v="0-1 Miles"/>
    <x v="0"/>
    <n v="50"/>
    <s v="Middle-Aged"/>
    <s v="Yes"/>
    <n v="1"/>
    <n v="1"/>
  </r>
  <r>
    <n v="27832"/>
    <s v="Single"/>
    <s v="Female"/>
    <n v="30000"/>
    <s v="Low Income"/>
    <n v="0"/>
    <s v="Partial College"/>
    <s v="Clerical"/>
    <s v="No"/>
    <n v="1"/>
    <s v="2-5 Miles"/>
    <x v="0"/>
    <n v="30"/>
    <s v="Adults"/>
    <s v="No"/>
    <n v="0"/>
    <n v="1"/>
  </r>
  <r>
    <n v="26863"/>
    <s v="Single"/>
    <s v="Male"/>
    <n v="20000"/>
    <s v="Low Income"/>
    <n v="0"/>
    <s v="High School"/>
    <s v="Manual"/>
    <s v="No"/>
    <n v="1"/>
    <s v="2-5 Miles"/>
    <x v="0"/>
    <n v="28"/>
    <s v="Young Adults"/>
    <s v="No"/>
    <n v="0"/>
    <n v="1"/>
  </r>
  <r>
    <n v="16259"/>
    <s v="Single"/>
    <s v="Female"/>
    <n v="10000"/>
    <s v="Low Income"/>
    <n v="4"/>
    <s v="Partial High School"/>
    <s v="Manual"/>
    <s v="Yes"/>
    <n v="2"/>
    <s v="0-1 Miles"/>
    <x v="0"/>
    <n v="40"/>
    <s v="Middle-Aged"/>
    <s v="Yes"/>
    <n v="1"/>
    <n v="1"/>
  </r>
  <r>
    <n v="27803"/>
    <s v="Single"/>
    <s v="Female"/>
    <n v="30000"/>
    <s v="Low Income"/>
    <n v="2"/>
    <s v="Partial College"/>
    <s v="Clerical"/>
    <s v="No"/>
    <n v="0"/>
    <s v="0-1 Miles"/>
    <x v="0"/>
    <n v="43"/>
    <s v="Middle-Aged"/>
    <s v="No"/>
    <n v="0"/>
    <n v="1"/>
  </r>
  <r>
    <n v="14347"/>
    <s v="Single"/>
    <s v="Female"/>
    <n v="40000"/>
    <s v="Low Income"/>
    <n v="2"/>
    <s v="Bachelors"/>
    <s v="Management"/>
    <s v="Yes"/>
    <n v="2"/>
    <s v="5-10 Miles"/>
    <x v="1"/>
    <n v="65"/>
    <s v="Seniors"/>
    <s v="Yes"/>
    <n v="1"/>
    <n v="1"/>
  </r>
  <r>
    <n v="17703"/>
    <s v="Married"/>
    <s v="Female"/>
    <n v="10000"/>
    <s v="Low Income"/>
    <n v="1"/>
    <s v="Graduate Degree"/>
    <s v="Manual"/>
    <s v="Yes"/>
    <n v="0"/>
    <s v="0-1 Miles"/>
    <x v="0"/>
    <n v="40"/>
    <s v="Middle-Aged"/>
    <s v="No"/>
    <n v="0"/>
    <n v="1"/>
  </r>
  <r>
    <n v="17185"/>
    <s v="Married"/>
    <s v="Female"/>
    <n v="170000"/>
    <s v="High Income"/>
    <n v="4"/>
    <s v="Partial College"/>
    <s v="Professional"/>
    <s v="No"/>
    <n v="3"/>
    <s v="5-10 Miles"/>
    <x v="0"/>
    <n v="48"/>
    <s v="Middle-Aged"/>
    <s v="Yes"/>
    <n v="1"/>
    <n v="1"/>
  </r>
  <r>
    <n v="29380"/>
    <s v="Married"/>
    <s v="Female"/>
    <n v="20000"/>
    <s v="Low Income"/>
    <n v="3"/>
    <s v="High School"/>
    <s v="Manual"/>
    <s v="Yes"/>
    <n v="0"/>
    <s v="0-1 Miles"/>
    <x v="0"/>
    <n v="41"/>
    <s v="Middle-Aged"/>
    <s v="Yes"/>
    <n v="1"/>
    <n v="1"/>
  </r>
  <r>
    <n v="23986"/>
    <s v="Married"/>
    <s v="Female"/>
    <n v="20000"/>
    <s v="Low Income"/>
    <n v="1"/>
    <s v="Bachelors"/>
    <s v="Clerical"/>
    <s v="Yes"/>
    <n v="0"/>
    <s v="0-1 Miles"/>
    <x v="0"/>
    <n v="66"/>
    <s v="Seniors"/>
    <s v="Yes"/>
    <n v="1"/>
    <n v="1"/>
  </r>
  <r>
    <n v="24466"/>
    <s v="Married"/>
    <s v="Female"/>
    <n v="60000"/>
    <s v="Low Income"/>
    <n v="1"/>
    <s v="Partial College"/>
    <s v="Skilled Manual"/>
    <s v="Yes"/>
    <n v="1"/>
    <s v="5-10 Miles"/>
    <x v="1"/>
    <n v="46"/>
    <s v="Middle-Aged"/>
    <s v="Yes"/>
    <n v="1"/>
    <n v="1"/>
  </r>
  <r>
    <n v="29097"/>
    <s v="Single"/>
    <s v="Female"/>
    <n v="40000"/>
    <s v="Low Income"/>
    <n v="2"/>
    <s v="Partial College"/>
    <s v="Skilled Manual"/>
    <s v="Yes"/>
    <n v="2"/>
    <s v="5-10 Miles"/>
    <x v="1"/>
    <n v="52"/>
    <s v="Middle-Aged"/>
    <s v="Yes"/>
    <n v="1"/>
    <n v="1"/>
  </r>
  <r>
    <n v="19487"/>
    <s v="Married"/>
    <s v="Male"/>
    <n v="30000"/>
    <s v="Low Income"/>
    <n v="2"/>
    <s v="Partial College"/>
    <s v="Clerical"/>
    <s v="No"/>
    <n v="2"/>
    <s v="0-1 Miles"/>
    <x v="0"/>
    <n v="42"/>
    <s v="Middle-Aged"/>
    <s v="No"/>
    <n v="0"/>
    <n v="1"/>
  </r>
  <r>
    <n v="14939"/>
    <s v="Single"/>
    <s v="Male"/>
    <n v="40000"/>
    <s v="Low Income"/>
    <n v="0"/>
    <s v="Bachelors"/>
    <s v="Clerical"/>
    <s v="Yes"/>
    <n v="0"/>
    <s v="0-1 Miles"/>
    <x v="0"/>
    <n v="39"/>
    <s v="Adults"/>
    <s v="Yes"/>
    <n v="1"/>
    <n v="1"/>
  </r>
  <r>
    <n v="13826"/>
    <s v="Single"/>
    <s v="Female"/>
    <n v="30000"/>
    <s v="Low Income"/>
    <n v="0"/>
    <s v="Partial College"/>
    <s v="Clerical"/>
    <s v="No"/>
    <n v="1"/>
    <s v="0-1 Miles"/>
    <x v="0"/>
    <n v="28"/>
    <s v="Young Adults"/>
    <s v="No"/>
    <n v="0"/>
    <n v="1"/>
  </r>
  <r>
    <n v="20619"/>
    <s v="Single"/>
    <s v="Male"/>
    <n v="80000"/>
    <s v="Medium Income"/>
    <n v="0"/>
    <s v="Bachelors"/>
    <s v="Professional"/>
    <s v="No"/>
    <n v="4"/>
    <s v="More than 10 Miles"/>
    <x v="1"/>
    <n v="35"/>
    <s v="Adults"/>
    <s v="No"/>
    <n v="0"/>
    <n v="1"/>
  </r>
  <r>
    <n v="12558"/>
    <s v="Married"/>
    <s v="Female"/>
    <n v="20000"/>
    <s v="Low Income"/>
    <n v="1"/>
    <s v="Bachelors"/>
    <s v="Clerical"/>
    <s v="Yes"/>
    <n v="0"/>
    <s v="0-1 Miles"/>
    <x v="0"/>
    <n v="65"/>
    <s v="Seniors"/>
    <s v="No"/>
    <n v="0"/>
    <n v="1"/>
  </r>
  <r>
    <n v="24871"/>
    <s v="Single"/>
    <s v="Female"/>
    <n v="90000"/>
    <s v="Medium Income"/>
    <n v="4"/>
    <s v="High School"/>
    <s v="Management"/>
    <s v="No"/>
    <n v="3"/>
    <s v="5-10 Miles"/>
    <x v="0"/>
    <n v="56"/>
    <s v="Middle-Aged"/>
    <s v="No"/>
    <n v="0"/>
    <n v="1"/>
  </r>
  <r>
    <n v="17319"/>
    <s v="Single"/>
    <s v="Female"/>
    <n v="70000"/>
    <s v="Medium Income"/>
    <n v="0"/>
    <s v="Bachelors"/>
    <s v="Professional"/>
    <s v="No"/>
    <n v="1"/>
    <s v="5-10 Miles"/>
    <x v="1"/>
    <n v="42"/>
    <s v="Middle-Aged"/>
    <s v="No"/>
    <n v="0"/>
    <n v="1"/>
  </r>
  <r>
    <n v="28906"/>
    <s v="Married"/>
    <s v="Male"/>
    <n v="80000"/>
    <s v="Medium Income"/>
    <n v="4"/>
    <s v="High School"/>
    <s v="Professional"/>
    <s v="Yes"/>
    <n v="2"/>
    <s v="More than 10 Miles"/>
    <x v="0"/>
    <n v="54"/>
    <s v="Middle-Aged"/>
    <s v="No"/>
    <n v="0"/>
    <n v="1"/>
  </r>
  <r>
    <n v="12808"/>
    <s v="Married"/>
    <s v="Male"/>
    <n v="40000"/>
    <s v="Low Income"/>
    <n v="0"/>
    <s v="Bachelors"/>
    <s v="Clerical"/>
    <s v="Yes"/>
    <n v="0"/>
    <s v="0-1 Miles"/>
    <x v="0"/>
    <n v="38"/>
    <s v="Adults"/>
    <s v="Yes"/>
    <n v="1"/>
    <n v="1"/>
  </r>
  <r>
    <n v="20567"/>
    <s v="Married"/>
    <s v="Male"/>
    <n v="130000"/>
    <s v="High Income"/>
    <n v="4"/>
    <s v="Partial College"/>
    <s v="Professional"/>
    <s v="No"/>
    <n v="4"/>
    <s v="5-10 Miles"/>
    <x v="0"/>
    <n v="61"/>
    <s v="Seniors"/>
    <s v="Yes"/>
    <n v="1"/>
    <n v="1"/>
  </r>
  <r>
    <n v="25502"/>
    <s v="Married"/>
    <s v="Female"/>
    <n v="40000"/>
    <s v="Low Income"/>
    <n v="1"/>
    <s v="Bachelors"/>
    <s v="Skilled Manual"/>
    <s v="Yes"/>
    <n v="0"/>
    <s v="0-1 Miles"/>
    <x v="0"/>
    <n v="43"/>
    <s v="Middle-Aged"/>
    <s v="Yes"/>
    <n v="1"/>
    <n v="1"/>
  </r>
  <r>
    <n v="15580"/>
    <s v="Married"/>
    <s v="Male"/>
    <n v="60000"/>
    <s v="Low Income"/>
    <n v="2"/>
    <s v="Bachelors"/>
    <s v="Professional"/>
    <s v="Yes"/>
    <n v="1"/>
    <s v="2-5 Miles"/>
    <x v="1"/>
    <n v="38"/>
    <s v="Adults"/>
    <s v="Yes"/>
    <n v="1"/>
    <n v="1"/>
  </r>
  <r>
    <n v="24185"/>
    <s v="Single"/>
    <s v="Female"/>
    <n v="10000"/>
    <s v="Low Income"/>
    <n v="1"/>
    <s v="High School"/>
    <s v="Manual"/>
    <s v="No"/>
    <n v="1"/>
    <s v="1-2 Miles"/>
    <x v="0"/>
    <n v="45"/>
    <s v="Middle-Aged"/>
    <s v="No"/>
    <n v="0"/>
    <n v="1"/>
  </r>
  <r>
    <n v="19291"/>
    <s v="Single"/>
    <s v="Female"/>
    <n v="10000"/>
    <s v="Low Income"/>
    <n v="2"/>
    <s v="High School"/>
    <s v="Manual"/>
    <s v="Yes"/>
    <n v="0"/>
    <s v="0-1 Miles"/>
    <x v="0"/>
    <n v="35"/>
    <s v="Adults"/>
    <s v="No"/>
    <n v="0"/>
    <n v="1"/>
  </r>
  <r>
    <n v="16713"/>
    <s v="Married"/>
    <s v="Male"/>
    <n v="40000"/>
    <s v="Low Income"/>
    <n v="2"/>
    <s v="Bachelors"/>
    <s v="Management"/>
    <s v="Yes"/>
    <n v="1"/>
    <s v="0-1 Miles"/>
    <x v="1"/>
    <n v="52"/>
    <s v="Middle-Aged"/>
    <s v="Yes"/>
    <n v="1"/>
    <n v="1"/>
  </r>
  <r>
    <n v="16185"/>
    <s v="Single"/>
    <s v="Male"/>
    <n v="60000"/>
    <s v="Low Income"/>
    <n v="4"/>
    <s v="Bachelors"/>
    <s v="Professional"/>
    <s v="Yes"/>
    <n v="3"/>
    <s v="More than 10 Miles"/>
    <x v="1"/>
    <n v="41"/>
    <s v="Middle-Aged"/>
    <s v="No"/>
    <n v="0"/>
    <n v="1"/>
  </r>
  <r>
    <n v="14927"/>
    <s v="Married"/>
    <s v="Female"/>
    <n v="30000"/>
    <s v="Low Income"/>
    <n v="1"/>
    <s v="Bachelors"/>
    <s v="Clerical"/>
    <s v="Yes"/>
    <n v="0"/>
    <s v="0-1 Miles"/>
    <x v="0"/>
    <n v="37"/>
    <s v="Adults"/>
    <s v="Yes"/>
    <n v="1"/>
    <n v="1"/>
  </r>
  <r>
    <n v="29337"/>
    <s v="Single"/>
    <s v="Male"/>
    <n v="30000"/>
    <s v="Low Income"/>
    <n v="2"/>
    <s v="Partial College"/>
    <s v="Clerical"/>
    <s v="Yes"/>
    <n v="2"/>
    <s v="5-10 Miles"/>
    <x v="1"/>
    <n v="68"/>
    <s v="Seniors"/>
    <s v="No"/>
    <n v="0"/>
    <n v="1"/>
  </r>
  <r>
    <n v="29355"/>
    <s v="Married"/>
    <s v="Female"/>
    <n v="40000"/>
    <s v="Low Income"/>
    <n v="0"/>
    <s v="Graduate Degree"/>
    <s v="Clerical"/>
    <s v="Yes"/>
    <n v="0"/>
    <s v="0-1 Miles"/>
    <x v="0"/>
    <n v="37"/>
    <s v="Adults"/>
    <s v="Yes"/>
    <n v="1"/>
    <n v="1"/>
  </r>
  <r>
    <n v="25303"/>
    <s v="Single"/>
    <s v="Male"/>
    <n v="30000"/>
    <s v="Low Income"/>
    <n v="0"/>
    <s v="High School"/>
    <s v="Manual"/>
    <s v="Yes"/>
    <n v="1"/>
    <s v="2-5 Miles"/>
    <x v="0"/>
    <n v="33"/>
    <s v="Adults"/>
    <s v="Yes"/>
    <n v="1"/>
    <n v="1"/>
  </r>
  <r>
    <n v="14813"/>
    <s v="Single"/>
    <s v="Female"/>
    <n v="20000"/>
    <s v="Low Income"/>
    <n v="4"/>
    <s v="High School"/>
    <s v="Manual"/>
    <s v="Yes"/>
    <n v="1"/>
    <s v="0-1 Miles"/>
    <x v="0"/>
    <n v="43"/>
    <s v="Middle-Aged"/>
    <s v="Yes"/>
    <n v="1"/>
    <n v="1"/>
  </r>
  <r>
    <n v="16438"/>
    <s v="Married"/>
    <s v="Female"/>
    <n v="10000"/>
    <s v="Low Income"/>
    <n v="0"/>
    <s v="Partial High School"/>
    <s v="Manual"/>
    <s v="No"/>
    <n v="2"/>
    <s v="0-1 Miles"/>
    <x v="0"/>
    <n v="30"/>
    <s v="Adults"/>
    <s v="No"/>
    <n v="0"/>
    <n v="1"/>
  </r>
  <r>
    <n v="14238"/>
    <s v="Married"/>
    <s v="Male"/>
    <n v="120000"/>
    <s v="Medium Income"/>
    <n v="0"/>
    <s v="Partial High School"/>
    <s v="Professional"/>
    <s v="Yes"/>
    <n v="4"/>
    <s v="More than 10 Miles"/>
    <x v="1"/>
    <n v="36"/>
    <s v="Adults"/>
    <s v="Yes"/>
    <n v="1"/>
    <n v="1"/>
  </r>
  <r>
    <n v="16200"/>
    <s v="Single"/>
    <s v="Female"/>
    <n v="10000"/>
    <s v="Low Income"/>
    <n v="0"/>
    <s v="Partial High School"/>
    <s v="Manual"/>
    <s v="No"/>
    <n v="2"/>
    <s v="0-1 Miles"/>
    <x v="0"/>
    <n v="35"/>
    <s v="Adults"/>
    <s v="No"/>
    <n v="0"/>
    <n v="1"/>
  </r>
  <r>
    <n v="24857"/>
    <s v="Married"/>
    <s v="Female"/>
    <n v="130000"/>
    <s v="High Income"/>
    <n v="3"/>
    <s v="High School"/>
    <s v="Professional"/>
    <s v="Yes"/>
    <n v="4"/>
    <s v="0-1 Miles"/>
    <x v="0"/>
    <n v="52"/>
    <s v="Middle-Aged"/>
    <s v="No"/>
    <n v="0"/>
    <n v="1"/>
  </r>
  <r>
    <n v="26956"/>
    <s v="Single"/>
    <s v="Female"/>
    <n v="20000"/>
    <s v="Low Income"/>
    <n v="0"/>
    <s v="Partial College"/>
    <s v="Manual"/>
    <s v="No"/>
    <n v="1"/>
    <s v="2-5 Miles"/>
    <x v="0"/>
    <n v="36"/>
    <s v="Adults"/>
    <s v="Yes"/>
    <n v="1"/>
    <n v="1"/>
  </r>
  <r>
    <n v="14517"/>
    <s v="Married"/>
    <s v="Female"/>
    <n v="20000"/>
    <s v="Low Income"/>
    <n v="3"/>
    <s v="High School"/>
    <s v="Skilled Manual"/>
    <s v="No"/>
    <n v="2"/>
    <s v="1-2 Miles"/>
    <x v="1"/>
    <n v="62"/>
    <s v="Seniors"/>
    <s v="No"/>
    <n v="0"/>
    <n v="1"/>
  </r>
  <r>
    <n v="12678"/>
    <s v="Single"/>
    <s v="Female"/>
    <n v="130000"/>
    <s v="High Income"/>
    <n v="4"/>
    <s v="High School"/>
    <s v="Management"/>
    <s v="Yes"/>
    <n v="4"/>
    <s v="0-1 Miles"/>
    <x v="1"/>
    <n v="31"/>
    <s v="Adults"/>
    <s v="No"/>
    <n v="0"/>
    <n v="1"/>
  </r>
  <r>
    <n v="16188"/>
    <s v="Single"/>
    <s v="Female"/>
    <n v="20000"/>
    <s v="Low Income"/>
    <n v="0"/>
    <s v="Partial High School"/>
    <s v="Manual"/>
    <s v="No"/>
    <n v="2"/>
    <s v="1-2 Miles"/>
    <x v="0"/>
    <n v="26"/>
    <s v="Young Adults"/>
    <s v="No"/>
    <n v="0"/>
    <n v="1"/>
  </r>
  <r>
    <n v="27969"/>
    <s v="Married"/>
    <s v="Male"/>
    <n v="80000"/>
    <s v="Medium Income"/>
    <n v="0"/>
    <s v="Bachelors"/>
    <s v="Professional"/>
    <s v="Yes"/>
    <n v="2"/>
    <s v="More than 10 Miles"/>
    <x v="1"/>
    <n v="29"/>
    <s v="Young Adults"/>
    <s v="Yes"/>
    <n v="1"/>
    <n v="1"/>
  </r>
  <r>
    <n v="15752"/>
    <s v="Married"/>
    <s v="Male"/>
    <n v="80000"/>
    <s v="Medium Income"/>
    <n v="2"/>
    <s v="High School"/>
    <s v="Skilled Manual"/>
    <s v="No"/>
    <n v="2"/>
    <s v="1-2 Miles"/>
    <x v="1"/>
    <n v="50"/>
    <s v="Middle-Aged"/>
    <s v="Yes"/>
    <n v="1"/>
    <n v="1"/>
  </r>
  <r>
    <n v="27745"/>
    <s v="Single"/>
    <s v="Male"/>
    <n v="40000"/>
    <s v="Low Income"/>
    <n v="2"/>
    <s v="Bachelors"/>
    <s v="Management"/>
    <s v="Yes"/>
    <n v="2"/>
    <s v="5-10 Miles"/>
    <x v="1"/>
    <n v="63"/>
    <s v="Seniors"/>
    <s v="Yes"/>
    <n v="1"/>
    <n v="1"/>
  </r>
  <r>
    <n v="20828"/>
    <s v="Married"/>
    <s v="Female"/>
    <n v="30000"/>
    <s v="Low Income"/>
    <n v="4"/>
    <s v="Graduate Degree"/>
    <s v="Clerical"/>
    <s v="Yes"/>
    <n v="0"/>
    <s v="0-1 Miles"/>
    <x v="0"/>
    <n v="45"/>
    <s v="Middle-Aged"/>
    <s v="Yes"/>
    <n v="1"/>
    <n v="1"/>
  </r>
  <r>
    <n v="19461"/>
    <s v="Single"/>
    <s v="Female"/>
    <n v="10000"/>
    <s v="Low Income"/>
    <n v="4"/>
    <s v="Partial High School"/>
    <s v="Manual"/>
    <s v="Yes"/>
    <n v="2"/>
    <s v="0-1 Miles"/>
    <x v="0"/>
    <n v="40"/>
    <s v="Middle-Aged"/>
    <s v="No"/>
    <n v="0"/>
    <n v="1"/>
  </r>
  <r>
    <n v="26941"/>
    <s v="Married"/>
    <s v="Male"/>
    <n v="30000"/>
    <s v="Low Income"/>
    <n v="0"/>
    <s v="Bachelors"/>
    <s v="Clerical"/>
    <s v="Yes"/>
    <n v="0"/>
    <s v="0-1 Miles"/>
    <x v="0"/>
    <n v="47"/>
    <s v="Middle-Aged"/>
    <s v="Yes"/>
    <n v="1"/>
    <n v="1"/>
  </r>
  <r>
    <n v="28412"/>
    <s v="Single"/>
    <s v="Male"/>
    <n v="20000"/>
    <s v="Low Income"/>
    <n v="0"/>
    <s v="High School"/>
    <s v="Manual"/>
    <s v="No"/>
    <n v="1"/>
    <s v="2-5 Miles"/>
    <x v="0"/>
    <n v="29"/>
    <s v="Young Adults"/>
    <s v="No"/>
    <n v="0"/>
    <n v="1"/>
  </r>
  <r>
    <n v="24485"/>
    <s v="Single"/>
    <s v="Male"/>
    <n v="40000"/>
    <s v="Low Income"/>
    <n v="2"/>
    <s v="Bachelors"/>
    <s v="Management"/>
    <s v="No"/>
    <n v="1"/>
    <s v="5-10 Miles"/>
    <x v="1"/>
    <n v="52"/>
    <s v="Middle-Aged"/>
    <s v="Yes"/>
    <n v="1"/>
    <n v="1"/>
  </r>
  <r>
    <n v="16514"/>
    <s v="Single"/>
    <s v="Male"/>
    <n v="10000"/>
    <s v="Low Income"/>
    <n v="0"/>
    <s v="Partial College"/>
    <s v="Manual"/>
    <s v="Yes"/>
    <n v="1"/>
    <s v="1-2 Miles"/>
    <x v="1"/>
    <n v="26"/>
    <s v="Young Adults"/>
    <s v="Yes"/>
    <n v="1"/>
    <n v="1"/>
  </r>
  <r>
    <n v="17191"/>
    <s v="Single"/>
    <s v="Male"/>
    <n v="130000"/>
    <s v="High Income"/>
    <n v="3"/>
    <s v="Partial College"/>
    <s v="Professional"/>
    <s v="No"/>
    <n v="3"/>
    <s v="0-1 Miles"/>
    <x v="0"/>
    <n v="51"/>
    <s v="Middle-Aged"/>
    <s v="Yes"/>
    <n v="1"/>
    <n v="1"/>
  </r>
  <r>
    <n v="19608"/>
    <s v="Married"/>
    <s v="Male"/>
    <n v="80000"/>
    <s v="Medium Income"/>
    <n v="5"/>
    <s v="Bachelors"/>
    <s v="Professional"/>
    <s v="Yes"/>
    <n v="4"/>
    <s v="1-2 Miles"/>
    <x v="1"/>
    <n v="40"/>
    <s v="Middle-Aged"/>
    <s v="No"/>
    <n v="0"/>
    <n v="1"/>
  </r>
  <r>
    <n v="24119"/>
    <s v="Single"/>
    <s v="Male"/>
    <n v="30000"/>
    <s v="Low Income"/>
    <n v="0"/>
    <s v="Partial College"/>
    <s v="Clerical"/>
    <s v="No"/>
    <n v="1"/>
    <s v="2-5 Miles"/>
    <x v="0"/>
    <n v="29"/>
    <s v="Young Adults"/>
    <s v="No"/>
    <n v="0"/>
    <n v="1"/>
  </r>
  <r>
    <n v="25458"/>
    <s v="Married"/>
    <s v="Male"/>
    <n v="20000"/>
    <s v="Low Income"/>
    <n v="1"/>
    <s v="High School"/>
    <s v="Manual"/>
    <s v="No"/>
    <n v="1"/>
    <s v="1-2 Miles"/>
    <x v="0"/>
    <n v="40"/>
    <s v="Middle-Aged"/>
    <s v="Yes"/>
    <n v="1"/>
    <n v="1"/>
  </r>
  <r>
    <n v="26886"/>
    <s v="Single"/>
    <s v="Female"/>
    <n v="30000"/>
    <s v="Low Income"/>
    <n v="0"/>
    <s v="Partial College"/>
    <s v="Clerical"/>
    <s v="No"/>
    <n v="1"/>
    <s v="0-1 Miles"/>
    <x v="0"/>
    <n v="29"/>
    <s v="Young Adults"/>
    <s v="Yes"/>
    <n v="1"/>
    <n v="1"/>
  </r>
  <r>
    <n v="28436"/>
    <s v="Single"/>
    <s v="Male"/>
    <n v="30000"/>
    <s v="Low Income"/>
    <n v="0"/>
    <s v="Partial College"/>
    <s v="Clerical"/>
    <s v="No"/>
    <n v="1"/>
    <s v="0-1 Miles"/>
    <x v="0"/>
    <n v="30"/>
    <s v="Adults"/>
    <s v="Yes"/>
    <n v="1"/>
    <n v="1"/>
  </r>
  <r>
    <n v="19562"/>
    <s v="Single"/>
    <s v="Female"/>
    <n v="60000"/>
    <s v="Low Income"/>
    <n v="2"/>
    <s v="Bachelors"/>
    <s v="Professional"/>
    <s v="Yes"/>
    <n v="1"/>
    <s v="2-5 Miles"/>
    <x v="1"/>
    <n v="37"/>
    <s v="Adults"/>
    <s v="Yes"/>
    <n v="1"/>
    <n v="1"/>
  </r>
  <r>
    <n v="15608"/>
    <s v="Single"/>
    <s v="Female"/>
    <n v="30000"/>
    <s v="Low Income"/>
    <n v="0"/>
    <s v="Partial College"/>
    <s v="Clerical"/>
    <s v="No"/>
    <n v="1"/>
    <s v="2-5 Miles"/>
    <x v="0"/>
    <n v="33"/>
    <s v="Adults"/>
    <s v="No"/>
    <n v="0"/>
    <n v="1"/>
  </r>
  <r>
    <n v="16487"/>
    <s v="Single"/>
    <s v="Female"/>
    <n v="30000"/>
    <s v="Low Income"/>
    <n v="3"/>
    <s v="High School"/>
    <s v="Skilled Manual"/>
    <s v="Yes"/>
    <n v="2"/>
    <s v="5-10 Miles"/>
    <x v="1"/>
    <n v="55"/>
    <s v="Middle-Aged"/>
    <s v="No"/>
    <n v="0"/>
    <n v="1"/>
  </r>
  <r>
    <n v="17197"/>
    <s v="Single"/>
    <s v="Female"/>
    <n v="90000"/>
    <s v="Medium Income"/>
    <n v="5"/>
    <s v="Partial College"/>
    <s v="Professional"/>
    <s v="Yes"/>
    <n v="2"/>
    <s v="More than 10 Miles"/>
    <x v="0"/>
    <n v="62"/>
    <s v="Seniors"/>
    <s v="No"/>
    <n v="0"/>
    <n v="1"/>
  </r>
  <r>
    <n v="12507"/>
    <s v="Married"/>
    <s v="Male"/>
    <n v="30000"/>
    <s v="Low Income"/>
    <n v="1"/>
    <s v="Partial College"/>
    <s v="Clerical"/>
    <s v="Yes"/>
    <n v="1"/>
    <s v="0-1 Miles"/>
    <x v="0"/>
    <n v="43"/>
    <s v="Middle-Aged"/>
    <s v="No"/>
    <n v="0"/>
    <n v="1"/>
  </r>
  <r>
    <n v="23940"/>
    <s v="Married"/>
    <s v="Male"/>
    <n v="40000"/>
    <s v="Low Income"/>
    <n v="1"/>
    <s v="Bachelors"/>
    <s v="Skilled Manual"/>
    <s v="Yes"/>
    <n v="1"/>
    <s v="0-1 Miles"/>
    <x v="0"/>
    <n v="44"/>
    <s v="Middle-Aged"/>
    <s v="Yes"/>
    <n v="1"/>
    <n v="1"/>
  </r>
  <r>
    <n v="19441"/>
    <s v="Married"/>
    <s v="Male"/>
    <n v="40000"/>
    <s v="Low Income"/>
    <n v="0"/>
    <s v="Graduate Degree"/>
    <s v="Clerical"/>
    <s v="Yes"/>
    <n v="0"/>
    <s v="0-1 Miles"/>
    <x v="0"/>
    <n v="25"/>
    <s v="Young Adults"/>
    <s v="Yes"/>
    <n v="1"/>
    <n v="1"/>
  </r>
  <r>
    <n v="26852"/>
    <s v="Married"/>
    <s v="Female"/>
    <n v="20000"/>
    <s v="Low Income"/>
    <n v="3"/>
    <s v="High School"/>
    <s v="Manual"/>
    <s v="Yes"/>
    <n v="2"/>
    <s v="0-1 Miles"/>
    <x v="0"/>
    <n v="43"/>
    <s v="Middle-Aged"/>
    <s v="No"/>
    <n v="0"/>
    <n v="1"/>
  </r>
  <r>
    <n v="12274"/>
    <s v="Single"/>
    <s v="Male"/>
    <n v="10000"/>
    <s v="Low Income"/>
    <n v="2"/>
    <s v="High School"/>
    <s v="Manual"/>
    <s v="Yes"/>
    <n v="0"/>
    <s v="0-1 Miles"/>
    <x v="0"/>
    <n v="35"/>
    <s v="Adults"/>
    <s v="No"/>
    <n v="0"/>
    <n v="1"/>
  </r>
  <r>
    <n v="20236"/>
    <s v="Single"/>
    <s v="Male"/>
    <n v="60000"/>
    <s v="Low Income"/>
    <n v="3"/>
    <s v="Bachelors"/>
    <s v="Professional"/>
    <s v="No"/>
    <n v="2"/>
    <s v="0-1 Miles"/>
    <x v="1"/>
    <n v="43"/>
    <s v="Middle-Aged"/>
    <s v="Yes"/>
    <n v="1"/>
    <n v="1"/>
  </r>
  <r>
    <n v="24149"/>
    <s v="Married"/>
    <s v="Male"/>
    <n v="10000"/>
    <s v="Low Income"/>
    <n v="2"/>
    <s v="Partial College"/>
    <s v="Manual"/>
    <s v="Yes"/>
    <n v="0"/>
    <s v="1-2 Miles"/>
    <x v="0"/>
    <n v="49"/>
    <s v="Middle-Aged"/>
    <s v="No"/>
    <n v="0"/>
    <n v="1"/>
  </r>
  <r>
    <n v="26139"/>
    <s v="Single"/>
    <s v="Male"/>
    <n v="60000"/>
    <s v="Low Income"/>
    <n v="1"/>
    <s v="Partial College"/>
    <s v="Skilled Manual"/>
    <s v="Yes"/>
    <n v="1"/>
    <s v="5-10 Miles"/>
    <x v="1"/>
    <n v="45"/>
    <s v="Middle-Aged"/>
    <s v="No"/>
    <n v="0"/>
    <n v="1"/>
  </r>
  <r>
    <n v="18491"/>
    <s v="Single"/>
    <s v="Female"/>
    <n v="70000"/>
    <s v="Medium Income"/>
    <n v="2"/>
    <s v="High School"/>
    <s v="Professional"/>
    <s v="Yes"/>
    <n v="2"/>
    <s v="5-10 Miles"/>
    <x v="1"/>
    <n v="49"/>
    <s v="Middle-Aged"/>
    <s v="Yes"/>
    <n v="1"/>
    <n v="1"/>
  </r>
  <r>
    <n v="22707"/>
    <s v="Single"/>
    <s v="Female"/>
    <n v="30000"/>
    <s v="Low Income"/>
    <n v="0"/>
    <s v="Partial College"/>
    <s v="Clerical"/>
    <s v="No"/>
    <n v="1"/>
    <s v="2-5 Miles"/>
    <x v="0"/>
    <n v="30"/>
    <s v="Adults"/>
    <s v="No"/>
    <n v="0"/>
    <n v="1"/>
  </r>
  <r>
    <n v="20430"/>
    <s v="Married"/>
    <s v="Male"/>
    <n v="70000"/>
    <s v="Medium Income"/>
    <n v="2"/>
    <s v="Partial College"/>
    <s v="Skilled Manual"/>
    <s v="Yes"/>
    <n v="2"/>
    <s v="5-10 Miles"/>
    <x v="1"/>
    <n v="52"/>
    <s v="Middle-Aged"/>
    <s v="Yes"/>
    <n v="1"/>
    <n v="1"/>
  </r>
  <r>
    <n v="27494"/>
    <s v="Single"/>
    <s v="Female"/>
    <n v="40000"/>
    <s v="Low Income"/>
    <n v="2"/>
    <s v="Partial College"/>
    <s v="Skilled Manual"/>
    <s v="No"/>
    <n v="2"/>
    <s v="1-2 Miles"/>
    <x v="1"/>
    <n v="53"/>
    <s v="Middle-Aged"/>
    <s v="Yes"/>
    <n v="1"/>
    <n v="1"/>
  </r>
  <r>
    <n v="26829"/>
    <s v="Married"/>
    <s v="Female"/>
    <n v="40000"/>
    <s v="Low Income"/>
    <n v="0"/>
    <s v="Bachelors"/>
    <s v="Clerical"/>
    <s v="Yes"/>
    <n v="0"/>
    <s v="0-1 Miles"/>
    <x v="0"/>
    <n v="38"/>
    <s v="Adults"/>
    <s v="Yes"/>
    <n v="1"/>
    <n v="1"/>
  </r>
  <r>
    <n v="28395"/>
    <s v="Single"/>
    <s v="Male"/>
    <n v="40000"/>
    <s v="Low Income"/>
    <n v="0"/>
    <s v="Bachelors"/>
    <s v="Professional"/>
    <s v="No"/>
    <n v="0"/>
    <s v="0-1 Miles"/>
    <x v="0"/>
    <n v="39"/>
    <s v="Adults"/>
    <s v="Yes"/>
    <n v="1"/>
    <n v="1"/>
  </r>
  <r>
    <n v="21006"/>
    <s v="Single"/>
    <s v="Female"/>
    <n v="30000"/>
    <s v="Low Income"/>
    <n v="1"/>
    <s v="Partial College"/>
    <s v="Manual"/>
    <s v="No"/>
    <n v="0"/>
    <s v="0-1 Miles"/>
    <x v="0"/>
    <n v="46"/>
    <s v="Middle-Aged"/>
    <s v="Yes"/>
    <n v="1"/>
    <n v="1"/>
  </r>
  <r>
    <n v="14682"/>
    <s v="Single"/>
    <s v="Female"/>
    <n v="70000"/>
    <s v="Medium Income"/>
    <n v="0"/>
    <s v="Bachelors"/>
    <s v="Professional"/>
    <s v="No"/>
    <n v="1"/>
    <s v="5-10 Miles"/>
    <x v="1"/>
    <n v="38"/>
    <s v="Adults"/>
    <s v="No"/>
    <n v="0"/>
    <n v="1"/>
  </r>
  <r>
    <n v="17650"/>
    <s v="Single"/>
    <s v="Female"/>
    <n v="40000"/>
    <s v="Low Income"/>
    <n v="2"/>
    <s v="Partial College"/>
    <s v="Clerical"/>
    <s v="Yes"/>
    <n v="2"/>
    <s v="1-2 Miles"/>
    <x v="0"/>
    <n v="35"/>
    <s v="Adults"/>
    <s v="No"/>
    <n v="0"/>
    <n v="1"/>
  </r>
  <r>
    <n v="29191"/>
    <s v="Single"/>
    <s v="Female"/>
    <n v="130000"/>
    <s v="High Income"/>
    <n v="1"/>
    <s v="Graduate Degree"/>
    <s v="Management"/>
    <s v="No"/>
    <n v="1"/>
    <s v="0-1 Miles"/>
    <x v="1"/>
    <n v="36"/>
    <s v="Adults"/>
    <s v="Yes"/>
    <n v="1"/>
    <n v="1"/>
  </r>
  <r>
    <n v="15030"/>
    <s v="Married"/>
    <s v="Male"/>
    <n v="20000"/>
    <s v="Low Income"/>
    <n v="0"/>
    <s v="Bachelors"/>
    <s v="Clerical"/>
    <s v="Yes"/>
    <n v="0"/>
    <s v="0-1 Miles"/>
    <x v="1"/>
    <n v="26"/>
    <s v="Young Adults"/>
    <s v="Yes"/>
    <n v="1"/>
    <n v="1"/>
  </r>
  <r>
    <n v="24140"/>
    <s v="Single"/>
    <s v="Male"/>
    <n v="10000"/>
    <s v="Low Income"/>
    <n v="0"/>
    <s v="Graduate Degree"/>
    <s v="Manual"/>
    <s v="No"/>
    <n v="0"/>
    <s v="0-1 Miles"/>
    <x v="0"/>
    <n v="30"/>
    <s v="Adults"/>
    <s v="Yes"/>
    <n v="1"/>
    <n v="1"/>
  </r>
  <r>
    <n v="22496"/>
    <s v="Married"/>
    <s v="Female"/>
    <n v="30000"/>
    <s v="Low Income"/>
    <n v="1"/>
    <s v="Bachelors"/>
    <s v="Skilled Manual"/>
    <s v="Yes"/>
    <n v="2"/>
    <s v="0-1 Miles"/>
    <x v="0"/>
    <n v="42"/>
    <s v="Middle-Aged"/>
    <s v="No"/>
    <n v="0"/>
    <n v="1"/>
  </r>
  <r>
    <n v="24065"/>
    <s v="Single"/>
    <s v="Female"/>
    <n v="20000"/>
    <s v="Low Income"/>
    <n v="0"/>
    <s v="High School"/>
    <s v="Manual"/>
    <s v="Yes"/>
    <n v="0"/>
    <s v="0-1 Miles"/>
    <x v="0"/>
    <n v="40"/>
    <s v="Middle-Aged"/>
    <s v="Yes"/>
    <n v="1"/>
    <n v="1"/>
  </r>
  <r>
    <n v="19914"/>
    <s v="Married"/>
    <s v="Male"/>
    <n v="80000"/>
    <s v="Medium Income"/>
    <n v="5"/>
    <s v="Bachelors"/>
    <s v="Management"/>
    <s v="Yes"/>
    <n v="2"/>
    <s v="2-5 Miles"/>
    <x v="0"/>
    <n v="62"/>
    <s v="Seniors"/>
    <s v="No"/>
    <n v="0"/>
    <n v="1"/>
  </r>
  <r>
    <n v="12871"/>
    <s v="Single"/>
    <s v="Female"/>
    <n v="30000"/>
    <s v="Low Income"/>
    <n v="0"/>
    <s v="Partial College"/>
    <s v="Clerical"/>
    <s v="No"/>
    <n v="1"/>
    <s v="2-5 Miles"/>
    <x v="0"/>
    <n v="29"/>
    <s v="Young Adults"/>
    <s v="No"/>
    <n v="0"/>
    <n v="1"/>
  </r>
  <r>
    <n v="22988"/>
    <s v="Married"/>
    <s v="Female"/>
    <n v="40000"/>
    <s v="Low Income"/>
    <n v="2"/>
    <s v="Bachelors"/>
    <s v="Management"/>
    <s v="Yes"/>
    <n v="2"/>
    <s v="5-10 Miles"/>
    <x v="1"/>
    <n v="66"/>
    <s v="Seniors"/>
    <s v="Yes"/>
    <n v="1"/>
    <n v="1"/>
  </r>
  <r>
    <n v="15922"/>
    <s v="Married"/>
    <s v="Male"/>
    <n v="150000"/>
    <s v="High Income"/>
    <n v="2"/>
    <s v="High School"/>
    <s v="Professional"/>
    <s v="Yes"/>
    <n v="4"/>
    <s v="0-1 Miles"/>
    <x v="0"/>
    <n v="48"/>
    <s v="Middle-Aged"/>
    <s v="No"/>
    <n v="0"/>
    <n v="1"/>
  </r>
  <r>
    <n v="12344"/>
    <s v="Single"/>
    <s v="Female"/>
    <n v="80000"/>
    <s v="Medium Income"/>
    <n v="0"/>
    <s v="Bachelors"/>
    <s v="Professional"/>
    <s v="No"/>
    <n v="3"/>
    <s v="More than 10 Miles"/>
    <x v="1"/>
    <n v="31"/>
    <s v="Adults"/>
    <s v="No"/>
    <n v="0"/>
    <n v="1"/>
  </r>
  <r>
    <n v="23627"/>
    <s v="Single"/>
    <s v="Female"/>
    <n v="100000"/>
    <s v="Medium Income"/>
    <n v="3"/>
    <s v="Partial College"/>
    <s v="Management"/>
    <s v="No"/>
    <n v="4"/>
    <s v="5-10 Miles"/>
    <x v="0"/>
    <n v="56"/>
    <s v="Middle-Aged"/>
    <s v="No"/>
    <n v="0"/>
    <n v="1"/>
  </r>
  <r>
    <n v="27775"/>
    <s v="Single"/>
    <s v="Female"/>
    <n v="40000"/>
    <s v="Low Income"/>
    <n v="0"/>
    <s v="Bachelors"/>
    <s v="Clerical"/>
    <s v="No"/>
    <n v="0"/>
    <s v="0-1 Miles"/>
    <x v="0"/>
    <n v="38"/>
    <s v="Adults"/>
    <s v="Yes"/>
    <n v="1"/>
    <n v="1"/>
  </r>
  <r>
    <n v="29301"/>
    <s v="Married"/>
    <s v="Male"/>
    <n v="80000"/>
    <s v="Medium Income"/>
    <n v="5"/>
    <s v="Bachelors"/>
    <s v="Professional"/>
    <s v="Yes"/>
    <n v="4"/>
    <s v="1-2 Miles"/>
    <x v="1"/>
    <n v="40"/>
    <s v="Middle-Aged"/>
    <s v="No"/>
    <n v="0"/>
    <n v="1"/>
  </r>
  <r>
    <n v="12716"/>
    <s v="Single"/>
    <s v="Male"/>
    <n v="30000"/>
    <s v="Low Income"/>
    <n v="0"/>
    <s v="Partial College"/>
    <s v="Clerical"/>
    <s v="Yes"/>
    <n v="1"/>
    <s v="2-5 Miles"/>
    <x v="0"/>
    <n v="32"/>
    <s v="Adults"/>
    <s v="No"/>
    <n v="0"/>
    <n v="1"/>
  </r>
  <r>
    <n v="12472"/>
    <s v="Married"/>
    <s v="Male"/>
    <n v="30000"/>
    <s v="Low Income"/>
    <n v="1"/>
    <s v="Bachelors"/>
    <s v="Clerical"/>
    <s v="Yes"/>
    <n v="1"/>
    <s v="2-5 Miles"/>
    <x v="0"/>
    <n v="39"/>
    <s v="Adults"/>
    <s v="No"/>
    <n v="0"/>
    <n v="1"/>
  </r>
  <r>
    <n v="20970"/>
    <s v="Single"/>
    <s v="Male"/>
    <n v="10000"/>
    <s v="Low Income"/>
    <n v="2"/>
    <s v="Partial College"/>
    <s v="Manual"/>
    <s v="Yes"/>
    <n v="1"/>
    <s v="0-1 Miles"/>
    <x v="0"/>
    <n v="52"/>
    <s v="Middle-Aged"/>
    <s v="Yes"/>
    <n v="1"/>
    <n v="1"/>
  </r>
  <r>
    <n v="26818"/>
    <s v="Single"/>
    <s v="Male"/>
    <n v="10000"/>
    <s v="Low Income"/>
    <n v="3"/>
    <s v="High School"/>
    <s v="Manual"/>
    <s v="Yes"/>
    <n v="1"/>
    <s v="0-1 Miles"/>
    <x v="0"/>
    <n v="39"/>
    <s v="Adults"/>
    <s v="Yes"/>
    <n v="1"/>
    <n v="1"/>
  </r>
  <r>
    <n v="12993"/>
    <s v="Married"/>
    <s v="Male"/>
    <n v="60000"/>
    <s v="Low Income"/>
    <n v="2"/>
    <s v="Bachelors"/>
    <s v="Professional"/>
    <s v="Yes"/>
    <n v="1"/>
    <s v="2-5 Miles"/>
    <x v="1"/>
    <n v="37"/>
    <s v="Adults"/>
    <s v="No"/>
    <n v="0"/>
    <n v="1"/>
  </r>
  <r>
    <n v="14192"/>
    <s v="Married"/>
    <s v="Male"/>
    <n v="90000"/>
    <s v="Medium Income"/>
    <n v="4"/>
    <s v="High School"/>
    <s v="Management"/>
    <s v="Yes"/>
    <n v="3"/>
    <s v="5-10 Miles"/>
    <x v="0"/>
    <n v="56"/>
    <s v="Middle-Aged"/>
    <s v="Yes"/>
    <n v="1"/>
    <n v="1"/>
  </r>
  <r>
    <n v="19477"/>
    <s v="Married"/>
    <s v="Male"/>
    <n v="40000"/>
    <s v="Low Income"/>
    <n v="0"/>
    <s v="Bachelors"/>
    <s v="Professional"/>
    <s v="Yes"/>
    <n v="0"/>
    <s v="0-1 Miles"/>
    <x v="0"/>
    <n v="40"/>
    <s v="Middle-Aged"/>
    <s v="Yes"/>
    <n v="1"/>
    <n v="1"/>
  </r>
  <r>
    <n v="26796"/>
    <s v="Single"/>
    <s v="Male"/>
    <n v="40000"/>
    <s v="Low Income"/>
    <n v="2"/>
    <s v="Bachelors"/>
    <s v="Management"/>
    <s v="Yes"/>
    <n v="2"/>
    <s v="5-10 Miles"/>
    <x v="1"/>
    <n v="65"/>
    <s v="Seniors"/>
    <s v="Yes"/>
    <n v="1"/>
    <n v="1"/>
  </r>
  <r>
    <n v="21094"/>
    <s v="Single"/>
    <s v="Female"/>
    <n v="30000"/>
    <s v="Low Income"/>
    <n v="2"/>
    <s v="Partial College"/>
    <s v="Clerical"/>
    <s v="Yes"/>
    <n v="2"/>
    <s v="0-1 Miles"/>
    <x v="0"/>
    <n v="42"/>
    <s v="Middle-Aged"/>
    <s v="No"/>
    <n v="0"/>
    <n v="1"/>
  </r>
  <r>
    <n v="12234"/>
    <s v="Married"/>
    <s v="Male"/>
    <n v="10000"/>
    <s v="Low Income"/>
    <n v="2"/>
    <s v="Partial College"/>
    <s v="Manual"/>
    <s v="Yes"/>
    <n v="1"/>
    <s v="2-5 Miles"/>
    <x v="0"/>
    <n v="52"/>
    <s v="Middle-Aged"/>
    <s v="No"/>
    <n v="0"/>
    <n v="1"/>
  </r>
  <r>
    <n v="28683"/>
    <s v="Single"/>
    <s v="Female"/>
    <n v="10000"/>
    <s v="Low Income"/>
    <n v="1"/>
    <s v="High School"/>
    <s v="Manual"/>
    <s v="No"/>
    <n v="1"/>
    <s v="5-10 Miles"/>
    <x v="0"/>
    <n v="35"/>
    <s v="Adults"/>
    <s v="Yes"/>
    <n v="1"/>
    <n v="1"/>
  </r>
  <r>
    <n v="17994"/>
    <s v="Single"/>
    <s v="Male"/>
    <n v="20000"/>
    <s v="Low Income"/>
    <n v="2"/>
    <s v="High School"/>
    <s v="Manual"/>
    <s v="Yes"/>
    <n v="2"/>
    <s v="0-1 Miles"/>
    <x v="0"/>
    <n v="42"/>
    <s v="Middle-Aged"/>
    <s v="No"/>
    <n v="0"/>
    <n v="1"/>
  </r>
  <r>
    <n v="24273"/>
    <s v="Married"/>
    <s v="Female"/>
    <n v="20000"/>
    <s v="Low Income"/>
    <n v="2"/>
    <s v="Partial High School"/>
    <s v="Clerical"/>
    <s v="Yes"/>
    <n v="2"/>
    <s v="5-10 Miles"/>
    <x v="1"/>
    <n v="55"/>
    <s v="Middle-Aged"/>
    <s v="Yes"/>
    <n v="1"/>
    <n v="1"/>
  </r>
  <r>
    <n v="26547"/>
    <s v="Single"/>
    <s v="Female"/>
    <n v="30000"/>
    <s v="Low Income"/>
    <n v="2"/>
    <s v="Partial College"/>
    <s v="Clerical"/>
    <s v="No"/>
    <n v="2"/>
    <s v="5-10 Miles"/>
    <x v="1"/>
    <n v="60"/>
    <s v="Seniors"/>
    <s v="Yes"/>
    <n v="1"/>
    <n v="1"/>
  </r>
  <r>
    <n v="22500"/>
    <s v="Single"/>
    <s v="Male"/>
    <n v="40000"/>
    <s v="Low Income"/>
    <n v="0"/>
    <s v="Bachelors"/>
    <s v="Professional"/>
    <s v="No"/>
    <n v="0"/>
    <s v="0-1 Miles"/>
    <x v="0"/>
    <n v="40"/>
    <s v="Middle-Aged"/>
    <s v="Yes"/>
    <n v="1"/>
    <n v="1"/>
  </r>
  <r>
    <n v="23993"/>
    <s v="Single"/>
    <s v="Female"/>
    <n v="10000"/>
    <s v="Low Income"/>
    <n v="0"/>
    <s v="Partial College"/>
    <s v="Manual"/>
    <s v="No"/>
    <n v="1"/>
    <s v="0-1 Miles"/>
    <x v="1"/>
    <n v="26"/>
    <s v="Young Adults"/>
    <s v="Yes"/>
    <n v="1"/>
    <n v="1"/>
  </r>
  <r>
    <n v="14832"/>
    <s v="Married"/>
    <s v="Male"/>
    <n v="40000"/>
    <s v="Low Income"/>
    <n v="1"/>
    <s v="Bachelors"/>
    <s v="Skilled Manual"/>
    <s v="Yes"/>
    <n v="0"/>
    <s v="0-1 Miles"/>
    <x v="0"/>
    <n v="42"/>
    <s v="Middle-Aged"/>
    <s v="Yes"/>
    <n v="1"/>
    <n v="1"/>
  </r>
  <r>
    <n v="16614"/>
    <s v="Married"/>
    <s v="Female"/>
    <n v="80000"/>
    <s v="Medium Income"/>
    <n v="0"/>
    <s v="Bachelors"/>
    <s v="Professional"/>
    <s v="Yes"/>
    <n v="3"/>
    <s v="More than 10 Miles"/>
    <x v="1"/>
    <n v="32"/>
    <s v="Adults"/>
    <s v="No"/>
    <n v="0"/>
    <n v="1"/>
  </r>
  <r>
    <n v="20877"/>
    <s v="Single"/>
    <s v="Male"/>
    <n v="30000"/>
    <s v="Low Income"/>
    <n v="1"/>
    <s v="Bachelors"/>
    <s v="Clerical"/>
    <s v="Yes"/>
    <n v="0"/>
    <s v="1-2 Miles"/>
    <x v="0"/>
    <n v="37"/>
    <s v="Adults"/>
    <s v="Yes"/>
    <n v="1"/>
    <n v="1"/>
  </r>
  <r>
    <n v="20729"/>
    <s v="Married"/>
    <s v="Female"/>
    <n v="40000"/>
    <s v="Low Income"/>
    <n v="2"/>
    <s v="Partial College"/>
    <s v="Clerical"/>
    <s v="No"/>
    <n v="1"/>
    <s v="0-1 Miles"/>
    <x v="0"/>
    <n v="34"/>
    <s v="Adults"/>
    <s v="No"/>
    <n v="0"/>
    <n v="1"/>
  </r>
  <r>
    <n v="22464"/>
    <s v="Married"/>
    <s v="Male"/>
    <n v="40000"/>
    <s v="Low Income"/>
    <n v="0"/>
    <s v="Graduate Degree"/>
    <s v="Clerical"/>
    <s v="Yes"/>
    <n v="0"/>
    <s v="0-1 Miles"/>
    <x v="0"/>
    <n v="37"/>
    <s v="Adults"/>
    <s v="Yes"/>
    <n v="1"/>
    <n v="1"/>
  </r>
  <r>
    <n v="19475"/>
    <s v="Married"/>
    <s v="Female"/>
    <n v="40000"/>
    <s v="Low Income"/>
    <n v="0"/>
    <s v="Bachelors"/>
    <s v="Professional"/>
    <s v="No"/>
    <n v="0"/>
    <s v="0-1 Miles"/>
    <x v="0"/>
    <n v="40"/>
    <s v="Middle-Aged"/>
    <s v="Yes"/>
    <n v="1"/>
    <n v="1"/>
  </r>
  <r>
    <n v="19675"/>
    <s v="Married"/>
    <s v="Male"/>
    <n v="20000"/>
    <s v="Low Income"/>
    <n v="4"/>
    <s v="High School"/>
    <s v="Skilled Manual"/>
    <s v="Yes"/>
    <n v="2"/>
    <s v="5-10 Miles"/>
    <x v="1"/>
    <n v="60"/>
    <s v="Seniors"/>
    <s v="No"/>
    <n v="0"/>
    <n v="1"/>
  </r>
  <r>
    <n v="12728"/>
    <s v="Single"/>
    <s v="Male"/>
    <n v="30000"/>
    <s v="Low Income"/>
    <n v="0"/>
    <s v="Partial College"/>
    <s v="Clerical"/>
    <s v="No"/>
    <n v="1"/>
    <s v="1-2 Miles"/>
    <x v="0"/>
    <n v="27"/>
    <s v="Young Adults"/>
    <s v="No"/>
    <n v="0"/>
    <n v="1"/>
  </r>
  <r>
    <n v="26154"/>
    <s v="Married"/>
    <s v="Male"/>
    <n v="60000"/>
    <s v="Low Income"/>
    <n v="1"/>
    <s v="Partial College"/>
    <s v="Skilled Manual"/>
    <s v="Yes"/>
    <n v="1"/>
    <s v="5-10 Miles"/>
    <x v="1"/>
    <n v="43"/>
    <s v="Middle-Aged"/>
    <s v="Yes"/>
    <n v="1"/>
    <n v="1"/>
  </r>
  <r>
    <n v="29117"/>
    <s v="Single"/>
    <s v="Male"/>
    <n v="100000"/>
    <s v="Medium Income"/>
    <n v="1"/>
    <s v="Bachelors"/>
    <s v="Management"/>
    <s v="No"/>
    <n v="3"/>
    <s v="0-1 Miles"/>
    <x v="1"/>
    <n v="48"/>
    <s v="Middle-Aged"/>
    <s v="No"/>
    <n v="0"/>
    <n v="1"/>
  </r>
  <r>
    <n v="17845"/>
    <s v="Single"/>
    <s v="Female"/>
    <n v="20000"/>
    <s v="Low Income"/>
    <n v="0"/>
    <s v="Partial High School"/>
    <s v="Manual"/>
    <s v="No"/>
    <n v="2"/>
    <s v="1-2 Miles"/>
    <x v="0"/>
    <n v="32"/>
    <s v="Adults"/>
    <s v="No"/>
    <n v="0"/>
    <n v="1"/>
  </r>
  <r>
    <n v="25058"/>
    <s v="Married"/>
    <s v="Male"/>
    <n v="100000"/>
    <s v="Medium Income"/>
    <n v="1"/>
    <s v="Bachelors"/>
    <s v="Management"/>
    <s v="Yes"/>
    <n v="3"/>
    <s v="2-5 Miles"/>
    <x v="1"/>
    <n v="47"/>
    <s v="Middle-Aged"/>
    <s v="No"/>
    <n v="0"/>
    <n v="1"/>
  </r>
  <r>
    <n v="23426"/>
    <s v="Single"/>
    <s v="Male"/>
    <n v="80000"/>
    <s v="Medium Income"/>
    <n v="5"/>
    <s v="Graduate Degree"/>
    <s v="Management"/>
    <s v="Yes"/>
    <n v="3"/>
    <s v="0-1 Miles"/>
    <x v="1"/>
    <n v="40"/>
    <s v="Middle-Aged"/>
    <s v="No"/>
    <n v="0"/>
    <n v="1"/>
  </r>
  <r>
    <n v="14798"/>
    <s v="Single"/>
    <s v="Female"/>
    <n v="10000"/>
    <s v="Low Income"/>
    <n v="4"/>
    <s v="Partial High School"/>
    <s v="Manual"/>
    <s v="Yes"/>
    <n v="2"/>
    <s v="0-1 Miles"/>
    <x v="0"/>
    <n v="41"/>
    <s v="Middle-Aged"/>
    <s v="Yes"/>
    <n v="1"/>
    <n v="1"/>
  </r>
  <r>
    <n v="12664"/>
    <s v="Married"/>
    <s v="Female"/>
    <n v="130000"/>
    <s v="High Income"/>
    <n v="5"/>
    <s v="Partial College"/>
    <s v="Professional"/>
    <s v="Yes"/>
    <n v="4"/>
    <s v="0-1 Miles"/>
    <x v="0"/>
    <n v="59"/>
    <s v="Middle-Aged"/>
    <s v="No"/>
    <n v="0"/>
    <n v="1"/>
  </r>
  <r>
    <n v="23979"/>
    <s v="Single"/>
    <s v="Male"/>
    <n v="10000"/>
    <s v="Low Income"/>
    <n v="2"/>
    <s v="Partial College"/>
    <s v="Manual"/>
    <s v="No"/>
    <n v="0"/>
    <s v="0-1 Miles"/>
    <x v="0"/>
    <n v="50"/>
    <s v="Middle-Aged"/>
    <s v="No"/>
    <n v="0"/>
    <n v="1"/>
  </r>
  <r>
    <n v="25605"/>
    <s v="Single"/>
    <s v="Female"/>
    <n v="20000"/>
    <s v="Low Income"/>
    <n v="2"/>
    <s v="Partial College"/>
    <s v="Manual"/>
    <s v="No"/>
    <n v="1"/>
    <s v="0-1 Miles"/>
    <x v="0"/>
    <n v="54"/>
    <s v="Middle-Aged"/>
    <s v="Yes"/>
    <n v="1"/>
    <n v="1"/>
  </r>
  <r>
    <n v="20797"/>
    <s v="Married"/>
    <s v="Female"/>
    <n v="10000"/>
    <s v="Low Income"/>
    <n v="1"/>
    <s v="Bachelors"/>
    <s v="Manual"/>
    <s v="Yes"/>
    <n v="0"/>
    <s v="0-1 Miles"/>
    <x v="0"/>
    <n v="48"/>
    <s v="Middle-Aged"/>
    <s v="No"/>
    <n v="0"/>
    <n v="1"/>
  </r>
  <r>
    <n v="21980"/>
    <s v="Single"/>
    <s v="Female"/>
    <n v="60000"/>
    <s v="Low Income"/>
    <n v="1"/>
    <s v="Bachelors"/>
    <s v="Professional"/>
    <s v="Yes"/>
    <n v="1"/>
    <s v="5-10 Miles"/>
    <x v="1"/>
    <n v="44"/>
    <s v="Middle-Aged"/>
    <s v="Yes"/>
    <n v="1"/>
    <n v="1"/>
  </r>
  <r>
    <n v="25460"/>
    <s v="Married"/>
    <s v="Female"/>
    <n v="20000"/>
    <s v="Low Income"/>
    <n v="2"/>
    <s v="High School"/>
    <s v="Manual"/>
    <s v="Yes"/>
    <n v="0"/>
    <s v="0-1 Miles"/>
    <x v="0"/>
    <n v="40"/>
    <s v="Middle-Aged"/>
    <s v="Yes"/>
    <n v="1"/>
    <n v="1"/>
  </r>
  <r>
    <n v="29181"/>
    <s v="Single"/>
    <s v="Female"/>
    <n v="60000"/>
    <s v="Low Income"/>
    <n v="2"/>
    <s v="Bachelors"/>
    <s v="Professional"/>
    <s v="No"/>
    <n v="1"/>
    <s v="0-1 Miles"/>
    <x v="1"/>
    <n v="38"/>
    <s v="Adults"/>
    <s v="Yes"/>
    <n v="1"/>
    <n v="1"/>
  </r>
  <r>
    <n v="24279"/>
    <s v="Single"/>
    <s v="Male"/>
    <n v="40000"/>
    <s v="Low Income"/>
    <n v="2"/>
    <s v="Partial College"/>
    <s v="Skilled Manual"/>
    <s v="No"/>
    <n v="2"/>
    <s v="1-2 Miles"/>
    <x v="1"/>
    <n v="52"/>
    <s v="Middle-Aged"/>
    <s v="No"/>
    <n v="0"/>
    <n v="1"/>
  </r>
  <r>
    <n v="22402"/>
    <s v="Married"/>
    <s v="Male"/>
    <n v="10000"/>
    <s v="Low Income"/>
    <n v="0"/>
    <s v="Partial College"/>
    <s v="Manual"/>
    <s v="Yes"/>
    <n v="1"/>
    <s v="2-5 Miles"/>
    <x v="1"/>
    <n v="25"/>
    <s v="Young Adults"/>
    <s v="Yes"/>
    <n v="1"/>
    <n v="1"/>
  </r>
  <r>
    <n v="15465"/>
    <s v="Married"/>
    <s v="Female"/>
    <n v="10000"/>
    <s v="Low Income"/>
    <n v="0"/>
    <s v="Partial College"/>
    <s v="Manual"/>
    <s v="No"/>
    <n v="1"/>
    <s v="0-1 Miles"/>
    <x v="1"/>
    <n v="25"/>
    <s v="Young Adults"/>
    <s v="No"/>
    <n v="0"/>
    <n v="1"/>
  </r>
  <r>
    <n v="26757"/>
    <s v="Single"/>
    <s v="Male"/>
    <n v="90000"/>
    <s v="Medium Income"/>
    <n v="1"/>
    <s v="Bachelors"/>
    <s v="Professional"/>
    <s v="Yes"/>
    <n v="1"/>
    <s v="2-5 Miles"/>
    <x v="1"/>
    <n v="47"/>
    <s v="Middle-Aged"/>
    <s v="Yes"/>
    <n v="1"/>
    <n v="1"/>
  </r>
  <r>
    <n v="14233"/>
    <s v="Single"/>
    <s v="Male"/>
    <n v="100000"/>
    <s v="Medium Income"/>
    <n v="0"/>
    <s v="High School"/>
    <s v="Management"/>
    <s v="Yes"/>
    <n v="3"/>
    <s v="More than 10 Miles"/>
    <x v="1"/>
    <n v="35"/>
    <s v="Adults"/>
    <s v="No"/>
    <n v="0"/>
    <n v="1"/>
  </r>
  <r>
    <n v="14058"/>
    <s v="Single"/>
    <s v="Male"/>
    <n v="70000"/>
    <s v="Medium Income"/>
    <n v="0"/>
    <s v="Bachelors"/>
    <s v="Professional"/>
    <s v="No"/>
    <n v="1"/>
    <s v="5-10 Miles"/>
    <x v="1"/>
    <n v="41"/>
    <s v="Middle-Aged"/>
    <s v="Yes"/>
    <n v="1"/>
    <n v="1"/>
  </r>
  <r>
    <n v="12273"/>
    <s v="Married"/>
    <s v="Male"/>
    <n v="30000"/>
    <s v="Low Income"/>
    <n v="1"/>
    <s v="Bachelors"/>
    <s v="Clerical"/>
    <s v="Yes"/>
    <n v="0"/>
    <s v="0-1 Miles"/>
    <x v="0"/>
    <n v="47"/>
    <s v="Middle-Aged"/>
    <s v="No"/>
    <n v="0"/>
    <n v="1"/>
  </r>
  <r>
    <n v="17203"/>
    <s v="Married"/>
    <s v="Female"/>
    <n v="130000"/>
    <s v="High Income"/>
    <n v="4"/>
    <s v="Partial College"/>
    <s v="Professional"/>
    <s v="Yes"/>
    <n v="4"/>
    <s v="5-10 Miles"/>
    <x v="0"/>
    <n v="61"/>
    <s v="Seniors"/>
    <s v="Yes"/>
    <n v="1"/>
    <n v="1"/>
  </r>
  <r>
    <n v="18144"/>
    <s v="Married"/>
    <s v="Female"/>
    <n v="80000"/>
    <s v="Medium Income"/>
    <n v="5"/>
    <s v="Bachelors"/>
    <s v="Management"/>
    <s v="Yes"/>
    <n v="2"/>
    <s v="2-5 Miles"/>
    <x v="0"/>
    <n v="61"/>
    <s v="Seniors"/>
    <s v="No"/>
    <n v="0"/>
    <n v="1"/>
  </r>
  <r>
    <n v="23963"/>
    <s v="Married"/>
    <s v="Male"/>
    <n v="10000"/>
    <s v="Low Income"/>
    <n v="0"/>
    <s v="Partial High School"/>
    <s v="Manual"/>
    <s v="No"/>
    <n v="2"/>
    <s v="0-1 Miles"/>
    <x v="0"/>
    <n v="33"/>
    <s v="Adults"/>
    <s v="No"/>
    <n v="0"/>
    <n v="1"/>
  </r>
  <r>
    <n v="17907"/>
    <s v="Married"/>
    <s v="Female"/>
    <n v="10000"/>
    <s v="Low Income"/>
    <n v="0"/>
    <s v="Partial College"/>
    <s v="Manual"/>
    <s v="Yes"/>
    <n v="1"/>
    <s v="2-5 Miles"/>
    <x v="1"/>
    <n v="27"/>
    <s v="Young Adults"/>
    <s v="No"/>
    <n v="0"/>
    <n v="1"/>
  </r>
  <r>
    <n v="19442"/>
    <s v="Single"/>
    <s v="Male"/>
    <n v="50000"/>
    <s v="Low Income"/>
    <n v="0"/>
    <s v="Graduate Degree"/>
    <s v="Skilled Manual"/>
    <s v="Yes"/>
    <n v="0"/>
    <s v="0-1 Miles"/>
    <x v="0"/>
    <n v="37"/>
    <s v="Adults"/>
    <s v="Yes"/>
    <n v="1"/>
    <n v="1"/>
  </r>
  <r>
    <n v="17504"/>
    <s v="Single"/>
    <s v="Female"/>
    <n v="80000"/>
    <s v="Medium Income"/>
    <n v="2"/>
    <s v="Partial College"/>
    <s v="Skilled Manual"/>
    <s v="Yes"/>
    <n v="2"/>
    <s v="5-10 Miles"/>
    <x v="1"/>
    <n v="52"/>
    <s v="Middle-Aged"/>
    <s v="Yes"/>
    <n v="1"/>
    <n v="1"/>
  </r>
  <r>
    <n v="12253"/>
    <s v="Single"/>
    <s v="Female"/>
    <n v="20000"/>
    <s v="Low Income"/>
    <n v="0"/>
    <s v="Partial College"/>
    <s v="Manual"/>
    <s v="Yes"/>
    <n v="0"/>
    <s v="0-1 Miles"/>
    <x v="1"/>
    <n v="29"/>
    <s v="Young Adults"/>
    <s v="Yes"/>
    <n v="1"/>
    <n v="1"/>
  </r>
  <r>
    <n v="27304"/>
    <s v="Single"/>
    <s v="Female"/>
    <n v="110000"/>
    <s v="Medium Income"/>
    <n v="2"/>
    <s v="Partial College"/>
    <s v="Professional"/>
    <s v="No"/>
    <n v="3"/>
    <s v="5-10 Miles"/>
    <x v="0"/>
    <n v="48"/>
    <s v="Middle-Aged"/>
    <s v="No"/>
    <n v="0"/>
    <n v="1"/>
  </r>
  <r>
    <n v="14191"/>
    <s v="Married"/>
    <s v="Male"/>
    <n v="160000"/>
    <s v="High Income"/>
    <n v="4"/>
    <s v="Partial College"/>
    <s v="Professional"/>
    <s v="No"/>
    <n v="2"/>
    <s v="More than 10 Miles"/>
    <x v="0"/>
    <n v="55"/>
    <s v="Middle-Aged"/>
    <s v="Yes"/>
    <n v="1"/>
    <n v="1"/>
  </r>
  <r>
    <n v="12212"/>
    <s v="Married"/>
    <s v="Female"/>
    <n v="10000"/>
    <s v="Low Income"/>
    <n v="0"/>
    <s v="Graduate Degree"/>
    <s v="Manual"/>
    <s v="Yes"/>
    <n v="0"/>
    <s v="0-1 Miles"/>
    <x v="0"/>
    <n v="37"/>
    <s v="Adults"/>
    <s v="Yes"/>
    <n v="1"/>
    <n v="1"/>
  </r>
  <r>
    <n v="25529"/>
    <s v="Single"/>
    <s v="Male"/>
    <n v="10000"/>
    <s v="Low Income"/>
    <n v="1"/>
    <s v="Graduate Degree"/>
    <s v="Manual"/>
    <s v="Yes"/>
    <n v="0"/>
    <s v="0-1 Miles"/>
    <x v="0"/>
    <n v="44"/>
    <s v="Middle-Aged"/>
    <s v="No"/>
    <n v="0"/>
    <n v="1"/>
  </r>
  <r>
    <n v="22170"/>
    <s v="Married"/>
    <s v="Female"/>
    <n v="30000"/>
    <s v="Low Income"/>
    <n v="3"/>
    <s v="Partial College"/>
    <s v="Clerical"/>
    <s v="No"/>
    <n v="2"/>
    <s v="1-2 Miles"/>
    <x v="1"/>
    <n v="55"/>
    <s v="Middle-Aged"/>
    <s v="Yes"/>
    <n v="1"/>
    <n v="1"/>
  </r>
  <r>
    <n v="19445"/>
    <s v="Married"/>
    <s v="Female"/>
    <n v="10000"/>
    <s v="Low Income"/>
    <n v="2"/>
    <s v="High School"/>
    <s v="Manual"/>
    <s v="No"/>
    <n v="1"/>
    <s v="0-1 Miles"/>
    <x v="0"/>
    <n v="38"/>
    <s v="Adults"/>
    <s v="No"/>
    <n v="0"/>
    <n v="1"/>
  </r>
  <r>
    <n v="15265"/>
    <s v="Single"/>
    <s v="Male"/>
    <n v="40000"/>
    <s v="Low Income"/>
    <n v="2"/>
    <s v="Bachelors"/>
    <s v="Management"/>
    <s v="Yes"/>
    <n v="2"/>
    <s v="5-10 Miles"/>
    <x v="1"/>
    <n v="66"/>
    <s v="Seniors"/>
    <s v="Yes"/>
    <n v="1"/>
    <n v="1"/>
  </r>
  <r>
    <n v="28918"/>
    <s v="Married"/>
    <s v="Female"/>
    <n v="130000"/>
    <s v="High Income"/>
    <n v="4"/>
    <s v="High School"/>
    <s v="Management"/>
    <s v="No"/>
    <n v="4"/>
    <s v="More than 10 Miles"/>
    <x v="0"/>
    <n v="58"/>
    <s v="Middle-Aged"/>
    <s v="No"/>
    <n v="0"/>
    <n v="1"/>
  </r>
  <r>
    <n v="15799"/>
    <s v="Married"/>
    <s v="Female"/>
    <n v="90000"/>
    <s v="Medium Income"/>
    <n v="1"/>
    <s v="Bachelors"/>
    <s v="Professional"/>
    <s v="Yes"/>
    <n v="1"/>
    <s v="2-5 Miles"/>
    <x v="1"/>
    <n v="47"/>
    <s v="Middle-Aged"/>
    <s v="Yes"/>
    <n v="1"/>
    <n v="1"/>
  </r>
  <r>
    <n v="11047"/>
    <s v="Married"/>
    <s v="Female"/>
    <n v="30000"/>
    <s v="Low Income"/>
    <n v="3"/>
    <s v="High School"/>
    <s v="Skilled Manual"/>
    <s v="No"/>
    <n v="2"/>
    <s v="1-2 Miles"/>
    <x v="1"/>
    <n v="56"/>
    <s v="Middle-Aged"/>
    <s v="Yes"/>
    <n v="1"/>
    <n v="1"/>
  </r>
  <r>
    <n v="18151"/>
    <s v="Single"/>
    <s v="Male"/>
    <n v="80000"/>
    <s v="Medium Income"/>
    <n v="5"/>
    <s v="Partial College"/>
    <s v="Professional"/>
    <s v="No"/>
    <n v="2"/>
    <s v="More than 10 Miles"/>
    <x v="0"/>
    <n v="59"/>
    <s v="Middle-Aged"/>
    <s v="No"/>
    <n v="0"/>
    <n v="1"/>
  </r>
  <r>
    <n v="20606"/>
    <s v="Married"/>
    <s v="Female"/>
    <n v="70000"/>
    <s v="Medium Income"/>
    <n v="0"/>
    <s v="Bachelors"/>
    <s v="Professional"/>
    <s v="Yes"/>
    <n v="4"/>
    <s v="More than 10 Miles"/>
    <x v="1"/>
    <n v="32"/>
    <s v="Adults"/>
    <s v="Yes"/>
    <n v="1"/>
    <n v="1"/>
  </r>
  <r>
    <n v="19482"/>
    <s v="Married"/>
    <s v="Male"/>
    <n v="30000"/>
    <s v="Low Income"/>
    <n v="1"/>
    <s v="Partial College"/>
    <s v="Clerical"/>
    <s v="Yes"/>
    <n v="1"/>
    <s v="0-1 Miles"/>
    <x v="0"/>
    <n v="44"/>
    <s v="Middle-Aged"/>
    <s v="Yes"/>
    <n v="1"/>
    <n v="1"/>
  </r>
  <r>
    <n v="16489"/>
    <s v="Married"/>
    <s v="Male"/>
    <n v="30000"/>
    <s v="Low Income"/>
    <n v="3"/>
    <s v="High School"/>
    <s v="Skilled Manual"/>
    <s v="Yes"/>
    <n v="2"/>
    <s v="5-10 Miles"/>
    <x v="1"/>
    <n v="55"/>
    <s v="Middle-Aged"/>
    <s v="No"/>
    <n v="0"/>
    <n v="1"/>
  </r>
  <r>
    <n v="26944"/>
    <s v="Single"/>
    <s v="Male"/>
    <n v="90000"/>
    <s v="Medium Income"/>
    <n v="2"/>
    <s v="High School"/>
    <s v="Manual"/>
    <s v="Yes"/>
    <n v="0"/>
    <s v="0-1 Miles"/>
    <x v="0"/>
    <n v="36"/>
    <s v="Adults"/>
    <s v="Yes"/>
    <n v="1"/>
    <n v="1"/>
  </r>
  <r>
    <n v="15682"/>
    <s v="Single"/>
    <s v="Female"/>
    <n v="80000"/>
    <s v="Medium Income"/>
    <n v="5"/>
    <s v="Bachelors"/>
    <s v="Management"/>
    <s v="Yes"/>
    <n v="2"/>
    <s v="More than 10 Miles"/>
    <x v="0"/>
    <n v="62"/>
    <s v="Seniors"/>
    <s v="No"/>
    <n v="0"/>
    <n v="1"/>
  </r>
  <r>
    <n v="26032"/>
    <s v="Married"/>
    <s v="Female"/>
    <n v="70000"/>
    <s v="Medium Income"/>
    <n v="5"/>
    <s v="Bachelors"/>
    <s v="Professional"/>
    <s v="Yes"/>
    <n v="4"/>
    <s v="More than 10 Miles"/>
    <x v="1"/>
    <n v="41"/>
    <s v="Middle-Aged"/>
    <s v="No"/>
    <n v="0"/>
    <n v="1"/>
  </r>
  <r>
    <n v="17843"/>
    <s v="Single"/>
    <s v="Female"/>
    <n v="10000"/>
    <s v="Low Income"/>
    <n v="0"/>
    <s v="Partial High School"/>
    <s v="Manual"/>
    <s v="No"/>
    <n v="2"/>
    <s v="0-1 Miles"/>
    <x v="0"/>
    <n v="32"/>
    <s v="Adults"/>
    <s v="No"/>
    <n v="0"/>
    <n v="1"/>
  </r>
  <r>
    <n v="25559"/>
    <s v="Single"/>
    <s v="Male"/>
    <n v="20000"/>
    <s v="Low Income"/>
    <n v="0"/>
    <s v="Bachelors"/>
    <s v="Clerical"/>
    <s v="Yes"/>
    <n v="0"/>
    <s v="0-1 Miles"/>
    <x v="1"/>
    <n v="25"/>
    <s v="Young Adults"/>
    <s v="Yes"/>
    <n v="1"/>
    <n v="1"/>
  </r>
  <r>
    <n v="16209"/>
    <s v="Single"/>
    <s v="Female"/>
    <n v="50000"/>
    <s v="Low Income"/>
    <n v="0"/>
    <s v="Graduate Degree"/>
    <s v="Skilled Manual"/>
    <s v="Yes"/>
    <n v="0"/>
    <s v="1-2 Miles"/>
    <x v="0"/>
    <n v="36"/>
    <s v="Adults"/>
    <s v="No"/>
    <n v="0"/>
    <n v="1"/>
  </r>
  <r>
    <n v="11147"/>
    <s v="Married"/>
    <s v="Male"/>
    <n v="60000"/>
    <s v="Low Income"/>
    <n v="2"/>
    <s v="Graduate Degree"/>
    <s v="Management"/>
    <s v="Yes"/>
    <n v="1"/>
    <s v="0-1 Miles"/>
    <x v="1"/>
    <n v="67"/>
    <s v="Seniors"/>
    <s v="Yes"/>
    <n v="1"/>
    <n v="1"/>
  </r>
  <r>
    <n v="15214"/>
    <s v="Single"/>
    <s v="Female"/>
    <n v="100000"/>
    <s v="Medium Income"/>
    <n v="0"/>
    <s v="Graduate Degree"/>
    <s v="Management"/>
    <s v="No"/>
    <n v="1"/>
    <s v="1-2 Miles"/>
    <x v="1"/>
    <n v="39"/>
    <s v="Adults"/>
    <s v="Yes"/>
    <n v="1"/>
    <n v="1"/>
  </r>
  <r>
    <n v="11453"/>
    <s v="Single"/>
    <s v="Male"/>
    <n v="80000"/>
    <s v="Medium Income"/>
    <n v="0"/>
    <s v="Bachelors"/>
    <s v="Professional"/>
    <s v="No"/>
    <n v="3"/>
    <s v="More than 10 Miles"/>
    <x v="1"/>
    <n v="33"/>
    <s v="Adults"/>
    <s v="Yes"/>
    <n v="1"/>
    <n v="1"/>
  </r>
  <r>
    <n v="24584"/>
    <s v="Single"/>
    <s v="Male"/>
    <n v="60000"/>
    <s v="Low Income"/>
    <n v="0"/>
    <s v="Bachelors"/>
    <s v="Professional"/>
    <s v="No"/>
    <n v="3"/>
    <s v="2-5 Miles"/>
    <x v="1"/>
    <n v="31"/>
    <s v="Adults"/>
    <s v="No"/>
    <n v="0"/>
    <n v="1"/>
  </r>
  <r>
    <n v="12585"/>
    <s v="Married"/>
    <s v="Male"/>
    <n v="10000"/>
    <s v="Low Income"/>
    <n v="1"/>
    <s v="High School"/>
    <s v="Manual"/>
    <s v="Yes"/>
    <n v="0"/>
    <s v="2-5 Miles"/>
    <x v="1"/>
    <n v="27"/>
    <s v="Young Adults"/>
    <s v="Yes"/>
    <n v="1"/>
    <n v="1"/>
  </r>
  <r>
    <n v="18626"/>
    <s v="Single"/>
    <s v="Male"/>
    <n v="40000"/>
    <s v="Low Income"/>
    <n v="2"/>
    <s v="Partial College"/>
    <s v="Clerical"/>
    <s v="Yes"/>
    <n v="0"/>
    <s v="1-2 Miles"/>
    <x v="0"/>
    <n v="33"/>
    <s v="Adults"/>
    <s v="Yes"/>
    <n v="1"/>
    <n v="1"/>
  </r>
  <r>
    <n v="29298"/>
    <s v="Single"/>
    <s v="Female"/>
    <n v="60000"/>
    <s v="Low Income"/>
    <n v="1"/>
    <s v="Partial College"/>
    <s v="Skilled Manual"/>
    <s v="Yes"/>
    <n v="1"/>
    <s v="5-10 Miles"/>
    <x v="1"/>
    <n v="46"/>
    <s v="Middle-Aged"/>
    <s v="Yes"/>
    <n v="1"/>
    <n v="1"/>
  </r>
  <r>
    <n v="24842"/>
    <s v="Single"/>
    <s v="Female"/>
    <n v="90000"/>
    <s v="Medium Income"/>
    <n v="3"/>
    <s v="High School"/>
    <s v="Professional"/>
    <s v="No"/>
    <n v="1"/>
    <s v="2-5 Miles"/>
    <x v="0"/>
    <n v="51"/>
    <s v="Middle-Aged"/>
    <s v="No"/>
    <n v="0"/>
    <n v="1"/>
  </r>
  <r>
    <n v="15657"/>
    <s v="Married"/>
    <s v="Male"/>
    <n v="30000"/>
    <s v="Low Income"/>
    <n v="3"/>
    <s v="Graduate Degree"/>
    <s v="Clerical"/>
    <s v="Yes"/>
    <n v="0"/>
    <s v="0-1 Miles"/>
    <x v="0"/>
    <n v="46"/>
    <s v="Middle-Aged"/>
    <s v="Yes"/>
    <n v="1"/>
    <n v="1"/>
  </r>
  <r>
    <n v="11415"/>
    <s v="Single"/>
    <s v="Male"/>
    <n v="90000"/>
    <s v="Medium Income"/>
    <n v="5"/>
    <s v="Partial College"/>
    <s v="Professional"/>
    <s v="No"/>
    <n v="2"/>
    <s v="More than 10 Miles"/>
    <x v="0"/>
    <n v="62"/>
    <s v="Seniors"/>
    <s v="No"/>
    <n v="0"/>
    <n v="1"/>
  </r>
  <r>
    <n v="28729"/>
    <s v="Single"/>
    <s v="Female"/>
    <n v="20000"/>
    <s v="Low Income"/>
    <n v="0"/>
    <s v="Partial High School"/>
    <s v="Manual"/>
    <s v="Yes"/>
    <n v="2"/>
    <s v="1-2 Miles"/>
    <x v="0"/>
    <n v="26"/>
    <s v="Young Adults"/>
    <s v="Yes"/>
    <n v="1"/>
    <n v="1"/>
  </r>
  <r>
    <n v="22633"/>
    <s v="Single"/>
    <s v="Female"/>
    <n v="40000"/>
    <s v="Low Income"/>
    <n v="0"/>
    <s v="Graduate Degree"/>
    <s v="Clerical"/>
    <s v="Yes"/>
    <n v="0"/>
    <s v="0-1 Miles"/>
    <x v="0"/>
    <n v="37"/>
    <s v="Adults"/>
    <s v="Yes"/>
    <n v="1"/>
    <n v="1"/>
  </r>
  <r>
    <n v="25649"/>
    <s v="Single"/>
    <s v="Female"/>
    <n v="30000"/>
    <s v="Low Income"/>
    <n v="3"/>
    <s v="Partial College"/>
    <s v="Clerical"/>
    <s v="Yes"/>
    <n v="0"/>
    <s v="0-1 Miles"/>
    <x v="0"/>
    <n v="42"/>
    <s v="Middle-Aged"/>
    <s v="Yes"/>
    <n v="1"/>
    <n v="1"/>
  </r>
  <r>
    <n v="14669"/>
    <s v="Married"/>
    <s v="Female"/>
    <n v="80000"/>
    <s v="Medium Income"/>
    <n v="4"/>
    <s v="Graduate Degree"/>
    <s v="Management"/>
    <s v="Yes"/>
    <n v="1"/>
    <s v="0-1 Miles"/>
    <x v="1"/>
    <n v="36"/>
    <s v="Adults"/>
    <s v="No"/>
    <n v="0"/>
    <n v="1"/>
  </r>
  <r>
    <n v="19299"/>
    <s v="Married"/>
    <s v="Female"/>
    <n v="50000"/>
    <s v="Low Income"/>
    <n v="0"/>
    <s v="Graduate Degree"/>
    <s v="Skilled Manual"/>
    <s v="Yes"/>
    <n v="0"/>
    <s v="0-1 Miles"/>
    <x v="0"/>
    <n v="36"/>
    <s v="Adults"/>
    <s v="Yes"/>
    <n v="1"/>
    <n v="1"/>
  </r>
  <r>
    <n v="20946"/>
    <s v="Single"/>
    <s v="Female"/>
    <n v="30000"/>
    <s v="Low Income"/>
    <n v="0"/>
    <s v="Partial College"/>
    <s v="Clerical"/>
    <s v="No"/>
    <n v="1"/>
    <s v="2-5 Miles"/>
    <x v="0"/>
    <n v="30"/>
    <s v="Adults"/>
    <s v="No"/>
    <n v="0"/>
    <n v="1"/>
  </r>
  <r>
    <n v="11451"/>
    <s v="Single"/>
    <s v="Male"/>
    <n v="70000"/>
    <s v="Medium Income"/>
    <n v="0"/>
    <s v="Bachelors"/>
    <s v="Professional"/>
    <s v="No"/>
    <n v="4"/>
    <s v="More than 10 Miles"/>
    <x v="1"/>
    <n v="31"/>
    <s v="Adults"/>
    <s v="Yes"/>
    <n v="1"/>
    <n v="1"/>
  </r>
  <r>
    <n v="25553"/>
    <s v="Married"/>
    <s v="Male"/>
    <n v="30000"/>
    <s v="Low Income"/>
    <n v="1"/>
    <s v="Bachelors"/>
    <s v="Clerical"/>
    <s v="Yes"/>
    <n v="0"/>
    <s v="0-1 Miles"/>
    <x v="0"/>
    <n v="65"/>
    <s v="Seniors"/>
    <s v="Yes"/>
    <n v="1"/>
    <n v="1"/>
  </r>
  <r>
    <n v="27951"/>
    <s v="Single"/>
    <s v="Male"/>
    <n v="80000"/>
    <s v="Medium Income"/>
    <n v="4"/>
    <s v="Partial College"/>
    <s v="Professional"/>
    <s v="No"/>
    <n v="2"/>
    <s v="2-5 Miles"/>
    <x v="0"/>
    <n v="54"/>
    <s v="Middle-Aged"/>
    <s v="Yes"/>
    <n v="1"/>
    <n v="1"/>
  </r>
  <r>
    <n v="25026"/>
    <s v="Married"/>
    <s v="Male"/>
    <n v="20000"/>
    <s v="Low Income"/>
    <n v="2"/>
    <s v="Partial High School"/>
    <s v="Clerical"/>
    <s v="Yes"/>
    <n v="3"/>
    <s v="5-10 Miles"/>
    <x v="1"/>
    <n v="54"/>
    <s v="Middle-Aged"/>
    <s v="No"/>
    <n v="0"/>
    <n v="1"/>
  </r>
  <r>
    <n v="13673"/>
    <s v="Single"/>
    <s v="Female"/>
    <n v="20000"/>
    <s v="Low Income"/>
    <n v="0"/>
    <s v="Partial High School"/>
    <s v="Manual"/>
    <s v="No"/>
    <n v="2"/>
    <s v="0-1 Miles"/>
    <x v="0"/>
    <n v="25"/>
    <s v="Young Adults"/>
    <s v="No"/>
    <n v="0"/>
    <n v="1"/>
  </r>
  <r>
    <n v="16043"/>
    <s v="Single"/>
    <s v="Male"/>
    <n v="10000"/>
    <s v="Low Income"/>
    <n v="1"/>
    <s v="Bachelors"/>
    <s v="Manual"/>
    <s v="Yes"/>
    <n v="0"/>
    <s v="0-1 Miles"/>
    <x v="0"/>
    <n v="48"/>
    <s v="Middle-Aged"/>
    <s v="No"/>
    <n v="0"/>
    <n v="1"/>
  </r>
  <r>
    <n v="22399"/>
    <s v="Single"/>
    <s v="Male"/>
    <n v="10000"/>
    <s v="Low Income"/>
    <n v="0"/>
    <s v="Partial College"/>
    <s v="Manual"/>
    <s v="Yes"/>
    <n v="1"/>
    <s v="1-2 Miles"/>
    <x v="1"/>
    <n v="26"/>
    <s v="Young Adults"/>
    <s v="Yes"/>
    <n v="1"/>
    <n v="1"/>
  </r>
  <r>
    <n v="27696"/>
    <s v="Married"/>
    <s v="Male"/>
    <n v="60000"/>
    <s v="Low Income"/>
    <n v="1"/>
    <s v="Bachelors"/>
    <s v="Professional"/>
    <s v="Yes"/>
    <n v="1"/>
    <s v="5-10 Miles"/>
    <x v="1"/>
    <n v="43"/>
    <s v="Middle-Aged"/>
    <s v="Yes"/>
    <n v="1"/>
    <n v="1"/>
  </r>
  <r>
    <n v="25313"/>
    <s v="Single"/>
    <s v="Male"/>
    <n v="10000"/>
    <s v="Low Income"/>
    <n v="0"/>
    <s v="Partial High School"/>
    <s v="Manual"/>
    <s v="No"/>
    <n v="2"/>
    <s v="1-2 Miles"/>
    <x v="0"/>
    <n v="35"/>
    <s v="Adults"/>
    <s v="No"/>
    <n v="0"/>
    <n v="1"/>
  </r>
  <r>
    <n v="13813"/>
    <s v="Married"/>
    <s v="Female"/>
    <n v="30000"/>
    <s v="Low Income"/>
    <n v="3"/>
    <s v="Partial College"/>
    <s v="Clerical"/>
    <s v="No"/>
    <n v="0"/>
    <s v="0-1 Miles"/>
    <x v="0"/>
    <n v="42"/>
    <s v="Middle-Aged"/>
    <s v="No"/>
    <n v="0"/>
    <n v="1"/>
  </r>
  <r>
    <n v="18711"/>
    <s v="Single"/>
    <s v="Female"/>
    <n v="70000"/>
    <s v="Medium Income"/>
    <n v="5"/>
    <s v="Bachelors"/>
    <s v="Professional"/>
    <s v="Yes"/>
    <n v="4"/>
    <s v="More than 10 Miles"/>
    <x v="1"/>
    <n v="39"/>
    <s v="Adults"/>
    <s v="No"/>
    <n v="0"/>
    <n v="1"/>
  </r>
  <r>
    <n v="19650"/>
    <s v="Married"/>
    <s v="Female"/>
    <n v="30000"/>
    <s v="Low Income"/>
    <n v="2"/>
    <s v="Partial College"/>
    <s v="Clerical"/>
    <s v="No"/>
    <n v="2"/>
    <s v="0-1 Miles"/>
    <x v="1"/>
    <n v="67"/>
    <s v="Seniors"/>
    <s v="No"/>
    <n v="0"/>
    <n v="1"/>
  </r>
  <r>
    <n v="14135"/>
    <s v="Married"/>
    <s v="Male"/>
    <n v="20000"/>
    <s v="Low Income"/>
    <n v="1"/>
    <s v="Partial College"/>
    <s v="Manual"/>
    <s v="Yes"/>
    <n v="0"/>
    <s v="1-2 Miles"/>
    <x v="0"/>
    <n v="35"/>
    <s v="Adults"/>
    <s v="No"/>
    <n v="0"/>
    <n v="1"/>
  </r>
  <r>
    <n v="12833"/>
    <s v="Single"/>
    <s v="Female"/>
    <n v="20000"/>
    <s v="Low Income"/>
    <n v="3"/>
    <s v="High School"/>
    <s v="Manual"/>
    <s v="Yes"/>
    <n v="1"/>
    <s v="0-1 Miles"/>
    <x v="0"/>
    <n v="42"/>
    <s v="Middle-Aged"/>
    <s v="Yes"/>
    <n v="1"/>
    <n v="1"/>
  </r>
  <r>
    <n v="26849"/>
    <s v="Married"/>
    <s v="Male"/>
    <n v="10000"/>
    <s v="Low Income"/>
    <n v="3"/>
    <s v="Partial High School"/>
    <s v="Manual"/>
    <s v="Yes"/>
    <n v="2"/>
    <s v="0-1 Miles"/>
    <x v="0"/>
    <n v="43"/>
    <s v="Middle-Aged"/>
    <s v="No"/>
    <n v="0"/>
    <n v="1"/>
  </r>
  <r>
    <n v="20962"/>
    <s v="Married"/>
    <s v="Female"/>
    <n v="20000"/>
    <s v="Low Income"/>
    <n v="1"/>
    <s v="Graduate Degree"/>
    <s v="Clerical"/>
    <s v="Yes"/>
    <n v="0"/>
    <s v="0-1 Miles"/>
    <x v="0"/>
    <n v="45"/>
    <s v="Middle-Aged"/>
    <s v="No"/>
    <n v="0"/>
    <n v="1"/>
  </r>
  <r>
    <n v="28915"/>
    <s v="Single"/>
    <s v="Male"/>
    <n v="80000"/>
    <s v="Medium Income"/>
    <n v="5"/>
    <s v="High School"/>
    <s v="Management"/>
    <s v="Yes"/>
    <n v="3"/>
    <s v="More than 10 Miles"/>
    <x v="0"/>
    <n v="57"/>
    <s v="Middle-Aged"/>
    <s v="No"/>
    <n v="0"/>
    <n v="1"/>
  </r>
  <r>
    <n v="22830"/>
    <s v="Married"/>
    <s v="Male"/>
    <n v="120000"/>
    <s v="Medium Income"/>
    <n v="4"/>
    <s v="Partial College"/>
    <s v="Management"/>
    <s v="Yes"/>
    <n v="3"/>
    <s v="More than 10 Miles"/>
    <x v="0"/>
    <n v="56"/>
    <s v="Middle-Aged"/>
    <s v="No"/>
    <n v="0"/>
    <n v="1"/>
  </r>
  <r>
    <n v="14777"/>
    <s v="Married"/>
    <s v="Female"/>
    <n v="40000"/>
    <s v="Low Income"/>
    <n v="0"/>
    <s v="Bachelors"/>
    <s v="Clerical"/>
    <s v="Yes"/>
    <n v="0"/>
    <s v="0-1 Miles"/>
    <x v="0"/>
    <n v="38"/>
    <s v="Adults"/>
    <s v="Yes"/>
    <n v="1"/>
    <n v="1"/>
  </r>
  <r>
    <n v="12591"/>
    <s v="Married"/>
    <s v="Female"/>
    <n v="30000"/>
    <s v="Low Income"/>
    <n v="4"/>
    <s v="Graduate Degree"/>
    <s v="Clerical"/>
    <s v="Yes"/>
    <n v="0"/>
    <s v="0-1 Miles"/>
    <x v="0"/>
    <n v="45"/>
    <s v="Middle-Aged"/>
    <s v="No"/>
    <n v="0"/>
    <n v="1"/>
  </r>
  <r>
    <n v="24174"/>
    <s v="Married"/>
    <s v="Male"/>
    <n v="20000"/>
    <s v="Low Income"/>
    <n v="0"/>
    <s v="Bachelors"/>
    <s v="Clerical"/>
    <s v="Yes"/>
    <n v="0"/>
    <s v="0-1 Miles"/>
    <x v="1"/>
    <n v="27"/>
    <s v="Young Adults"/>
    <s v="Yes"/>
    <n v="1"/>
    <n v="1"/>
  </r>
  <r>
    <n v="24611"/>
    <s v="Single"/>
    <s v="Male"/>
    <n v="90000"/>
    <s v="Medium Income"/>
    <n v="0"/>
    <s v="Bachelors"/>
    <s v="Professional"/>
    <s v="No"/>
    <n v="4"/>
    <s v="More than 10 Miles"/>
    <x v="1"/>
    <n v="35"/>
    <s v="Adults"/>
    <s v="Yes"/>
    <n v="1"/>
    <n v="1"/>
  </r>
  <r>
    <n v="11340"/>
    <s v="Married"/>
    <s v="Female"/>
    <n v="10000"/>
    <s v="Low Income"/>
    <n v="1"/>
    <s v="Graduate Degree"/>
    <s v="Clerical"/>
    <s v="Yes"/>
    <n v="0"/>
    <s v="0-1 Miles"/>
    <x v="0"/>
    <n v="70"/>
    <s v="Seniors"/>
    <s v="Yes"/>
    <n v="1"/>
    <n v="1"/>
  </r>
  <r>
    <n v="25693"/>
    <s v="Single"/>
    <s v="Female"/>
    <n v="30000"/>
    <s v="Low Income"/>
    <n v="5"/>
    <s v="Graduate Degree"/>
    <s v="Clerical"/>
    <s v="Yes"/>
    <n v="0"/>
    <s v="0-1 Miles"/>
    <x v="0"/>
    <n v="44"/>
    <s v="Middle-Aged"/>
    <s v="Yes"/>
    <n v="1"/>
    <n v="1"/>
  </r>
  <r>
    <n v="25555"/>
    <s v="Married"/>
    <s v="Female"/>
    <n v="10000"/>
    <s v="Low Income"/>
    <n v="0"/>
    <s v="Partial College"/>
    <s v="Manual"/>
    <s v="No"/>
    <n v="1"/>
    <s v="0-1 Miles"/>
    <x v="1"/>
    <n v="26"/>
    <s v="Young Adults"/>
    <s v="Yes"/>
    <n v="1"/>
    <n v="1"/>
  </r>
  <r>
    <n v="22006"/>
    <s v="Married"/>
    <s v="Male"/>
    <n v="70000"/>
    <s v="Medium Income"/>
    <n v="5"/>
    <s v="Partial College"/>
    <s v="Skilled Manual"/>
    <s v="Yes"/>
    <n v="3"/>
    <s v="5-10 Miles"/>
    <x v="1"/>
    <n v="46"/>
    <s v="Middle-Aged"/>
    <s v="No"/>
    <n v="0"/>
    <n v="1"/>
  </r>
  <r>
    <n v="20060"/>
    <s v="Single"/>
    <s v="Female"/>
    <n v="30000"/>
    <s v="Low Income"/>
    <n v="0"/>
    <s v="High School"/>
    <s v="Manual"/>
    <s v="No"/>
    <n v="1"/>
    <s v="2-5 Miles"/>
    <x v="0"/>
    <n v="34"/>
    <s v="Adults"/>
    <s v="Yes"/>
    <n v="1"/>
    <n v="1"/>
  </r>
  <r>
    <n v="17702"/>
    <s v="Married"/>
    <s v="Male"/>
    <n v="10000"/>
    <s v="Low Income"/>
    <n v="1"/>
    <s v="Graduate Degree"/>
    <s v="Manual"/>
    <s v="Yes"/>
    <n v="0"/>
    <s v="0-1 Miles"/>
    <x v="0"/>
    <n v="37"/>
    <s v="Adults"/>
    <s v="No"/>
    <n v="0"/>
    <n v="1"/>
  </r>
  <r>
    <n v="12503"/>
    <s v="Single"/>
    <s v="Female"/>
    <n v="30000"/>
    <s v="Low Income"/>
    <n v="3"/>
    <s v="Partial College"/>
    <s v="Clerical"/>
    <s v="Yes"/>
    <n v="2"/>
    <s v="0-1 Miles"/>
    <x v="0"/>
    <n v="27"/>
    <s v="Young Adults"/>
    <s v="No"/>
    <n v="0"/>
    <n v="1"/>
  </r>
  <r>
    <n v="23908"/>
    <s v="Single"/>
    <s v="Male"/>
    <n v="30000"/>
    <s v="Low Income"/>
    <n v="1"/>
    <s v="Bachelors"/>
    <s v="Clerical"/>
    <s v="No"/>
    <n v="1"/>
    <s v="0-1 Miles"/>
    <x v="0"/>
    <n v="39"/>
    <s v="Adults"/>
    <s v="Yes"/>
    <n v="1"/>
    <n v="1"/>
  </r>
  <r>
    <n v="22527"/>
    <s v="Single"/>
    <s v="Female"/>
    <n v="20000"/>
    <s v="Low Income"/>
    <n v="0"/>
    <s v="High School"/>
    <s v="Manual"/>
    <s v="No"/>
    <n v="1"/>
    <s v="2-5 Miles"/>
    <x v="0"/>
    <n v="29"/>
    <s v="Young Adults"/>
    <s v="No"/>
    <n v="0"/>
    <n v="1"/>
  </r>
  <r>
    <n v="19057"/>
    <s v="Married"/>
    <s v="Female"/>
    <n v="120000"/>
    <s v="Medium Income"/>
    <n v="3"/>
    <s v="Bachelors"/>
    <s v="Management"/>
    <s v="No"/>
    <n v="2"/>
    <s v="More than 10 Miles"/>
    <x v="0"/>
    <n v="52"/>
    <s v="Middle-Aged"/>
    <s v="Yes"/>
    <n v="1"/>
    <n v="1"/>
  </r>
  <r>
    <n v="18494"/>
    <s v="Married"/>
    <s v="Male"/>
    <n v="110000"/>
    <s v="Medium Income"/>
    <n v="5"/>
    <s v="Bachelors"/>
    <s v="Management"/>
    <s v="Yes"/>
    <n v="4"/>
    <s v="2-5 Miles"/>
    <x v="1"/>
    <n v="48"/>
    <s v="Middle-Aged"/>
    <s v="Yes"/>
    <n v="1"/>
    <n v="1"/>
  </r>
  <r>
    <n v="11249"/>
    <s v="Married"/>
    <s v="Female"/>
    <n v="130000"/>
    <s v="High Income"/>
    <n v="3"/>
    <s v="Partial College"/>
    <s v="Professional"/>
    <s v="Yes"/>
    <n v="3"/>
    <s v="0-1 Miles"/>
    <x v="0"/>
    <n v="51"/>
    <s v="Middle-Aged"/>
    <s v="Yes"/>
    <n v="1"/>
    <n v="1"/>
  </r>
  <r>
    <n v="21568"/>
    <s v="Married"/>
    <s v="Female"/>
    <n v="100000"/>
    <s v="Medium Income"/>
    <n v="0"/>
    <s v="High School"/>
    <s v="Management"/>
    <s v="Yes"/>
    <n v="4"/>
    <s v="More than 10 Miles"/>
    <x v="1"/>
    <n v="34"/>
    <s v="Adults"/>
    <s v="Yes"/>
    <n v="1"/>
    <n v="1"/>
  </r>
  <r>
    <n v="13981"/>
    <s v="Married"/>
    <s v="Female"/>
    <n v="10000"/>
    <s v="Low Income"/>
    <n v="5"/>
    <s v="High School"/>
    <s v="Skilled Manual"/>
    <s v="No"/>
    <n v="3"/>
    <s v="1-2 Miles"/>
    <x v="1"/>
    <n v="62"/>
    <s v="Seniors"/>
    <s v="No"/>
    <n v="0"/>
    <n v="1"/>
  </r>
  <r>
    <n v="23432"/>
    <s v="Single"/>
    <s v="Male"/>
    <n v="70000"/>
    <s v="Medium Income"/>
    <n v="0"/>
    <s v="Bachelors"/>
    <s v="Professional"/>
    <s v="Yes"/>
    <n v="1"/>
    <s v="5-10 Miles"/>
    <x v="1"/>
    <n v="37"/>
    <s v="Adults"/>
    <s v="Yes"/>
    <n v="1"/>
    <n v="1"/>
  </r>
  <r>
    <n v="22931"/>
    <s v="Married"/>
    <s v="Male"/>
    <n v="100000"/>
    <s v="Medium Income"/>
    <n v="5"/>
    <s v="Graduate Degree"/>
    <s v="Management"/>
    <s v="No"/>
    <n v="1"/>
    <s v="1-2 Miles"/>
    <x v="1"/>
    <n v="78"/>
    <s v="Seniors"/>
    <s v="Yes"/>
    <n v="1"/>
    <n v="1"/>
  </r>
  <r>
    <n v="18172"/>
    <s v="Married"/>
    <s v="Male"/>
    <n v="130000"/>
    <s v="High Income"/>
    <n v="4"/>
    <s v="High School"/>
    <s v="Professional"/>
    <s v="Yes"/>
    <n v="3"/>
    <s v="0-1 Miles"/>
    <x v="0"/>
    <n v="55"/>
    <s v="Middle-Aged"/>
    <s v="No"/>
    <n v="0"/>
    <n v="1"/>
  </r>
  <r>
    <n v="12666"/>
    <s v="Single"/>
    <s v="Male"/>
    <n v="60000"/>
    <s v="Low Income"/>
    <n v="0"/>
    <s v="Bachelors"/>
    <s v="Professional"/>
    <s v="No"/>
    <n v="4"/>
    <s v="2-5 Miles"/>
    <x v="1"/>
    <n v="31"/>
    <s v="Adults"/>
    <s v="No"/>
    <n v="0"/>
    <n v="1"/>
  </r>
  <r>
    <n v="20598"/>
    <s v="Married"/>
    <s v="Male"/>
    <n v="100000"/>
    <s v="Medium Income"/>
    <n v="3"/>
    <s v="Partial High School"/>
    <s v="Professional"/>
    <s v="Yes"/>
    <n v="0"/>
    <s v="More than 10 Miles"/>
    <x v="0"/>
    <n v="59"/>
    <s v="Middle-Aged"/>
    <s v="Yes"/>
    <n v="1"/>
    <n v="1"/>
  </r>
  <r>
    <n v="21375"/>
    <s v="Single"/>
    <s v="Male"/>
    <n v="20000"/>
    <s v="Low Income"/>
    <n v="2"/>
    <s v="Partial High School"/>
    <s v="Clerical"/>
    <s v="Yes"/>
    <n v="2"/>
    <s v="5-10 Miles"/>
    <x v="1"/>
    <n v="57"/>
    <s v="Middle-Aged"/>
    <s v="No"/>
    <n v="0"/>
    <n v="1"/>
  </r>
  <r>
    <n v="20839"/>
    <s v="Single"/>
    <s v="Female"/>
    <n v="30000"/>
    <s v="Low Income"/>
    <n v="3"/>
    <s v="Graduate Degree"/>
    <s v="Clerical"/>
    <s v="Yes"/>
    <n v="0"/>
    <s v="0-1 Miles"/>
    <x v="0"/>
    <n v="47"/>
    <s v="Middle-Aged"/>
    <s v="Yes"/>
    <n v="1"/>
    <n v="1"/>
  </r>
  <r>
    <n v="21738"/>
    <s v="Married"/>
    <s v="Male"/>
    <n v="20000"/>
    <s v="Low Income"/>
    <n v="1"/>
    <s v="Graduate Degree"/>
    <s v="Clerical"/>
    <s v="Yes"/>
    <n v="0"/>
    <s v="0-1 Miles"/>
    <x v="0"/>
    <n v="43"/>
    <s v="Middle-Aged"/>
    <s v="No"/>
    <n v="0"/>
    <n v="1"/>
  </r>
  <r>
    <n v="14164"/>
    <s v="Single"/>
    <s v="Female"/>
    <n v="50000"/>
    <s v="Low Income"/>
    <n v="0"/>
    <s v="Graduate Degree"/>
    <s v="Skilled Manual"/>
    <s v="Yes"/>
    <n v="0"/>
    <s v="0-1 Miles"/>
    <x v="0"/>
    <n v="36"/>
    <s v="Adults"/>
    <s v="Yes"/>
    <n v="1"/>
    <n v="1"/>
  </r>
  <r>
    <n v="14193"/>
    <s v="Single"/>
    <s v="Female"/>
    <n v="100000"/>
    <s v="Medium Income"/>
    <n v="3"/>
    <s v="Partial College"/>
    <s v="Management"/>
    <s v="Yes"/>
    <n v="4"/>
    <s v="More than 10 Miles"/>
    <x v="0"/>
    <n v="56"/>
    <s v="Middle-Aged"/>
    <s v="No"/>
    <n v="0"/>
    <n v="1"/>
  </r>
  <r>
    <n v="12705"/>
    <s v="Married"/>
    <s v="Male"/>
    <n v="150000"/>
    <s v="High Income"/>
    <n v="0"/>
    <s v="Bachelors"/>
    <s v="Management"/>
    <s v="Yes"/>
    <n v="4"/>
    <s v="0-1 Miles"/>
    <x v="1"/>
    <n v="37"/>
    <s v="Adults"/>
    <s v="Yes"/>
    <n v="1"/>
    <n v="1"/>
  </r>
  <r>
    <n v="22672"/>
    <s v="Single"/>
    <s v="Female"/>
    <n v="30000"/>
    <s v="Low Income"/>
    <n v="2"/>
    <s v="Partial College"/>
    <s v="Clerical"/>
    <s v="Yes"/>
    <n v="0"/>
    <s v="0-1 Miles"/>
    <x v="0"/>
    <n v="43"/>
    <s v="Middle-Aged"/>
    <s v="No"/>
    <n v="0"/>
    <n v="1"/>
  </r>
  <r>
    <n v="26219"/>
    <s v="Married"/>
    <s v="Female"/>
    <n v="40000"/>
    <s v="Low Income"/>
    <n v="1"/>
    <s v="Bachelors"/>
    <s v="Skilled Manual"/>
    <s v="Yes"/>
    <n v="1"/>
    <s v="1-2 Miles"/>
    <x v="0"/>
    <n v="33"/>
    <s v="Adults"/>
    <s v="Yes"/>
    <n v="1"/>
    <n v="1"/>
  </r>
  <r>
    <n v="28468"/>
    <s v="Married"/>
    <s v="Female"/>
    <n v="10000"/>
    <s v="Low Income"/>
    <n v="2"/>
    <s v="Partial College"/>
    <s v="Manual"/>
    <s v="Yes"/>
    <n v="0"/>
    <s v="1-2 Miles"/>
    <x v="0"/>
    <n v="51"/>
    <s v="Middle-Aged"/>
    <s v="No"/>
    <n v="0"/>
    <n v="1"/>
  </r>
  <r>
    <n v="23419"/>
    <s v="Single"/>
    <s v="Female"/>
    <n v="70000"/>
    <s v="Medium Income"/>
    <n v="5"/>
    <s v="Bachelors"/>
    <s v="Professional"/>
    <s v="Yes"/>
    <n v="3"/>
    <s v="More than 10 Miles"/>
    <x v="1"/>
    <n v="39"/>
    <s v="Adults"/>
    <s v="No"/>
    <n v="0"/>
    <n v="1"/>
  </r>
  <r>
    <n v="17964"/>
    <s v="Married"/>
    <s v="Male"/>
    <n v="40000"/>
    <s v="Low Income"/>
    <n v="0"/>
    <s v="Graduate Degree"/>
    <s v="Clerical"/>
    <s v="Yes"/>
    <n v="0"/>
    <s v="0-1 Miles"/>
    <x v="0"/>
    <n v="37"/>
    <s v="Adults"/>
    <s v="Yes"/>
    <n v="1"/>
    <n v="1"/>
  </r>
  <r>
    <n v="20919"/>
    <s v="Single"/>
    <s v="Female"/>
    <n v="30000"/>
    <s v="Low Income"/>
    <n v="2"/>
    <s v="Partial College"/>
    <s v="Clerical"/>
    <s v="Yes"/>
    <n v="2"/>
    <s v="0-1 Miles"/>
    <x v="0"/>
    <n v="42"/>
    <s v="Middle-Aged"/>
    <s v="No"/>
    <n v="0"/>
    <n v="1"/>
  </r>
  <r>
    <n v="20927"/>
    <s v="Single"/>
    <s v="Female"/>
    <n v="20000"/>
    <s v="Low Income"/>
    <n v="5"/>
    <s v="High School"/>
    <s v="Manual"/>
    <s v="Yes"/>
    <n v="2"/>
    <s v="0-1 Miles"/>
    <x v="0"/>
    <n v="27"/>
    <s v="Young Adults"/>
    <s v="No"/>
    <n v="0"/>
    <n v="1"/>
  </r>
  <r>
    <n v="13133"/>
    <s v="Single"/>
    <s v="Male"/>
    <n v="100000"/>
    <s v="Medium Income"/>
    <n v="5"/>
    <s v="Bachelors"/>
    <s v="Professional"/>
    <s v="Yes"/>
    <n v="1"/>
    <s v="5-10 Miles"/>
    <x v="1"/>
    <n v="47"/>
    <s v="Middle-Aged"/>
    <s v="Yes"/>
    <n v="1"/>
    <n v="1"/>
  </r>
  <r>
    <n v="19626"/>
    <s v="Married"/>
    <s v="Male"/>
    <n v="70000"/>
    <s v="Medium Income"/>
    <n v="5"/>
    <s v="Partial College"/>
    <s v="Skilled Manual"/>
    <s v="Yes"/>
    <n v="3"/>
    <s v="5-10 Miles"/>
    <x v="1"/>
    <n v="45"/>
    <s v="Middle-Aged"/>
    <s v="No"/>
    <n v="0"/>
    <n v="1"/>
  </r>
  <r>
    <n v="21039"/>
    <s v="Single"/>
    <s v="Female"/>
    <n v="50000"/>
    <s v="Low Income"/>
    <n v="0"/>
    <s v="Graduate Degree"/>
    <s v="Skilled Manual"/>
    <s v="No"/>
    <n v="0"/>
    <s v="0-1 Miles"/>
    <x v="0"/>
    <n v="37"/>
    <s v="Adults"/>
    <s v="Yes"/>
    <n v="1"/>
    <n v="1"/>
  </r>
  <r>
    <n v="12231"/>
    <s v="Single"/>
    <s v="Female"/>
    <n v="10000"/>
    <s v="Low Income"/>
    <n v="2"/>
    <s v="Partial College"/>
    <s v="Manual"/>
    <s v="Yes"/>
    <n v="0"/>
    <s v="0-1 Miles"/>
    <x v="0"/>
    <n v="51"/>
    <s v="Middle-Aged"/>
    <s v="Yes"/>
    <n v="1"/>
    <n v="1"/>
  </r>
  <r>
    <n v="25665"/>
    <s v="Single"/>
    <s v="Female"/>
    <n v="20000"/>
    <s v="Low Income"/>
    <n v="0"/>
    <s v="High School"/>
    <s v="Manual"/>
    <s v="No"/>
    <n v="1"/>
    <s v="1-2 Miles"/>
    <x v="0"/>
    <n v="28"/>
    <s v="Young Adults"/>
    <s v="No"/>
    <n v="0"/>
    <n v="1"/>
  </r>
  <r>
    <n v="24061"/>
    <s v="Married"/>
    <s v="Male"/>
    <n v="10000"/>
    <s v="Low Income"/>
    <n v="4"/>
    <s v="Partial High School"/>
    <s v="Manual"/>
    <s v="Yes"/>
    <n v="1"/>
    <s v="0-1 Miles"/>
    <x v="0"/>
    <n v="40"/>
    <s v="Middle-Aged"/>
    <s v="Yes"/>
    <n v="1"/>
    <n v="1"/>
  </r>
  <r>
    <n v="26879"/>
    <s v="Single"/>
    <s v="Female"/>
    <n v="20000"/>
    <s v="Low Income"/>
    <n v="0"/>
    <s v="High School"/>
    <s v="Manual"/>
    <s v="No"/>
    <n v="1"/>
    <s v="2-5 Miles"/>
    <x v="0"/>
    <n v="30"/>
    <s v="Adults"/>
    <s v="No"/>
    <n v="0"/>
    <n v="1"/>
  </r>
  <r>
    <n v="12284"/>
    <s v="Married"/>
    <s v="Female"/>
    <n v="30000"/>
    <s v="Low Income"/>
    <n v="0"/>
    <s v="Bachelors"/>
    <s v="Clerical"/>
    <s v="No"/>
    <n v="0"/>
    <s v="0-1 Miles"/>
    <x v="0"/>
    <n v="36"/>
    <s v="Adults"/>
    <s v="Yes"/>
    <n v="1"/>
    <n v="1"/>
  </r>
  <r>
    <n v="26654"/>
    <s v="Married"/>
    <s v="Female"/>
    <n v="90000"/>
    <s v="Medium Income"/>
    <n v="1"/>
    <s v="Graduate Degree"/>
    <s v="Management"/>
    <s v="Yes"/>
    <n v="0"/>
    <s v="0-1 Miles"/>
    <x v="1"/>
    <n v="37"/>
    <s v="Adults"/>
    <s v="Yes"/>
    <n v="1"/>
    <n v="1"/>
  </r>
  <r>
    <n v="14545"/>
    <s v="Married"/>
    <s v="Female"/>
    <n v="10000"/>
    <s v="Low Income"/>
    <n v="2"/>
    <s v="Partial College"/>
    <s v="Manual"/>
    <s v="Yes"/>
    <n v="0"/>
    <s v="1-2 Miles"/>
    <x v="0"/>
    <n v="49"/>
    <s v="Middle-Aged"/>
    <s v="No"/>
    <n v="0"/>
    <n v="1"/>
  </r>
  <r>
    <n v="24201"/>
    <s v="Married"/>
    <s v="Female"/>
    <n v="10000"/>
    <s v="Low Income"/>
    <n v="2"/>
    <s v="High School"/>
    <s v="Manual"/>
    <s v="Yes"/>
    <n v="0"/>
    <s v="0-1 Miles"/>
    <x v="0"/>
    <n v="37"/>
    <s v="Adults"/>
    <s v="Yes"/>
    <n v="1"/>
    <n v="1"/>
  </r>
  <r>
    <n v="20625"/>
    <s v="Married"/>
    <s v="Male"/>
    <n v="100000"/>
    <s v="Medium Income"/>
    <n v="0"/>
    <s v="High School"/>
    <s v="Management"/>
    <s v="Yes"/>
    <n v="3"/>
    <s v="More than 10 Miles"/>
    <x v="1"/>
    <n v="35"/>
    <s v="Adults"/>
    <s v="Yes"/>
    <n v="1"/>
    <n v="1"/>
  </r>
  <r>
    <n v="16390"/>
    <s v="Single"/>
    <s v="Male"/>
    <n v="30000"/>
    <s v="Low Income"/>
    <n v="1"/>
    <s v="Bachelors"/>
    <s v="Clerical"/>
    <s v="No"/>
    <n v="0"/>
    <s v="0-1 Miles"/>
    <x v="0"/>
    <n v="38"/>
    <s v="Adults"/>
    <s v="Yes"/>
    <n v="1"/>
    <n v="1"/>
  </r>
  <r>
    <n v="14804"/>
    <s v="Single"/>
    <s v="Female"/>
    <n v="10000"/>
    <s v="Low Income"/>
    <n v="3"/>
    <s v="Partial High School"/>
    <s v="Manual"/>
    <s v="Yes"/>
    <n v="2"/>
    <s v="0-1 Miles"/>
    <x v="0"/>
    <n v="43"/>
    <s v="Middle-Aged"/>
    <s v="No"/>
    <n v="0"/>
    <n v="1"/>
  </r>
  <r>
    <n v="12629"/>
    <s v="Single"/>
    <s v="Male"/>
    <n v="20000"/>
    <s v="Low Income"/>
    <n v="1"/>
    <s v="Partial College"/>
    <s v="Manual"/>
    <s v="No"/>
    <n v="0"/>
    <s v="0-1 Miles"/>
    <x v="0"/>
    <n v="37"/>
    <s v="Adults"/>
    <s v="No"/>
    <n v="0"/>
    <n v="1"/>
  </r>
  <r>
    <n v="14696"/>
    <s v="Single"/>
    <s v="Male"/>
    <n v="10000"/>
    <s v="Low Income"/>
    <n v="0"/>
    <s v="Partial High School"/>
    <s v="Manual"/>
    <s v="No"/>
    <n v="2"/>
    <s v="0-1 Miles"/>
    <x v="0"/>
    <n v="34"/>
    <s v="Adults"/>
    <s v="No"/>
    <n v="0"/>
    <n v="1"/>
  </r>
  <r>
    <n v="22005"/>
    <s v="Married"/>
    <s v="Female"/>
    <n v="70000"/>
    <s v="Medium Income"/>
    <n v="5"/>
    <s v="Partial College"/>
    <s v="Skilled Manual"/>
    <s v="No"/>
    <n v="3"/>
    <s v="5-10 Miles"/>
    <x v="1"/>
    <n v="46"/>
    <s v="Middle-Aged"/>
    <s v="No"/>
    <n v="0"/>
    <n v="1"/>
  </r>
  <r>
    <n v="14544"/>
    <s v="Single"/>
    <s v="Male"/>
    <n v="10000"/>
    <s v="Low Income"/>
    <n v="1"/>
    <s v="Partial College"/>
    <s v="Manual"/>
    <s v="Yes"/>
    <n v="0"/>
    <s v="0-1 Miles"/>
    <x v="0"/>
    <n v="49"/>
    <s v="Middle-Aged"/>
    <s v="No"/>
    <n v="0"/>
    <n v="1"/>
  </r>
  <r>
    <n v="14312"/>
    <s v="Married"/>
    <s v="Female"/>
    <n v="60000"/>
    <s v="Low Income"/>
    <n v="1"/>
    <s v="Partial College"/>
    <s v="Skilled Manual"/>
    <s v="Yes"/>
    <n v="1"/>
    <s v="5-10 Miles"/>
    <x v="1"/>
    <n v="45"/>
    <s v="Middle-Aged"/>
    <s v="No"/>
    <n v="0"/>
    <n v="1"/>
  </r>
  <r>
    <n v="29120"/>
    <s v="Single"/>
    <s v="Female"/>
    <n v="100000"/>
    <s v="Medium Income"/>
    <n v="1"/>
    <s v="Bachelors"/>
    <s v="Management"/>
    <s v="Yes"/>
    <n v="4"/>
    <s v="2-5 Miles"/>
    <x v="1"/>
    <n v="48"/>
    <s v="Middle-Aged"/>
    <s v="No"/>
    <n v="0"/>
    <n v="1"/>
  </r>
  <r>
    <n v="24187"/>
    <s v="Single"/>
    <s v="Female"/>
    <n v="30000"/>
    <s v="Low Income"/>
    <n v="3"/>
    <s v="Graduate Degree"/>
    <s v="Clerical"/>
    <s v="No"/>
    <n v="0"/>
    <s v="0-1 Miles"/>
    <x v="0"/>
    <n v="46"/>
    <s v="Middle-Aged"/>
    <s v="Yes"/>
    <n v="1"/>
    <n v="1"/>
  </r>
  <r>
    <n v="15758"/>
    <s v="Married"/>
    <s v="Male"/>
    <n v="130000"/>
    <s v="High Income"/>
    <n v="0"/>
    <s v="Graduate Degree"/>
    <s v="Management"/>
    <s v="Yes"/>
    <n v="0"/>
    <s v="5-10 Miles"/>
    <x v="1"/>
    <n v="48"/>
    <s v="Middle-Aged"/>
    <s v="No"/>
    <n v="0"/>
    <n v="1"/>
  </r>
  <r>
    <n v="29094"/>
    <s v="Married"/>
    <s v="Male"/>
    <n v="30000"/>
    <s v="Low Income"/>
    <n v="3"/>
    <s v="High School"/>
    <s v="Skilled Manual"/>
    <s v="Yes"/>
    <n v="2"/>
    <s v="5-10 Miles"/>
    <x v="1"/>
    <n v="54"/>
    <s v="Middle-Aged"/>
    <s v="Yes"/>
    <n v="1"/>
    <n v="1"/>
  </r>
  <r>
    <n v="28319"/>
    <s v="Single"/>
    <s v="Female"/>
    <n v="60000"/>
    <s v="Low Income"/>
    <n v="1"/>
    <s v="Partial College"/>
    <s v="Skilled Manual"/>
    <s v="No"/>
    <n v="1"/>
    <s v="0-1 Miles"/>
    <x v="1"/>
    <n v="46"/>
    <s v="Middle-Aged"/>
    <s v="Yes"/>
    <n v="1"/>
    <n v="1"/>
  </r>
  <r>
    <n v="16406"/>
    <s v="Married"/>
    <s v="Male"/>
    <n v="40000"/>
    <s v="Low Income"/>
    <n v="0"/>
    <s v="Bachelors"/>
    <s v="Clerical"/>
    <s v="No"/>
    <n v="0"/>
    <s v="0-1 Miles"/>
    <x v="0"/>
    <n v="38"/>
    <s v="Adults"/>
    <s v="Yes"/>
    <n v="1"/>
    <n v="1"/>
  </r>
  <r>
    <n v="20923"/>
    <s v="Married"/>
    <s v="Female"/>
    <n v="40000"/>
    <s v="Low Income"/>
    <n v="1"/>
    <s v="Bachelors"/>
    <s v="Skilled Manual"/>
    <s v="Yes"/>
    <n v="0"/>
    <s v="0-1 Miles"/>
    <x v="0"/>
    <n v="42"/>
    <s v="Middle-Aged"/>
    <s v="Yes"/>
    <n v="1"/>
    <n v="1"/>
  </r>
  <r>
    <n v="11378"/>
    <s v="Single"/>
    <s v="Female"/>
    <n v="10000"/>
    <s v="Low Income"/>
    <n v="1"/>
    <s v="High School"/>
    <s v="Manual"/>
    <s v="No"/>
    <n v="1"/>
    <s v="2-5 Miles"/>
    <x v="0"/>
    <n v="46"/>
    <s v="Middle-Aged"/>
    <s v="Yes"/>
    <n v="1"/>
    <n v="1"/>
  </r>
  <r>
    <n v="20851"/>
    <s v="Single"/>
    <s v="Male"/>
    <n v="20000"/>
    <s v="Low Income"/>
    <n v="0"/>
    <s v="Partial College"/>
    <s v="Manual"/>
    <s v="No"/>
    <n v="1"/>
    <s v="2-5 Miles"/>
    <x v="0"/>
    <n v="36"/>
    <s v="Adults"/>
    <s v="Yes"/>
    <n v="1"/>
    <n v="1"/>
  </r>
  <r>
    <n v="21557"/>
    <s v="Single"/>
    <s v="Female"/>
    <n v="110000"/>
    <s v="Medium Income"/>
    <n v="0"/>
    <s v="Partial College"/>
    <s v="Management"/>
    <s v="Yes"/>
    <n v="3"/>
    <s v="More than 10 Miles"/>
    <x v="1"/>
    <n v="32"/>
    <s v="Adults"/>
    <s v="Yes"/>
    <n v="1"/>
    <n v="1"/>
  </r>
  <r>
    <n v="26663"/>
    <s v="Single"/>
    <s v="Female"/>
    <n v="60000"/>
    <s v="Low Income"/>
    <n v="2"/>
    <s v="Bachelors"/>
    <s v="Professional"/>
    <s v="No"/>
    <n v="1"/>
    <s v="0-1 Miles"/>
    <x v="1"/>
    <n v="39"/>
    <s v="Adults"/>
    <s v="Yes"/>
    <n v="1"/>
    <n v="1"/>
  </r>
  <r>
    <n v="11896"/>
    <s v="Married"/>
    <s v="Male"/>
    <n v="100000"/>
    <s v="Medium Income"/>
    <n v="1"/>
    <s v="Graduate Degree"/>
    <s v="Management"/>
    <s v="Yes"/>
    <n v="0"/>
    <s v="2-5 Miles"/>
    <x v="1"/>
    <n v="36"/>
    <s v="Adults"/>
    <s v="Yes"/>
    <n v="1"/>
    <n v="1"/>
  </r>
  <r>
    <n v="14189"/>
    <s v="Married"/>
    <s v="Female"/>
    <n v="90000"/>
    <s v="Medium Income"/>
    <n v="4"/>
    <s v="High School"/>
    <s v="Professional"/>
    <s v="No"/>
    <n v="2"/>
    <s v="2-5 Miles"/>
    <x v="0"/>
    <n v="54"/>
    <s v="Middle-Aged"/>
    <s v="Yes"/>
    <n v="1"/>
    <n v="1"/>
  </r>
  <r>
    <n v="13136"/>
    <s v="Married"/>
    <s v="Female"/>
    <n v="30000"/>
    <s v="Low Income"/>
    <n v="2"/>
    <s v="Partial College"/>
    <s v="Clerical"/>
    <s v="No"/>
    <n v="2"/>
    <s v="5-10 Miles"/>
    <x v="1"/>
    <n v="69"/>
    <s v="Seniors"/>
    <s v="No"/>
    <n v="0"/>
    <n v="1"/>
  </r>
  <r>
    <n v="25906"/>
    <s v="Single"/>
    <s v="Female"/>
    <n v="10000"/>
    <s v="Low Income"/>
    <n v="5"/>
    <s v="High School"/>
    <s v="Skilled Manual"/>
    <s v="No"/>
    <n v="2"/>
    <s v="1-2 Miles"/>
    <x v="1"/>
    <n v="62"/>
    <s v="Seniors"/>
    <s v="No"/>
    <n v="0"/>
    <n v="1"/>
  </r>
  <r>
    <n v="17926"/>
    <s v="Single"/>
    <s v="Female"/>
    <n v="40000"/>
    <s v="Low Income"/>
    <n v="0"/>
    <s v="Bachelors"/>
    <s v="Clerical"/>
    <s v="No"/>
    <n v="0"/>
    <s v="0-1 Miles"/>
    <x v="1"/>
    <n v="28"/>
    <s v="Young Adults"/>
    <s v="Yes"/>
    <n v="1"/>
    <n v="1"/>
  </r>
  <r>
    <n v="26928"/>
    <s v="Single"/>
    <s v="Male"/>
    <n v="30000"/>
    <s v="Low Income"/>
    <n v="1"/>
    <s v="Bachelors"/>
    <s v="Clerical"/>
    <s v="Yes"/>
    <n v="0"/>
    <s v="0-1 Miles"/>
    <x v="0"/>
    <n v="62"/>
    <s v="Seniors"/>
    <s v="Yes"/>
    <n v="1"/>
    <n v="1"/>
  </r>
  <r>
    <n v="20897"/>
    <s v="Married"/>
    <s v="Female"/>
    <n v="30000"/>
    <s v="Low Income"/>
    <n v="1"/>
    <s v="Bachelors"/>
    <s v="Skilled Manual"/>
    <s v="Yes"/>
    <n v="2"/>
    <s v="0-1 Miles"/>
    <x v="0"/>
    <n v="40"/>
    <s v="Middle-Aged"/>
    <s v="No"/>
    <n v="0"/>
    <n v="1"/>
  </r>
  <r>
    <n v="28207"/>
    <s v="Married"/>
    <s v="Male"/>
    <n v="80000"/>
    <s v="Medium Income"/>
    <n v="4"/>
    <s v="Graduate Degree"/>
    <s v="Management"/>
    <s v="Yes"/>
    <n v="1"/>
    <s v="0-1 Miles"/>
    <x v="1"/>
    <n v="36"/>
    <s v="Adults"/>
    <s v="Yes"/>
    <n v="1"/>
    <n v="1"/>
  </r>
  <r>
    <n v="25923"/>
    <s v="Single"/>
    <s v="Male"/>
    <n v="10000"/>
    <s v="Low Income"/>
    <n v="2"/>
    <s v="Partial High School"/>
    <s v="Clerical"/>
    <s v="Yes"/>
    <n v="2"/>
    <s v="5-10 Miles"/>
    <x v="1"/>
    <n v="58"/>
    <s v="Middle-Aged"/>
    <s v="No"/>
    <n v="0"/>
    <n v="1"/>
  </r>
  <r>
    <n v="11000"/>
    <s v="Married"/>
    <s v="Male"/>
    <n v="90000"/>
    <s v="Medium Income"/>
    <n v="2"/>
    <s v="Bachelors"/>
    <s v="Professional"/>
    <s v="Yes"/>
    <n v="0"/>
    <s v="1-2 Miles"/>
    <x v="1"/>
    <n v="40"/>
    <s v="Middle-Aged"/>
    <s v="Yes"/>
    <n v="1"/>
    <n v="1"/>
  </r>
  <r>
    <n v="20974"/>
    <s v="Married"/>
    <s v="Male"/>
    <n v="10000"/>
    <s v="Low Income"/>
    <n v="2"/>
    <s v="Bachelors"/>
    <s v="Clerical"/>
    <s v="Yes"/>
    <n v="1"/>
    <s v="0-1 Miles"/>
    <x v="0"/>
    <n v="66"/>
    <s v="Seniors"/>
    <s v="No"/>
    <n v="0"/>
    <n v="1"/>
  </r>
  <r>
    <n v="28758"/>
    <s v="Married"/>
    <s v="Male"/>
    <n v="40000"/>
    <s v="Low Income"/>
    <n v="2"/>
    <s v="Partial College"/>
    <s v="Clerical"/>
    <s v="Yes"/>
    <n v="1"/>
    <s v="1-2 Miles"/>
    <x v="0"/>
    <n v="35"/>
    <s v="Adults"/>
    <s v="Yes"/>
    <n v="1"/>
    <n v="1"/>
  </r>
  <r>
    <n v="11381"/>
    <s v="Married"/>
    <s v="Female"/>
    <n v="20000"/>
    <s v="Low Income"/>
    <n v="2"/>
    <s v="Partial College"/>
    <s v="Manual"/>
    <s v="Yes"/>
    <n v="1"/>
    <s v="2-5 Miles"/>
    <x v="0"/>
    <n v="47"/>
    <s v="Middle-Aged"/>
    <s v="Yes"/>
    <n v="1"/>
    <n v="1"/>
  </r>
  <r>
    <n v="17522"/>
    <s v="Married"/>
    <s v="Male"/>
    <n v="120000"/>
    <s v="Medium Income"/>
    <n v="4"/>
    <s v="Bachelors"/>
    <s v="Management"/>
    <s v="Yes"/>
    <n v="1"/>
    <s v="2-5 Miles"/>
    <x v="1"/>
    <n v="47"/>
    <s v="Middle-Aged"/>
    <s v="No"/>
    <n v="0"/>
    <n v="1"/>
  </r>
  <r>
    <n v="21207"/>
    <s v="Married"/>
    <s v="Male"/>
    <n v="60000"/>
    <s v="Low Income"/>
    <n v="1"/>
    <s v="Partial College"/>
    <s v="Skilled Manual"/>
    <s v="Yes"/>
    <n v="1"/>
    <s v="5-10 Miles"/>
    <x v="1"/>
    <n v="46"/>
    <s v="Middle-Aged"/>
    <s v="No"/>
    <n v="0"/>
    <n v="1"/>
  </r>
  <r>
    <n v="28102"/>
    <s v="Married"/>
    <s v="Male"/>
    <n v="20000"/>
    <s v="Low Income"/>
    <n v="4"/>
    <s v="High School"/>
    <s v="Skilled Manual"/>
    <s v="Yes"/>
    <n v="2"/>
    <s v="5-10 Miles"/>
    <x v="1"/>
    <n v="58"/>
    <s v="Middle-Aged"/>
    <s v="Yes"/>
    <n v="1"/>
    <n v="1"/>
  </r>
  <r>
    <n v="23105"/>
    <s v="Single"/>
    <s v="Male"/>
    <n v="40000"/>
    <s v="Low Income"/>
    <n v="3"/>
    <s v="Partial High School"/>
    <s v="Clerical"/>
    <s v="No"/>
    <n v="2"/>
    <s v="5-10 Miles"/>
    <x v="1"/>
    <n v="52"/>
    <s v="Middle-Aged"/>
    <s v="Yes"/>
    <n v="1"/>
    <n v="1"/>
  </r>
  <r>
    <n v="18740"/>
    <s v="Married"/>
    <s v="Male"/>
    <n v="80000"/>
    <s v="Medium Income"/>
    <n v="5"/>
    <s v="Bachelors"/>
    <s v="Professional"/>
    <s v="No"/>
    <n v="1"/>
    <s v="0-1 Miles"/>
    <x v="1"/>
    <n v="47"/>
    <s v="Middle-Aged"/>
    <s v="Yes"/>
    <n v="1"/>
    <n v="1"/>
  </r>
  <r>
    <n v="21213"/>
    <s v="Single"/>
    <s v="Male"/>
    <n v="70000"/>
    <s v="Medium Income"/>
    <n v="0"/>
    <s v="Bachelors"/>
    <s v="Professional"/>
    <s v="No"/>
    <n v="1"/>
    <s v="5-10 Miles"/>
    <x v="1"/>
    <n v="41"/>
    <s v="Middle-Aged"/>
    <s v="No"/>
    <n v="0"/>
    <n v="1"/>
  </r>
  <r>
    <n v="17352"/>
    <s v="Married"/>
    <s v="Male"/>
    <n v="50000"/>
    <s v="Low Income"/>
    <n v="2"/>
    <s v="Graduate Degree"/>
    <s v="Management"/>
    <s v="Yes"/>
    <n v="1"/>
    <s v="5-10 Miles"/>
    <x v="1"/>
    <n v="64"/>
    <s v="Seniors"/>
    <s v="Yes"/>
    <n v="1"/>
    <n v="1"/>
  </r>
  <r>
    <n v="14154"/>
    <s v="Married"/>
    <s v="Male"/>
    <n v="30000"/>
    <s v="Low Income"/>
    <n v="0"/>
    <s v="Bachelors"/>
    <s v="Clerical"/>
    <s v="Yes"/>
    <n v="0"/>
    <s v="0-1 Miles"/>
    <x v="0"/>
    <n v="35"/>
    <s v="Adults"/>
    <s v="Yes"/>
    <n v="1"/>
    <n v="1"/>
  </r>
  <r>
    <n v="19066"/>
    <s v="Married"/>
    <s v="Male"/>
    <n v="130000"/>
    <s v="High Income"/>
    <n v="4"/>
    <s v="Partial College"/>
    <s v="Professional"/>
    <s v="No"/>
    <n v="3"/>
    <s v="More than 10 Miles"/>
    <x v="0"/>
    <n v="54"/>
    <s v="Middle-Aged"/>
    <s v="No"/>
    <n v="0"/>
    <n v="1"/>
  </r>
  <r>
    <n v="11386"/>
    <s v="Married"/>
    <s v="Female"/>
    <n v="30000"/>
    <s v="Low Income"/>
    <n v="3"/>
    <s v="Bachelors"/>
    <s v="Clerical"/>
    <s v="Yes"/>
    <n v="0"/>
    <s v="0-1 Miles"/>
    <x v="0"/>
    <n v="45"/>
    <s v="Middle-Aged"/>
    <s v="No"/>
    <n v="0"/>
    <n v="1"/>
  </r>
  <r>
    <n v="20228"/>
    <s v="Married"/>
    <s v="Male"/>
    <n v="100000"/>
    <s v="Medium Income"/>
    <n v="0"/>
    <s v="Graduate Degree"/>
    <s v="Management"/>
    <s v="Yes"/>
    <n v="0"/>
    <s v="2-5 Miles"/>
    <x v="1"/>
    <n v="40"/>
    <s v="Middle-Aged"/>
    <s v="Yes"/>
    <n v="1"/>
    <n v="1"/>
  </r>
  <r>
    <n v="16675"/>
    <s v="Single"/>
    <s v="Female"/>
    <n v="160000"/>
    <s v="High Income"/>
    <n v="0"/>
    <s v="Graduate Degree"/>
    <s v="Management"/>
    <s v="No"/>
    <n v="3"/>
    <s v="0-1 Miles"/>
    <x v="1"/>
    <n v="47"/>
    <s v="Middle-Aged"/>
    <s v="Yes"/>
    <n v="1"/>
    <n v="1"/>
  </r>
  <r>
    <n v="16410"/>
    <s v="Single"/>
    <s v="Female"/>
    <n v="10000"/>
    <s v="Low Income"/>
    <n v="4"/>
    <s v="Partial High School"/>
    <s v="Manual"/>
    <s v="Yes"/>
    <n v="2"/>
    <s v="0-1 Miles"/>
    <x v="0"/>
    <n v="41"/>
    <s v="Middle-Aged"/>
    <s v="Yes"/>
    <n v="1"/>
    <n v="1"/>
  </r>
  <r>
    <n v="27760"/>
    <s v="Single"/>
    <s v="Female"/>
    <n v="40000"/>
    <s v="Low Income"/>
    <n v="0"/>
    <s v="Graduate Degree"/>
    <s v="Clerical"/>
    <s v="No"/>
    <n v="0"/>
    <s v="0-1 Miles"/>
    <x v="0"/>
    <n v="37"/>
    <s v="Adults"/>
    <s v="Yes"/>
    <n v="1"/>
    <n v="1"/>
  </r>
  <r>
    <n v="22930"/>
    <s v="Married"/>
    <s v="Male"/>
    <n v="90000"/>
    <s v="Medium Income"/>
    <n v="4"/>
    <s v="Bachelors"/>
    <s v="Professional"/>
    <s v="Yes"/>
    <n v="0"/>
    <s v="1-2 Miles"/>
    <x v="1"/>
    <n v="38"/>
    <s v="Adults"/>
    <s v="Yes"/>
    <n v="1"/>
    <n v="1"/>
  </r>
  <r>
    <n v="23780"/>
    <s v="Single"/>
    <s v="Male"/>
    <n v="40000"/>
    <s v="Low Income"/>
    <n v="2"/>
    <s v="Partial College"/>
    <s v="Clerical"/>
    <s v="No"/>
    <n v="2"/>
    <s v="0-1 Miles"/>
    <x v="0"/>
    <n v="36"/>
    <s v="Adults"/>
    <s v="Yes"/>
    <n v="1"/>
    <n v="1"/>
  </r>
  <r>
    <n v="20994"/>
    <s v="Married"/>
    <s v="Female"/>
    <n v="20000"/>
    <s v="Low Income"/>
    <n v="0"/>
    <s v="Bachelors"/>
    <s v="Clerical"/>
    <s v="No"/>
    <n v="0"/>
    <s v="0-1 Miles"/>
    <x v="1"/>
    <n v="26"/>
    <s v="Young Adults"/>
    <s v="Yes"/>
    <n v="1"/>
    <n v="1"/>
  </r>
  <r>
    <n v="28379"/>
    <s v="Married"/>
    <s v="Male"/>
    <n v="30000"/>
    <s v="Low Income"/>
    <n v="1"/>
    <s v="Bachelors"/>
    <s v="Skilled Manual"/>
    <s v="Yes"/>
    <n v="2"/>
    <s v="0-1 Miles"/>
    <x v="0"/>
    <n v="40"/>
    <s v="Middle-Aged"/>
    <s v="No"/>
    <n v="0"/>
    <n v="1"/>
  </r>
  <r>
    <n v="14865"/>
    <s v="Single"/>
    <s v="Male"/>
    <n v="40000"/>
    <s v="Low Income"/>
    <n v="2"/>
    <s v="Partial College"/>
    <s v="Clerical"/>
    <s v="Yes"/>
    <n v="2"/>
    <s v="1-2 Miles"/>
    <x v="0"/>
    <n v="36"/>
    <s v="Adults"/>
    <s v="No"/>
    <n v="0"/>
    <n v="1"/>
  </r>
  <r>
    <n v="12663"/>
    <s v="Married"/>
    <s v="Female"/>
    <n v="90000"/>
    <s v="Medium Income"/>
    <n v="5"/>
    <s v="Partial High School"/>
    <s v="Skilled Manual"/>
    <s v="Yes"/>
    <n v="2"/>
    <s v="More than 10 Miles"/>
    <x v="0"/>
    <n v="59"/>
    <s v="Middle-Aged"/>
    <s v="No"/>
    <n v="0"/>
    <n v="1"/>
  </r>
  <r>
    <n v="24898"/>
    <s v="Single"/>
    <s v="Female"/>
    <n v="80000"/>
    <s v="Medium Income"/>
    <n v="0"/>
    <s v="Bachelors"/>
    <s v="Professional"/>
    <s v="Yes"/>
    <n v="3"/>
    <s v="More than 10 Miles"/>
    <x v="1"/>
    <n v="32"/>
    <s v="Adults"/>
    <s v="No"/>
    <n v="0"/>
    <n v="1"/>
  </r>
  <r>
    <n v="19508"/>
    <s v="Married"/>
    <s v="Male"/>
    <n v="10000"/>
    <s v="Low Income"/>
    <n v="0"/>
    <s v="Partial High School"/>
    <s v="Manual"/>
    <s v="No"/>
    <n v="2"/>
    <s v="0-1 Miles"/>
    <x v="0"/>
    <n v="30"/>
    <s v="Adults"/>
    <s v="No"/>
    <n v="0"/>
    <n v="1"/>
  </r>
  <r>
    <n v="11489"/>
    <s v="Single"/>
    <s v="Female"/>
    <n v="20000"/>
    <s v="Low Income"/>
    <n v="0"/>
    <s v="Partial High School"/>
    <s v="Manual"/>
    <s v="No"/>
    <n v="2"/>
    <s v="1-2 Miles"/>
    <x v="0"/>
    <n v="35"/>
    <s v="Adults"/>
    <s v="Yes"/>
    <n v="1"/>
    <n v="1"/>
  </r>
  <r>
    <n v="18160"/>
    <s v="Married"/>
    <s v="Male"/>
    <n v="130000"/>
    <s v="High Income"/>
    <n v="3"/>
    <s v="High School"/>
    <s v="Professional"/>
    <s v="Yes"/>
    <n v="4"/>
    <s v="5-10 Miles"/>
    <x v="0"/>
    <n v="51"/>
    <s v="Middle-Aged"/>
    <s v="Yes"/>
    <n v="1"/>
    <n v="1"/>
  </r>
  <r>
    <n v="25241"/>
    <s v="Married"/>
    <s v="Male"/>
    <n v="90000"/>
    <s v="Medium Income"/>
    <n v="2"/>
    <s v="Bachelors"/>
    <s v="Professional"/>
    <s v="Yes"/>
    <n v="1"/>
    <s v="5-10 Miles"/>
    <x v="1"/>
    <n v="47"/>
    <s v="Middle-Aged"/>
    <s v="No"/>
    <n v="0"/>
    <n v="1"/>
  </r>
  <r>
    <n v="24369"/>
    <s v="Married"/>
    <s v="Male"/>
    <n v="80000"/>
    <s v="Medium Income"/>
    <n v="5"/>
    <s v="Graduate Degree"/>
    <s v="Management"/>
    <s v="No"/>
    <n v="2"/>
    <s v="0-1 Miles"/>
    <x v="1"/>
    <n v="39"/>
    <s v="Adults"/>
    <s v="No"/>
    <n v="0"/>
    <n v="1"/>
  </r>
  <r>
    <n v="27165"/>
    <s v="Single"/>
    <s v="Male"/>
    <n v="20000"/>
    <s v="Low Income"/>
    <n v="0"/>
    <s v="Partial High School"/>
    <s v="Manual"/>
    <s v="No"/>
    <n v="2"/>
    <s v="0-1 Miles"/>
    <x v="0"/>
    <n v="34"/>
    <s v="Adults"/>
    <s v="No"/>
    <n v="0"/>
    <n v="1"/>
  </r>
  <r>
    <n v="29424"/>
    <s v="Married"/>
    <s v="Male"/>
    <n v="10000"/>
    <s v="Low Income"/>
    <n v="0"/>
    <s v="Partial High School"/>
    <s v="Manual"/>
    <s v="Yes"/>
    <n v="2"/>
    <s v="0-1 Miles"/>
    <x v="0"/>
    <n v="32"/>
    <s v="Adults"/>
    <s v="No"/>
    <n v="0"/>
    <n v="1"/>
  </r>
  <r>
    <n v="15926"/>
    <s v="Single"/>
    <s v="Female"/>
    <n v="120000"/>
    <s v="Medium Income"/>
    <n v="3"/>
    <s v="High School"/>
    <s v="Professional"/>
    <s v="Yes"/>
    <n v="4"/>
    <s v="5-10 Miles"/>
    <x v="0"/>
    <n v="50"/>
    <s v="Middle-Aged"/>
    <s v="Yes"/>
    <n v="1"/>
    <n v="1"/>
  </r>
  <r>
    <n v="14554"/>
    <s v="Married"/>
    <s v="Male"/>
    <n v="20000"/>
    <s v="Low Income"/>
    <n v="1"/>
    <s v="Bachelors"/>
    <s v="Clerical"/>
    <s v="Yes"/>
    <n v="0"/>
    <s v="0-1 Miles"/>
    <x v="0"/>
    <n v="66"/>
    <s v="Seniors"/>
    <s v="No"/>
    <n v="0"/>
    <n v="1"/>
  </r>
  <r>
    <n v="16468"/>
    <s v="Single"/>
    <s v="Male"/>
    <n v="30000"/>
    <s v="Low Income"/>
    <n v="0"/>
    <s v="Partial College"/>
    <s v="Clerical"/>
    <s v="Yes"/>
    <n v="1"/>
    <s v="2-5 Miles"/>
    <x v="0"/>
    <n v="30"/>
    <s v="Adults"/>
    <s v="No"/>
    <n v="0"/>
    <n v="1"/>
  </r>
  <r>
    <n v="19174"/>
    <s v="Single"/>
    <s v="Female"/>
    <n v="30000"/>
    <s v="Low Income"/>
    <n v="0"/>
    <s v="High School"/>
    <s v="Manual"/>
    <s v="No"/>
    <n v="1"/>
    <s v="2-5 Miles"/>
    <x v="0"/>
    <n v="32"/>
    <s v="Adults"/>
    <s v="Yes"/>
    <n v="1"/>
    <n v="1"/>
  </r>
  <r>
    <n v="19183"/>
    <s v="Single"/>
    <s v="Male"/>
    <n v="10000"/>
    <s v="Low Income"/>
    <n v="0"/>
    <s v="Partial High School"/>
    <s v="Manual"/>
    <s v="Yes"/>
    <n v="2"/>
    <s v="1-2 Miles"/>
    <x v="0"/>
    <n v="35"/>
    <s v="Adults"/>
    <s v="No"/>
    <n v="0"/>
    <n v="1"/>
  </r>
  <r>
    <n v="13683"/>
    <s v="Single"/>
    <s v="Female"/>
    <n v="30000"/>
    <s v="Low Income"/>
    <n v="0"/>
    <s v="High School"/>
    <s v="Manual"/>
    <s v="No"/>
    <n v="1"/>
    <s v="2-5 Miles"/>
    <x v="0"/>
    <n v="32"/>
    <s v="Adults"/>
    <s v="No"/>
    <n v="0"/>
    <n v="1"/>
  </r>
  <r>
    <n v="17848"/>
    <s v="Single"/>
    <s v="Male"/>
    <n v="30000"/>
    <s v="Low Income"/>
    <n v="0"/>
    <s v="Partial College"/>
    <s v="Clerical"/>
    <s v="No"/>
    <n v="1"/>
    <s v="2-5 Miles"/>
    <x v="0"/>
    <n v="31"/>
    <s v="Adults"/>
    <s v="Yes"/>
    <n v="1"/>
    <n v="1"/>
  </r>
  <r>
    <n v="17894"/>
    <s v="Married"/>
    <s v="Female"/>
    <n v="20000"/>
    <s v="Low Income"/>
    <n v="1"/>
    <s v="Bachelors"/>
    <s v="Clerical"/>
    <s v="Yes"/>
    <n v="0"/>
    <s v="0-1 Miles"/>
    <x v="0"/>
    <n v="50"/>
    <s v="Middle-Aged"/>
    <s v="Yes"/>
    <n v="1"/>
    <n v="1"/>
  </r>
  <r>
    <n v="25651"/>
    <s v="Married"/>
    <s v="Male"/>
    <n v="40000"/>
    <s v="Low Income"/>
    <n v="1"/>
    <s v="Bachelors"/>
    <s v="Skilled Manual"/>
    <s v="No"/>
    <n v="0"/>
    <s v="0-1 Miles"/>
    <x v="0"/>
    <n v="43"/>
    <s v="Middle-Aged"/>
    <s v="Yes"/>
    <n v="1"/>
    <n v="1"/>
  </r>
  <r>
    <n v="22936"/>
    <s v="Single"/>
    <s v="Female"/>
    <n v="60000"/>
    <s v="Low Income"/>
    <n v="1"/>
    <s v="Partial College"/>
    <s v="Skilled Manual"/>
    <s v="No"/>
    <n v="1"/>
    <s v="0-1 Miles"/>
    <x v="1"/>
    <n v="45"/>
    <s v="Middle-Aged"/>
    <s v="Yes"/>
    <n v="1"/>
    <n v="1"/>
  </r>
  <r>
    <n v="23915"/>
    <s v="Married"/>
    <s v="Male"/>
    <n v="20000"/>
    <s v="Low Income"/>
    <n v="2"/>
    <s v="High School"/>
    <s v="Manual"/>
    <s v="Yes"/>
    <n v="2"/>
    <s v="0-1 Miles"/>
    <x v="0"/>
    <n v="42"/>
    <s v="Middle-Aged"/>
    <s v="No"/>
    <n v="0"/>
    <n v="1"/>
  </r>
  <r>
    <n v="24121"/>
    <s v="Single"/>
    <s v="Female"/>
    <n v="30000"/>
    <s v="Low Income"/>
    <n v="0"/>
    <s v="Partial College"/>
    <s v="Clerical"/>
    <s v="No"/>
    <n v="1"/>
    <s v="0-1 Miles"/>
    <x v="0"/>
    <n v="29"/>
    <s v="Young Adults"/>
    <s v="Yes"/>
    <n v="1"/>
    <n v="1"/>
  </r>
  <r>
    <n v="27878"/>
    <s v="Single"/>
    <s v="Male"/>
    <n v="20000"/>
    <s v="Low Income"/>
    <n v="0"/>
    <s v="Partial College"/>
    <s v="Manual"/>
    <s v="No"/>
    <n v="0"/>
    <s v="0-1 Miles"/>
    <x v="1"/>
    <n v="28"/>
    <s v="Young Adults"/>
    <s v="Yes"/>
    <n v="1"/>
    <n v="1"/>
  </r>
  <r>
    <n v="13572"/>
    <s v="Single"/>
    <s v="Male"/>
    <n v="10000"/>
    <s v="Low Income"/>
    <n v="3"/>
    <s v="High School"/>
    <s v="Manual"/>
    <s v="Yes"/>
    <n v="0"/>
    <s v="0-1 Miles"/>
    <x v="0"/>
    <n v="37"/>
    <s v="Adults"/>
    <s v="Yes"/>
    <n v="1"/>
    <n v="1"/>
  </r>
  <r>
    <n v="27941"/>
    <s v="Married"/>
    <s v="Female"/>
    <n v="80000"/>
    <s v="Medium Income"/>
    <n v="4"/>
    <s v="Partial College"/>
    <s v="Professional"/>
    <s v="Yes"/>
    <n v="2"/>
    <s v="2-5 Miles"/>
    <x v="0"/>
    <n v="53"/>
    <s v="Middle-Aged"/>
    <s v="No"/>
    <n v="0"/>
    <n v="1"/>
  </r>
  <r>
    <n v="26354"/>
    <s v="Single"/>
    <s v="Male"/>
    <n v="40000"/>
    <s v="Low Income"/>
    <n v="0"/>
    <s v="Graduate Degree"/>
    <s v="Clerical"/>
    <s v="No"/>
    <n v="0"/>
    <s v="0-1 Miles"/>
    <x v="0"/>
    <n v="38"/>
    <s v="Adults"/>
    <s v="Yes"/>
    <n v="1"/>
    <n v="1"/>
  </r>
  <r>
    <n v="14785"/>
    <s v="Single"/>
    <s v="Male"/>
    <n v="30000"/>
    <s v="Low Income"/>
    <n v="1"/>
    <s v="Bachelors"/>
    <s v="Clerical"/>
    <s v="No"/>
    <n v="1"/>
    <s v="1-2 Miles"/>
    <x v="0"/>
    <n v="39"/>
    <s v="Adults"/>
    <s v="No"/>
    <n v="0"/>
    <n v="1"/>
  </r>
  <r>
    <n v="17238"/>
    <s v="Single"/>
    <s v="Male"/>
    <n v="80000"/>
    <s v="Medium Income"/>
    <n v="0"/>
    <s v="Bachelors"/>
    <s v="Professional"/>
    <s v="Yes"/>
    <n v="3"/>
    <s v="More than 10 Miles"/>
    <x v="1"/>
    <n v="32"/>
    <s v="Adults"/>
    <s v="No"/>
    <n v="0"/>
    <n v="1"/>
  </r>
  <r>
    <n v="23608"/>
    <s v="Married"/>
    <s v="Female"/>
    <n v="150000"/>
    <s v="High Income"/>
    <n v="3"/>
    <s v="High School"/>
    <s v="Professional"/>
    <s v="Yes"/>
    <n v="3"/>
    <s v="0-1 Miles"/>
    <x v="0"/>
    <n v="51"/>
    <s v="Middle-Aged"/>
    <s v="Yes"/>
    <n v="1"/>
    <n v="1"/>
  </r>
  <r>
    <n v="22538"/>
    <s v="Single"/>
    <s v="Female"/>
    <n v="10000"/>
    <s v="Low Income"/>
    <n v="0"/>
    <s v="Partial High School"/>
    <s v="Manual"/>
    <s v="Yes"/>
    <n v="2"/>
    <s v="1-2 Miles"/>
    <x v="0"/>
    <n v="33"/>
    <s v="Adults"/>
    <s v="No"/>
    <n v="0"/>
    <n v="1"/>
  </r>
  <r>
    <n v="12332"/>
    <s v="Married"/>
    <s v="Male"/>
    <n v="90000"/>
    <s v="Medium Income"/>
    <n v="4"/>
    <s v="High School"/>
    <s v="Management"/>
    <s v="Yes"/>
    <n v="3"/>
    <s v="5-10 Miles"/>
    <x v="0"/>
    <n v="58"/>
    <s v="Middle-Aged"/>
    <s v="Yes"/>
    <n v="1"/>
    <n v="1"/>
  </r>
  <r>
    <n v="17230"/>
    <s v="Married"/>
    <s v="Male"/>
    <n v="80000"/>
    <s v="Medium Income"/>
    <n v="0"/>
    <s v="Bachelors"/>
    <s v="Professional"/>
    <s v="Yes"/>
    <n v="3"/>
    <s v="More than 10 Miles"/>
    <x v="1"/>
    <n v="30"/>
    <s v="Adults"/>
    <s v="No"/>
    <n v="0"/>
    <n v="1"/>
  </r>
  <r>
    <n v="13082"/>
    <s v="Single"/>
    <s v="Male"/>
    <n v="130000"/>
    <s v="High Income"/>
    <n v="0"/>
    <s v="Graduate Degree"/>
    <s v="Management"/>
    <s v="Yes"/>
    <n v="0"/>
    <s v="2-5 Miles"/>
    <x v="1"/>
    <n v="48"/>
    <s v="Middle-Aged"/>
    <s v="Yes"/>
    <n v="1"/>
    <n v="1"/>
  </r>
  <r>
    <n v="22518"/>
    <s v="Single"/>
    <s v="Female"/>
    <n v="30000"/>
    <s v="Low Income"/>
    <n v="3"/>
    <s v="Partial College"/>
    <s v="Clerical"/>
    <s v="No"/>
    <n v="2"/>
    <s v="0-1 Miles"/>
    <x v="0"/>
    <n v="27"/>
    <s v="Young Adults"/>
    <s v="Yes"/>
    <n v="1"/>
    <n v="1"/>
  </r>
  <r>
    <n v="13687"/>
    <s v="Married"/>
    <s v="Male"/>
    <n v="40000"/>
    <s v="Low Income"/>
    <n v="1"/>
    <s v="Bachelors"/>
    <s v="Skilled Manual"/>
    <s v="Yes"/>
    <n v="1"/>
    <s v="0-1 Miles"/>
    <x v="0"/>
    <n v="33"/>
    <s v="Adults"/>
    <s v="Yes"/>
    <n v="1"/>
    <n v="1"/>
  </r>
  <r>
    <n v="23571"/>
    <s v="Married"/>
    <s v="Female"/>
    <n v="40000"/>
    <s v="Low Income"/>
    <n v="2"/>
    <s v="Bachelors"/>
    <s v="Management"/>
    <s v="Yes"/>
    <n v="2"/>
    <s v="0-1 Miles"/>
    <x v="1"/>
    <n v="66"/>
    <s v="Seniors"/>
    <s v="Yes"/>
    <n v="1"/>
    <n v="1"/>
  </r>
  <r>
    <n v="19305"/>
    <s v="Single"/>
    <s v="Female"/>
    <n v="10000"/>
    <s v="Low Income"/>
    <n v="2"/>
    <s v="High School"/>
    <s v="Manual"/>
    <s v="Yes"/>
    <n v="1"/>
    <s v="0-1 Miles"/>
    <x v="0"/>
    <n v="38"/>
    <s v="Adults"/>
    <s v="Yes"/>
    <n v="1"/>
    <n v="1"/>
  </r>
  <r>
    <n v="22636"/>
    <s v="Single"/>
    <s v="Female"/>
    <n v="40000"/>
    <s v="Low Income"/>
    <n v="0"/>
    <s v="Bachelors"/>
    <s v="Clerical"/>
    <s v="No"/>
    <n v="0"/>
    <s v="0-1 Miles"/>
    <x v="0"/>
    <n v="38"/>
    <s v="Adults"/>
    <s v="Yes"/>
    <n v="1"/>
    <n v="1"/>
  </r>
  <r>
    <n v="17310"/>
    <s v="Married"/>
    <s v="Male"/>
    <n v="60000"/>
    <s v="Low Income"/>
    <n v="1"/>
    <s v="Partial College"/>
    <s v="Skilled Manual"/>
    <s v="Yes"/>
    <n v="1"/>
    <s v="0-1 Miles"/>
    <x v="1"/>
    <n v="45"/>
    <s v="Middle-Aged"/>
    <s v="Yes"/>
    <n v="1"/>
    <n v="1"/>
  </r>
  <r>
    <n v="12133"/>
    <s v="Married"/>
    <s v="Female"/>
    <n v="130000"/>
    <s v="High Income"/>
    <n v="3"/>
    <s v="Partial College"/>
    <s v="Professional"/>
    <s v="Yes"/>
    <n v="3"/>
    <s v="5-10 Miles"/>
    <x v="0"/>
    <n v="50"/>
    <s v="Middle-Aged"/>
    <s v="Yes"/>
    <n v="1"/>
    <n v="1"/>
  </r>
  <r>
    <n v="25918"/>
    <s v="Single"/>
    <s v="Female"/>
    <n v="30000"/>
    <s v="Low Income"/>
    <n v="2"/>
    <s v="Partial College"/>
    <s v="Clerical"/>
    <s v="No"/>
    <n v="2"/>
    <s v="5-10 Miles"/>
    <x v="1"/>
    <n v="60"/>
    <s v="Seniors"/>
    <s v="Yes"/>
    <n v="1"/>
    <n v="1"/>
  </r>
  <r>
    <n v="25752"/>
    <s v="Single"/>
    <s v="Female"/>
    <n v="20000"/>
    <s v="Low Income"/>
    <n v="2"/>
    <s v="Partial College"/>
    <s v="Manual"/>
    <s v="No"/>
    <n v="1"/>
    <s v="0-1 Miles"/>
    <x v="0"/>
    <n v="53"/>
    <s v="Middle-Aged"/>
    <s v="Yes"/>
    <n v="1"/>
    <n v="1"/>
  </r>
  <r>
    <n v="17324"/>
    <s v="Married"/>
    <s v="Female"/>
    <n v="100000"/>
    <s v="Medium Income"/>
    <n v="4"/>
    <s v="Bachelors"/>
    <s v="Professional"/>
    <s v="Yes"/>
    <n v="1"/>
    <s v="More than 10 Miles"/>
    <x v="1"/>
    <n v="46"/>
    <s v="Middle-Aged"/>
    <s v="No"/>
    <n v="0"/>
    <n v="1"/>
  </r>
  <r>
    <n v="22918"/>
    <s v="Single"/>
    <s v="Male"/>
    <n v="80000"/>
    <s v="Medium Income"/>
    <n v="5"/>
    <s v="Graduate Degree"/>
    <s v="Management"/>
    <s v="Yes"/>
    <n v="3"/>
    <s v="0-1 Miles"/>
    <x v="1"/>
    <n v="50"/>
    <s v="Middle-Aged"/>
    <s v="No"/>
    <n v="0"/>
    <n v="1"/>
  </r>
  <r>
    <n v="12510"/>
    <s v="Married"/>
    <s v="Male"/>
    <n v="40000"/>
    <s v="Low Income"/>
    <n v="1"/>
    <s v="Bachelors"/>
    <s v="Skilled Manual"/>
    <s v="Yes"/>
    <n v="1"/>
    <s v="0-1 Miles"/>
    <x v="0"/>
    <n v="43"/>
    <s v="Middle-Aged"/>
    <s v="Yes"/>
    <n v="1"/>
    <n v="1"/>
  </r>
  <r>
    <n v="25512"/>
    <s v="Single"/>
    <s v="Male"/>
    <n v="20000"/>
    <s v="Low Income"/>
    <n v="0"/>
    <s v="High School"/>
    <s v="Manual"/>
    <s v="No"/>
    <n v="1"/>
    <s v="2-5 Miles"/>
    <x v="0"/>
    <n v="30"/>
    <s v="Adults"/>
    <s v="No"/>
    <n v="0"/>
    <n v="1"/>
  </r>
  <r>
    <n v="16179"/>
    <s v="Single"/>
    <s v="Female"/>
    <n v="80000"/>
    <s v="Medium Income"/>
    <n v="5"/>
    <s v="Bachelors"/>
    <s v="Professional"/>
    <s v="Yes"/>
    <n v="4"/>
    <s v="1-2 Miles"/>
    <x v="1"/>
    <n v="38"/>
    <s v="Adults"/>
    <s v="No"/>
    <n v="0"/>
    <n v="1"/>
  </r>
  <r>
    <n v="15628"/>
    <s v="Married"/>
    <s v="Female"/>
    <n v="40000"/>
    <s v="Low Income"/>
    <n v="1"/>
    <s v="Bachelors"/>
    <s v="Skilled Manual"/>
    <s v="Yes"/>
    <n v="1"/>
    <s v="0-1 Miles"/>
    <x v="0"/>
    <n v="89"/>
    <s v="Seniors"/>
    <s v="No"/>
    <n v="0"/>
    <n v="1"/>
  </r>
  <r>
    <n v="20977"/>
    <s v="Married"/>
    <s v="Male"/>
    <n v="20000"/>
    <s v="Low Income"/>
    <n v="1"/>
    <s v="Bachelors"/>
    <s v="Clerical"/>
    <s v="Yes"/>
    <n v="0"/>
    <s v="0-1 Miles"/>
    <x v="0"/>
    <n v="64"/>
    <s v="Seniors"/>
    <s v="Yes"/>
    <n v="1"/>
    <n v="1"/>
  </r>
  <r>
    <n v="18140"/>
    <s v="Married"/>
    <s v="Male"/>
    <n v="130000"/>
    <s v="High Income"/>
    <n v="3"/>
    <s v="Partial College"/>
    <s v="Professional"/>
    <s v="No"/>
    <n v="3"/>
    <s v="5-10 Miles"/>
    <x v="0"/>
    <n v="51"/>
    <s v="Middle-Aged"/>
    <s v="Yes"/>
    <n v="1"/>
    <n v="1"/>
  </r>
  <r>
    <n v="20417"/>
    <s v="Married"/>
    <s v="Male"/>
    <n v="30000"/>
    <s v="Low Income"/>
    <n v="3"/>
    <s v="Partial College"/>
    <s v="Clerical"/>
    <s v="No"/>
    <n v="2"/>
    <s v="5-10 Miles"/>
    <x v="1"/>
    <n v="56"/>
    <s v="Middle-Aged"/>
    <s v="No"/>
    <n v="0"/>
    <n v="1"/>
  </r>
  <r>
    <n v="18267"/>
    <s v="Married"/>
    <s v="Male"/>
    <n v="60000"/>
    <s v="Low Income"/>
    <n v="3"/>
    <s v="Bachelors"/>
    <s v="Professional"/>
    <s v="Yes"/>
    <n v="2"/>
    <s v="5-10 Miles"/>
    <x v="1"/>
    <n v="43"/>
    <s v="Middle-Aged"/>
    <s v="No"/>
    <n v="0"/>
    <n v="1"/>
  </r>
  <r>
    <n v="13620"/>
    <s v="Single"/>
    <s v="Male"/>
    <n v="70000"/>
    <s v="Medium Income"/>
    <n v="0"/>
    <s v="Bachelors"/>
    <s v="Professional"/>
    <s v="No"/>
    <n v="3"/>
    <s v="More than 10 Miles"/>
    <x v="1"/>
    <n v="30"/>
    <s v="Adults"/>
    <s v="Yes"/>
    <n v="1"/>
    <n v="1"/>
  </r>
  <r>
    <n v="22974"/>
    <s v="Married"/>
    <s v="Female"/>
    <n v="30000"/>
    <s v="Low Income"/>
    <n v="2"/>
    <s v="Partial College"/>
    <s v="Clerical"/>
    <s v="Yes"/>
    <n v="2"/>
    <s v="5-10 Miles"/>
    <x v="1"/>
    <n v="69"/>
    <s v="Seniors"/>
    <s v="No"/>
    <n v="0"/>
    <n v="1"/>
  </r>
  <r>
    <n v="13586"/>
    <s v="Married"/>
    <s v="Male"/>
    <n v="80000"/>
    <s v="Medium Income"/>
    <n v="4"/>
    <s v="Partial College"/>
    <s v="Professional"/>
    <s v="Yes"/>
    <n v="2"/>
    <s v="More than 10 Miles"/>
    <x v="0"/>
    <n v="53"/>
    <s v="Middle-Aged"/>
    <s v="No"/>
    <n v="0"/>
    <n v="1"/>
  </r>
  <r>
    <n v="17978"/>
    <s v="Married"/>
    <s v="Male"/>
    <n v="40000"/>
    <s v="Low Income"/>
    <n v="0"/>
    <s v="Graduate Degree"/>
    <s v="Clerical"/>
    <s v="Yes"/>
    <n v="0"/>
    <s v="0-1 Miles"/>
    <x v="0"/>
    <n v="37"/>
    <s v="Adults"/>
    <s v="Yes"/>
    <n v="1"/>
    <n v="1"/>
  </r>
  <r>
    <n v="12581"/>
    <s v="Single"/>
    <s v="Female"/>
    <n v="10000"/>
    <s v="Low Income"/>
    <n v="0"/>
    <s v="Partial College"/>
    <s v="Manual"/>
    <s v="No"/>
    <n v="1"/>
    <s v="0-1 Miles"/>
    <x v="1"/>
    <n v="28"/>
    <s v="Young Adults"/>
    <s v="Yes"/>
    <n v="1"/>
    <n v="1"/>
  </r>
  <r>
    <n v="18018"/>
    <s v="Single"/>
    <s v="Male"/>
    <n v="30000"/>
    <s v="Low Income"/>
    <n v="3"/>
    <s v="Partial College"/>
    <s v="Clerical"/>
    <s v="Yes"/>
    <n v="0"/>
    <s v="0-1 Miles"/>
    <x v="0"/>
    <n v="43"/>
    <s v="Middle-Aged"/>
    <s v="No"/>
    <n v="0"/>
    <n v="1"/>
  </r>
  <r>
    <n v="28957"/>
    <s v="Single"/>
    <s v="Female"/>
    <n v="120000"/>
    <s v="Medium Income"/>
    <n v="0"/>
    <s v="Partial High School"/>
    <s v="Professional"/>
    <s v="Yes"/>
    <n v="4"/>
    <s v="More than 10 Miles"/>
    <x v="1"/>
    <n v="34"/>
    <s v="Adults"/>
    <s v="Yes"/>
    <n v="1"/>
    <n v="1"/>
  </r>
  <r>
    <n v="13690"/>
    <s v="Single"/>
    <s v="Female"/>
    <n v="20000"/>
    <s v="Low Income"/>
    <n v="0"/>
    <s v="Partial High School"/>
    <s v="Manual"/>
    <s v="No"/>
    <n v="2"/>
    <s v="1-2 Miles"/>
    <x v="0"/>
    <n v="34"/>
    <s v="Adults"/>
    <s v="Yes"/>
    <n v="1"/>
    <n v="1"/>
  </r>
  <r>
    <n v="12568"/>
    <s v="Married"/>
    <s v="Female"/>
    <n v="30000"/>
    <s v="Low Income"/>
    <n v="1"/>
    <s v="Bachelors"/>
    <s v="Clerical"/>
    <s v="Yes"/>
    <n v="0"/>
    <s v="0-1 Miles"/>
    <x v="0"/>
    <n v="64"/>
    <s v="Seniors"/>
    <s v="No"/>
    <n v="0"/>
    <n v="1"/>
  </r>
  <r>
    <n v="13122"/>
    <s v="Married"/>
    <s v="Female"/>
    <n v="80000"/>
    <s v="Medium Income"/>
    <n v="0"/>
    <s v="Bachelors"/>
    <s v="Professional"/>
    <s v="Yes"/>
    <n v="1"/>
    <s v="1-2 Miles"/>
    <x v="1"/>
    <n v="41"/>
    <s v="Middle-Aged"/>
    <s v="Yes"/>
    <n v="1"/>
    <n v="1"/>
  </r>
  <r>
    <n v="21184"/>
    <s v="Single"/>
    <s v="Male"/>
    <n v="70000"/>
    <s v="Medium Income"/>
    <n v="0"/>
    <s v="Bachelors"/>
    <s v="Professional"/>
    <s v="No"/>
    <n v="1"/>
    <s v="5-10 Miles"/>
    <x v="1"/>
    <n v="38"/>
    <s v="Adults"/>
    <s v="No"/>
    <n v="0"/>
    <n v="1"/>
  </r>
  <r>
    <n v="26150"/>
    <s v="Single"/>
    <s v="Female"/>
    <n v="70000"/>
    <s v="Medium Income"/>
    <n v="0"/>
    <s v="Bachelors"/>
    <s v="Professional"/>
    <s v="No"/>
    <n v="1"/>
    <s v="0-1 Miles"/>
    <x v="1"/>
    <n v="41"/>
    <s v="Middle-Aged"/>
    <s v="Yes"/>
    <n v="1"/>
    <n v="1"/>
  </r>
  <r>
    <n v="24151"/>
    <s v="Single"/>
    <s v="Male"/>
    <n v="20000"/>
    <s v="Low Income"/>
    <n v="1"/>
    <s v="Bachelors"/>
    <s v="Clerical"/>
    <s v="No"/>
    <n v="0"/>
    <s v="0-1 Miles"/>
    <x v="0"/>
    <n v="51"/>
    <s v="Middle-Aged"/>
    <s v="No"/>
    <n v="0"/>
    <n v="1"/>
  </r>
  <r>
    <n v="23962"/>
    <s v="Married"/>
    <s v="Female"/>
    <n v="10000"/>
    <s v="Low Income"/>
    <n v="0"/>
    <s v="Partial High School"/>
    <s v="Manual"/>
    <s v="Yes"/>
    <n v="2"/>
    <s v="1-2 Miles"/>
    <x v="0"/>
    <n v="32"/>
    <s v="Adults"/>
    <s v="No"/>
    <n v="0"/>
    <n v="1"/>
  </r>
  <r>
    <n v="17793"/>
    <s v="Married"/>
    <s v="Female"/>
    <n v="40000"/>
    <s v="Low Income"/>
    <n v="0"/>
    <s v="Bachelors"/>
    <s v="Clerical"/>
    <s v="Yes"/>
    <n v="0"/>
    <s v="0-1 Miles"/>
    <x v="0"/>
    <n v="38"/>
    <s v="Adults"/>
    <s v="Yes"/>
    <n v="1"/>
    <n v="1"/>
  </r>
  <r>
    <n v="14926"/>
    <s v="Married"/>
    <s v="Male"/>
    <n v="30000"/>
    <s v="Low Income"/>
    <n v="1"/>
    <s v="Bachelors"/>
    <s v="Clerical"/>
    <s v="Yes"/>
    <n v="0"/>
    <s v="0-1 Miles"/>
    <x v="0"/>
    <n v="38"/>
    <s v="Adults"/>
    <s v="Yes"/>
    <n v="1"/>
    <n v="1"/>
  </r>
  <r>
    <n v="16163"/>
    <s v="Single"/>
    <s v="Male"/>
    <n v="60000"/>
    <s v="Low Income"/>
    <n v="2"/>
    <s v="Bachelors"/>
    <s v="Professional"/>
    <s v="Yes"/>
    <n v="1"/>
    <s v="2-5 Miles"/>
    <x v="1"/>
    <n v="38"/>
    <s v="Adults"/>
    <s v="Yes"/>
    <n v="1"/>
    <n v="1"/>
  </r>
  <r>
    <n v="21365"/>
    <s v="Married"/>
    <s v="Female"/>
    <n v="10000"/>
    <s v="Low Income"/>
    <n v="2"/>
    <s v="Partial High School"/>
    <s v="Clerical"/>
    <s v="Yes"/>
    <n v="2"/>
    <s v="5-10 Miles"/>
    <x v="1"/>
    <n v="58"/>
    <s v="Middle-Aged"/>
    <s v="No"/>
    <n v="0"/>
    <n v="1"/>
  </r>
  <r>
    <n v="27771"/>
    <s v="Single"/>
    <s v="Male"/>
    <n v="30000"/>
    <s v="Low Income"/>
    <n v="1"/>
    <s v="Bachelors"/>
    <s v="Clerical"/>
    <s v="Yes"/>
    <n v="1"/>
    <s v="1-2 Miles"/>
    <x v="0"/>
    <n v="39"/>
    <s v="Adults"/>
    <s v="Yes"/>
    <n v="1"/>
    <n v="1"/>
  </r>
  <r>
    <n v="26167"/>
    <s v="Single"/>
    <s v="Female"/>
    <n v="40000"/>
    <s v="Low Income"/>
    <n v="2"/>
    <s v="Bachelors"/>
    <s v="Management"/>
    <s v="No"/>
    <n v="1"/>
    <s v="5-10 Miles"/>
    <x v="1"/>
    <n v="53"/>
    <s v="Middle-Aged"/>
    <s v="Yes"/>
    <n v="1"/>
    <n v="1"/>
  </r>
  <r>
    <n v="25792"/>
    <s v="Single"/>
    <s v="Female"/>
    <n v="110000"/>
    <s v="Medium Income"/>
    <n v="3"/>
    <s v="Bachelors"/>
    <s v="Management"/>
    <s v="Yes"/>
    <n v="4"/>
    <s v="More than 10 Miles"/>
    <x v="0"/>
    <n v="53"/>
    <s v="Middle-Aged"/>
    <s v="No"/>
    <n v="0"/>
    <n v="1"/>
  </r>
  <r>
    <n v="11555"/>
    <s v="Married"/>
    <s v="Female"/>
    <n v="40000"/>
    <s v="Low Income"/>
    <n v="1"/>
    <s v="Bachelors"/>
    <s v="Clerical"/>
    <s v="Yes"/>
    <n v="0"/>
    <s v="0-1 Miles"/>
    <x v="0"/>
    <n v="80"/>
    <s v="Seniors"/>
    <s v="No"/>
    <n v="0"/>
    <n v="1"/>
  </r>
  <r>
    <n v="22381"/>
    <s v="Married"/>
    <s v="Male"/>
    <n v="10000"/>
    <s v="Low Income"/>
    <n v="1"/>
    <s v="Graduate Degree"/>
    <s v="Manual"/>
    <s v="Yes"/>
    <n v="0"/>
    <s v="0-1 Miles"/>
    <x v="0"/>
    <n v="44"/>
    <s v="Middle-Aged"/>
    <s v="No"/>
    <n v="0"/>
    <n v="1"/>
  </r>
  <r>
    <n v="17882"/>
    <s v="Married"/>
    <s v="Male"/>
    <n v="20000"/>
    <s v="Low Income"/>
    <n v="1"/>
    <s v="Graduate Degree"/>
    <s v="Clerical"/>
    <s v="Yes"/>
    <n v="0"/>
    <s v="0-1 Miles"/>
    <x v="0"/>
    <n v="44"/>
    <s v="Middle-Aged"/>
    <s v="No"/>
    <n v="0"/>
    <n v="1"/>
  </r>
  <r>
    <n v="22174"/>
    <s v="Married"/>
    <s v="Male"/>
    <n v="30000"/>
    <s v="Low Income"/>
    <n v="3"/>
    <s v="High School"/>
    <s v="Skilled Manual"/>
    <s v="Yes"/>
    <n v="2"/>
    <s v="5-10 Miles"/>
    <x v="1"/>
    <n v="54"/>
    <s v="Middle-Aged"/>
    <s v="Yes"/>
    <n v="1"/>
    <n v="1"/>
  </r>
  <r>
    <n v="22439"/>
    <s v="Married"/>
    <s v="Female"/>
    <n v="30000"/>
    <s v="Low Income"/>
    <n v="0"/>
    <s v="Bachelors"/>
    <s v="Clerical"/>
    <s v="Yes"/>
    <n v="0"/>
    <s v="0-1 Miles"/>
    <x v="0"/>
    <n v="37"/>
    <s v="Adults"/>
    <s v="Yes"/>
    <n v="1"/>
    <n v="1"/>
  </r>
  <r>
    <n v="18012"/>
    <s v="Married"/>
    <s v="Female"/>
    <n v="40000"/>
    <s v="Low Income"/>
    <n v="1"/>
    <s v="Bachelors"/>
    <s v="Skilled Manual"/>
    <s v="Yes"/>
    <n v="0"/>
    <s v="0-1 Miles"/>
    <x v="0"/>
    <n v="41"/>
    <s v="Middle-Aged"/>
    <s v="No"/>
    <n v="0"/>
    <n v="1"/>
  </r>
  <r>
    <n v="27582"/>
    <s v="Single"/>
    <s v="Female"/>
    <n v="90000"/>
    <s v="Medium Income"/>
    <n v="2"/>
    <s v="Bachelors"/>
    <s v="Professional"/>
    <s v="No"/>
    <n v="0"/>
    <s v="0-1 Miles"/>
    <x v="1"/>
    <n v="36"/>
    <s v="Adults"/>
    <s v="Yes"/>
    <n v="1"/>
    <n v="1"/>
  </r>
  <r>
    <n v="12744"/>
    <s v="Single"/>
    <s v="Female"/>
    <n v="40000"/>
    <s v="Low Income"/>
    <n v="2"/>
    <s v="Partial College"/>
    <s v="Clerical"/>
    <s v="Yes"/>
    <n v="0"/>
    <s v="0-1 Miles"/>
    <x v="0"/>
    <n v="33"/>
    <s v="Adults"/>
    <s v="No"/>
    <n v="0"/>
    <n v="1"/>
  </r>
  <r>
    <n v="22821"/>
    <s v="Married"/>
    <s v="Female"/>
    <n v="130000"/>
    <s v="High Income"/>
    <n v="3"/>
    <s v="Partial College"/>
    <s v="Professional"/>
    <s v="Yes"/>
    <n v="4"/>
    <s v="0-1 Miles"/>
    <x v="0"/>
    <n v="52"/>
    <s v="Middle-Aged"/>
    <s v="No"/>
    <n v="0"/>
    <n v="1"/>
  </r>
  <r>
    <n v="20171"/>
    <s v="Married"/>
    <s v="Female"/>
    <n v="20000"/>
    <s v="Low Income"/>
    <n v="2"/>
    <s v="Partial College"/>
    <s v="Manual"/>
    <s v="Yes"/>
    <n v="1"/>
    <s v="0-1 Miles"/>
    <x v="0"/>
    <n v="46"/>
    <s v="Middle-Aged"/>
    <s v="Yes"/>
    <n v="1"/>
    <n v="1"/>
  </r>
  <r>
    <n v="11116"/>
    <s v="Married"/>
    <s v="Male"/>
    <n v="70000"/>
    <s v="Medium Income"/>
    <n v="5"/>
    <s v="Partial College"/>
    <s v="Skilled Manual"/>
    <s v="Yes"/>
    <n v="2"/>
    <s v="5-10 Miles"/>
    <x v="1"/>
    <n v="43"/>
    <s v="Middle-Aged"/>
    <s v="No"/>
    <n v="0"/>
    <n v="1"/>
  </r>
  <r>
    <n v="20053"/>
    <s v="Single"/>
    <s v="Male"/>
    <n v="40000"/>
    <s v="Low Income"/>
    <n v="2"/>
    <s v="Partial College"/>
    <s v="Clerical"/>
    <s v="Yes"/>
    <n v="0"/>
    <s v="0-1 Miles"/>
    <x v="0"/>
    <n v="34"/>
    <s v="Adults"/>
    <s v="No"/>
    <n v="0"/>
    <n v="1"/>
  </r>
  <r>
    <n v="25266"/>
    <s v="Single"/>
    <s v="Female"/>
    <n v="30000"/>
    <s v="Low Income"/>
    <n v="2"/>
    <s v="Partial College"/>
    <s v="Clerical"/>
    <s v="No"/>
    <n v="2"/>
    <s v="5-10 Miles"/>
    <x v="1"/>
    <n v="67"/>
    <s v="Seniors"/>
    <s v="No"/>
    <n v="0"/>
    <n v="1"/>
  </r>
  <r>
    <n v="17960"/>
    <s v="Married"/>
    <s v="Female"/>
    <n v="40000"/>
    <s v="Low Income"/>
    <n v="0"/>
    <s v="Graduate Degree"/>
    <s v="Clerical"/>
    <s v="Yes"/>
    <n v="0"/>
    <s v="0-1 Miles"/>
    <x v="0"/>
    <n v="35"/>
    <s v="Adults"/>
    <s v="Yes"/>
    <n v="1"/>
    <n v="1"/>
  </r>
  <r>
    <n v="13961"/>
    <s v="Married"/>
    <s v="Female"/>
    <n v="80000"/>
    <s v="Medium Income"/>
    <n v="5"/>
    <s v="Graduate Degree"/>
    <s v="Management"/>
    <s v="Yes"/>
    <n v="3"/>
    <s v="0-1 Miles"/>
    <x v="1"/>
    <n v="40"/>
    <s v="Middle-Aged"/>
    <s v="No"/>
    <n v="0"/>
    <n v="1"/>
  </r>
  <r>
    <n v="11897"/>
    <s v="Single"/>
    <s v="Male"/>
    <n v="60000"/>
    <s v="Low Income"/>
    <n v="2"/>
    <s v="Bachelors"/>
    <s v="Professional"/>
    <s v="No"/>
    <n v="1"/>
    <s v="0-1 Miles"/>
    <x v="1"/>
    <n v="37"/>
    <s v="Adults"/>
    <s v="Yes"/>
    <n v="1"/>
    <n v="1"/>
  </r>
  <r>
    <n v="11139"/>
    <s v="Single"/>
    <s v="Female"/>
    <n v="30000"/>
    <s v="Low Income"/>
    <n v="2"/>
    <s v="Partial College"/>
    <s v="Clerical"/>
    <s v="No"/>
    <n v="2"/>
    <s v="5-10 Miles"/>
    <x v="1"/>
    <n v="67"/>
    <s v="Seniors"/>
    <s v="No"/>
    <n v="0"/>
    <n v="1"/>
  </r>
  <r>
    <n v="11576"/>
    <s v="Married"/>
    <s v="Male"/>
    <n v="30000"/>
    <s v="Low Income"/>
    <n v="1"/>
    <s v="Bachelors"/>
    <s v="Skilled Manual"/>
    <s v="Yes"/>
    <n v="2"/>
    <s v="0-1 Miles"/>
    <x v="0"/>
    <n v="41"/>
    <s v="Middle-Aged"/>
    <s v="Yes"/>
    <n v="1"/>
    <n v="1"/>
  </r>
  <r>
    <n v="19255"/>
    <s v="Single"/>
    <s v="Male"/>
    <n v="10000"/>
    <s v="Low Income"/>
    <n v="2"/>
    <s v="Partial College"/>
    <s v="Manual"/>
    <s v="Yes"/>
    <n v="1"/>
    <s v="0-1 Miles"/>
    <x v="0"/>
    <n v="51"/>
    <s v="Middle-Aged"/>
    <s v="Yes"/>
    <n v="1"/>
    <n v="1"/>
  </r>
  <r>
    <n v="18153"/>
    <s v="Married"/>
    <s v="Female"/>
    <n v="100000"/>
    <s v="Medium Income"/>
    <n v="2"/>
    <s v="Bachelors"/>
    <s v="Management"/>
    <s v="Yes"/>
    <n v="4"/>
    <s v="More than 10 Miles"/>
    <x v="0"/>
    <n v="59"/>
    <s v="Middle-Aged"/>
    <s v="No"/>
    <n v="0"/>
    <n v="1"/>
  </r>
  <r>
    <n v="14547"/>
    <s v="Married"/>
    <s v="Male"/>
    <n v="10000"/>
    <s v="Low Income"/>
    <n v="2"/>
    <s v="Partial College"/>
    <s v="Manual"/>
    <s v="Yes"/>
    <n v="0"/>
    <s v="1-2 Miles"/>
    <x v="0"/>
    <n v="51"/>
    <s v="Middle-Aged"/>
    <s v="No"/>
    <n v="0"/>
    <n v="1"/>
  </r>
  <r>
    <n v="24901"/>
    <s v="Single"/>
    <s v="Male"/>
    <n v="110000"/>
    <s v="Medium Income"/>
    <n v="0"/>
    <s v="Partial College"/>
    <s v="Management"/>
    <s v="No"/>
    <n v="3"/>
    <s v="More than 10 Miles"/>
    <x v="1"/>
    <n v="32"/>
    <s v="Adults"/>
    <s v="Yes"/>
    <n v="1"/>
    <n v="1"/>
  </r>
  <r>
    <n v="27169"/>
    <s v="Single"/>
    <s v="Male"/>
    <n v="30000"/>
    <s v="Low Income"/>
    <n v="0"/>
    <s v="High School"/>
    <s v="Manual"/>
    <s v="Yes"/>
    <n v="1"/>
    <s v="2-5 Miles"/>
    <x v="0"/>
    <n v="34"/>
    <s v="Adults"/>
    <s v="Yes"/>
    <n v="1"/>
    <n v="1"/>
  </r>
  <r>
    <n v="14805"/>
    <s v="Single"/>
    <s v="Female"/>
    <n v="10000"/>
    <s v="Low Income"/>
    <n v="3"/>
    <s v="Partial High School"/>
    <s v="Manual"/>
    <s v="Yes"/>
    <n v="2"/>
    <s v="0-1 Miles"/>
    <x v="0"/>
    <n v="43"/>
    <s v="Middle-Aged"/>
    <s v="No"/>
    <n v="0"/>
    <n v="1"/>
  </r>
  <r>
    <n v="15822"/>
    <s v="Married"/>
    <s v="Male"/>
    <n v="40000"/>
    <s v="Low Income"/>
    <n v="2"/>
    <s v="Bachelors"/>
    <s v="Management"/>
    <s v="Yes"/>
    <n v="2"/>
    <s v="0-1 Miles"/>
    <x v="1"/>
    <n v="67"/>
    <s v="Seniors"/>
    <s v="No"/>
    <n v="0"/>
    <n v="1"/>
  </r>
  <r>
    <n v="19389"/>
    <s v="Single"/>
    <s v="Male"/>
    <n v="30000"/>
    <s v="Low Income"/>
    <n v="0"/>
    <s v="Partial College"/>
    <s v="Clerical"/>
    <s v="No"/>
    <n v="1"/>
    <s v="2-5 Miles"/>
    <x v="0"/>
    <n v="28"/>
    <s v="Young Adults"/>
    <s v="No"/>
    <n v="0"/>
    <n v="1"/>
  </r>
  <r>
    <n v="17048"/>
    <s v="Single"/>
    <s v="Female"/>
    <n v="90000"/>
    <s v="Medium Income"/>
    <n v="1"/>
    <s v="Graduate Degree"/>
    <s v="Management"/>
    <s v="Yes"/>
    <n v="0"/>
    <s v="0-1 Miles"/>
    <x v="1"/>
    <n v="36"/>
    <s v="Adults"/>
    <s v="Yes"/>
    <n v="1"/>
    <n v="1"/>
  </r>
  <r>
    <n v="22204"/>
    <s v="Married"/>
    <s v="Male"/>
    <n v="110000"/>
    <s v="Medium Income"/>
    <n v="4"/>
    <s v="Bachelors"/>
    <s v="Management"/>
    <s v="Yes"/>
    <n v="3"/>
    <s v="2-5 Miles"/>
    <x v="1"/>
    <n v="48"/>
    <s v="Middle-Aged"/>
    <s v="No"/>
    <n v="0"/>
    <n v="1"/>
  </r>
  <r>
    <n v="12718"/>
    <s v="Single"/>
    <s v="Female"/>
    <n v="30000"/>
    <s v="Low Income"/>
    <n v="0"/>
    <s v="Partial College"/>
    <s v="Clerical"/>
    <s v="Yes"/>
    <n v="1"/>
    <s v="2-5 Miles"/>
    <x v="0"/>
    <n v="31"/>
    <s v="Adults"/>
    <s v="No"/>
    <n v="0"/>
    <n v="1"/>
  </r>
  <r>
    <n v="15019"/>
    <s v="Single"/>
    <s v="Female"/>
    <n v="30000"/>
    <s v="Low Income"/>
    <n v="3"/>
    <s v="High School"/>
    <s v="Skilled Manual"/>
    <s v="Yes"/>
    <n v="2"/>
    <s v="5-10 Miles"/>
    <x v="1"/>
    <n v="55"/>
    <s v="Middle-Aged"/>
    <s v="No"/>
    <n v="0"/>
    <n v="1"/>
  </r>
  <r>
    <n v="28488"/>
    <s v="Single"/>
    <s v="Male"/>
    <n v="20000"/>
    <s v="Low Income"/>
    <n v="0"/>
    <s v="Partial College"/>
    <s v="Manual"/>
    <s v="Yes"/>
    <n v="0"/>
    <s v="0-1 Miles"/>
    <x v="1"/>
    <n v="28"/>
    <s v="Young Adults"/>
    <s v="Yes"/>
    <n v="1"/>
    <n v="1"/>
  </r>
  <r>
    <n v="21891"/>
    <s v="Married"/>
    <s v="Female"/>
    <n v="110000"/>
    <s v="Medium Income"/>
    <n v="0"/>
    <s v="High School"/>
    <s v="Management"/>
    <s v="Yes"/>
    <n v="3"/>
    <s v="More than 10 Miles"/>
    <x v="1"/>
    <n v="34"/>
    <s v="Adults"/>
    <s v="Yes"/>
    <n v="1"/>
    <n v="1"/>
  </r>
  <r>
    <n v="27814"/>
    <s v="Single"/>
    <s v="Female"/>
    <n v="30000"/>
    <s v="Low Income"/>
    <n v="3"/>
    <s v="Partial College"/>
    <s v="Clerical"/>
    <s v="No"/>
    <n v="1"/>
    <s v="0-1 Miles"/>
    <x v="0"/>
    <n v="26"/>
    <s v="Young Adults"/>
    <s v="No"/>
    <n v="0"/>
    <n v="1"/>
  </r>
  <r>
    <n v="22175"/>
    <s v="Married"/>
    <s v="Female"/>
    <n v="30000"/>
    <s v="Low Income"/>
    <n v="3"/>
    <s v="High School"/>
    <s v="Skilled Manual"/>
    <s v="Yes"/>
    <n v="2"/>
    <s v="5-10 Miles"/>
    <x v="1"/>
    <n v="53"/>
    <s v="Middle-Aged"/>
    <s v="Yes"/>
    <n v="1"/>
    <n v="1"/>
  </r>
  <r>
    <n v="29447"/>
    <s v="Single"/>
    <s v="Female"/>
    <n v="10000"/>
    <s v="Low Income"/>
    <n v="2"/>
    <s v="Bachelors"/>
    <s v="Clerical"/>
    <s v="No"/>
    <n v="1"/>
    <s v="2-5 Miles"/>
    <x v="0"/>
    <n v="68"/>
    <s v="Seniors"/>
    <s v="No"/>
    <n v="0"/>
    <n v="1"/>
  </r>
  <r>
    <n v="19784"/>
    <s v="Married"/>
    <s v="Female"/>
    <n v="80000"/>
    <s v="Medium Income"/>
    <n v="2"/>
    <s v="High School"/>
    <s v="Skilled Manual"/>
    <s v="Yes"/>
    <n v="2"/>
    <s v="5-10 Miles"/>
    <x v="1"/>
    <n v="50"/>
    <s v="Middle-Aged"/>
    <s v="Yes"/>
    <n v="1"/>
    <n v="1"/>
  </r>
  <r>
    <n v="27824"/>
    <s v="Single"/>
    <s v="Female"/>
    <n v="30000"/>
    <s v="Low Income"/>
    <n v="3"/>
    <s v="Partial College"/>
    <s v="Clerical"/>
    <s v="Yes"/>
    <n v="2"/>
    <s v="0-1 Miles"/>
    <x v="0"/>
    <n v="28"/>
    <s v="Young Adults"/>
    <s v="Yes"/>
    <n v="1"/>
    <n v="1"/>
  </r>
  <r>
    <n v="24093"/>
    <s v="Single"/>
    <s v="Female"/>
    <n v="80000"/>
    <s v="Medium Income"/>
    <n v="0"/>
    <s v="Graduate Degree"/>
    <s v="Skilled Manual"/>
    <s v="No"/>
    <n v="0"/>
    <s v="0-1 Miles"/>
    <x v="0"/>
    <n v="40"/>
    <s v="Middle-Aged"/>
    <s v="Yes"/>
    <n v="1"/>
    <n v="1"/>
  </r>
  <r>
    <n v="19618"/>
    <s v="Married"/>
    <s v="Male"/>
    <n v="70000"/>
    <s v="Medium Income"/>
    <n v="5"/>
    <s v="Partial College"/>
    <s v="Skilled Manual"/>
    <s v="Yes"/>
    <n v="2"/>
    <s v="0-1 Miles"/>
    <x v="1"/>
    <n v="44"/>
    <s v="Middle-Aged"/>
    <s v="No"/>
    <n v="0"/>
    <n v="1"/>
  </r>
  <r>
    <n v="21561"/>
    <s v="Single"/>
    <s v="Male"/>
    <n v="90000"/>
    <s v="Medium Income"/>
    <n v="0"/>
    <s v="Bachelors"/>
    <s v="Professional"/>
    <s v="No"/>
    <n v="3"/>
    <s v="More than 10 Miles"/>
    <x v="1"/>
    <n v="34"/>
    <s v="Adults"/>
    <s v="Yes"/>
    <n v="1"/>
    <n v="1"/>
  </r>
  <r>
    <n v="11061"/>
    <s v="Married"/>
    <s v="Male"/>
    <n v="70000"/>
    <s v="Medium Income"/>
    <n v="2"/>
    <s v="Partial College"/>
    <s v="Skilled Manual"/>
    <s v="Yes"/>
    <n v="2"/>
    <s v="5-10 Miles"/>
    <x v="1"/>
    <n v="52"/>
    <s v="Middle-Aged"/>
    <s v="Yes"/>
    <n v="1"/>
    <n v="1"/>
  </r>
  <r>
    <n v="26651"/>
    <s v="Single"/>
    <s v="Male"/>
    <n v="80000"/>
    <s v="Medium Income"/>
    <n v="4"/>
    <s v="Graduate Degree"/>
    <s v="Management"/>
    <s v="Yes"/>
    <n v="0"/>
    <s v="0-1 Miles"/>
    <x v="1"/>
    <n v="36"/>
    <s v="Adults"/>
    <s v="Yes"/>
    <n v="1"/>
    <n v="1"/>
  </r>
  <r>
    <n v="21108"/>
    <s v="Married"/>
    <s v="Female"/>
    <n v="40000"/>
    <s v="Low Income"/>
    <n v="1"/>
    <s v="Bachelors"/>
    <s v="Skilled Manual"/>
    <s v="Yes"/>
    <n v="1"/>
    <s v="0-1 Miles"/>
    <x v="0"/>
    <n v="43"/>
    <s v="Middle-Aged"/>
    <s v="Yes"/>
    <n v="1"/>
    <n v="1"/>
  </r>
  <r>
    <n v="12731"/>
    <s v="Single"/>
    <s v="Male"/>
    <n v="30000"/>
    <s v="Low Income"/>
    <n v="0"/>
    <s v="High School"/>
    <s v="Manual"/>
    <s v="No"/>
    <n v="1"/>
    <s v="1-2 Miles"/>
    <x v="0"/>
    <n v="32"/>
    <s v="Adults"/>
    <s v="No"/>
    <n v="0"/>
    <n v="1"/>
  </r>
  <r>
    <n v="25307"/>
    <s v="Married"/>
    <s v="Female"/>
    <n v="40000"/>
    <s v="Low Income"/>
    <n v="1"/>
    <s v="Bachelors"/>
    <s v="Skilled Manual"/>
    <s v="Yes"/>
    <n v="1"/>
    <s v="1-2 Miles"/>
    <x v="0"/>
    <n v="32"/>
    <s v="Adults"/>
    <s v="Yes"/>
    <n v="1"/>
    <n v="1"/>
  </r>
  <r>
    <n v="14278"/>
    <s v="Married"/>
    <s v="Female"/>
    <n v="130000"/>
    <s v="High Income"/>
    <n v="0"/>
    <s v="Graduate Degree"/>
    <s v="Management"/>
    <s v="Yes"/>
    <n v="1"/>
    <s v="More than 10 Miles"/>
    <x v="1"/>
    <n v="48"/>
    <s v="Middle-Aged"/>
    <s v="No"/>
    <n v="0"/>
    <n v="1"/>
  </r>
  <r>
    <n v="20711"/>
    <s v="Married"/>
    <s v="Female"/>
    <n v="40000"/>
    <s v="Low Income"/>
    <n v="1"/>
    <s v="Bachelors"/>
    <s v="Skilled Manual"/>
    <s v="Yes"/>
    <n v="0"/>
    <s v="1-2 Miles"/>
    <x v="0"/>
    <n v="32"/>
    <s v="Adults"/>
    <s v="Yes"/>
    <n v="1"/>
    <n v="1"/>
  </r>
  <r>
    <n v="11383"/>
    <s v="Married"/>
    <s v="Female"/>
    <n v="30000"/>
    <s v="Low Income"/>
    <n v="3"/>
    <s v="Graduate Degree"/>
    <s v="Clerical"/>
    <s v="Yes"/>
    <n v="0"/>
    <s v="0-1 Miles"/>
    <x v="0"/>
    <n v="46"/>
    <s v="Middle-Aged"/>
    <s v="No"/>
    <n v="0"/>
    <n v="1"/>
  </r>
  <r>
    <n v="12497"/>
    <s v="Married"/>
    <s v="Female"/>
    <n v="40000"/>
    <s v="Low Income"/>
    <n v="1"/>
    <s v="Bachelors"/>
    <s v="Skilled Manual"/>
    <s v="Yes"/>
    <n v="0"/>
    <s v="0-1 Miles"/>
    <x v="0"/>
    <n v="42"/>
    <s v="Middle-Aged"/>
    <s v="No"/>
    <n v="0"/>
    <n v="1"/>
  </r>
  <r>
    <n v="16559"/>
    <s v="Single"/>
    <s v="Female"/>
    <n v="10000"/>
    <s v="Low Income"/>
    <n v="2"/>
    <s v="High School"/>
    <s v="Manual"/>
    <s v="Yes"/>
    <n v="0"/>
    <s v="0-1 Miles"/>
    <x v="0"/>
    <n v="36"/>
    <s v="Adults"/>
    <s v="Yes"/>
    <n v="1"/>
    <n v="1"/>
  </r>
  <r>
    <n v="11585"/>
    <s v="Married"/>
    <s v="Female"/>
    <n v="40000"/>
    <s v="Low Income"/>
    <n v="1"/>
    <s v="Bachelors"/>
    <s v="Skilled Manual"/>
    <s v="Yes"/>
    <n v="0"/>
    <s v="0-1 Miles"/>
    <x v="0"/>
    <n v="41"/>
    <s v="Middle-Aged"/>
    <s v="No"/>
    <n v="0"/>
    <n v="1"/>
  </r>
  <r>
    <n v="20277"/>
    <s v="Married"/>
    <s v="Female"/>
    <n v="30000"/>
    <s v="Low Income"/>
    <n v="2"/>
    <s v="Partial College"/>
    <s v="Clerical"/>
    <s v="No"/>
    <n v="2"/>
    <s v="0-1 Miles"/>
    <x v="1"/>
    <n v="69"/>
    <s v="Seniors"/>
    <s v="No"/>
    <n v="0"/>
    <n v="1"/>
  </r>
  <r>
    <n v="26765"/>
    <s v="Single"/>
    <s v="Female"/>
    <n v="70000"/>
    <s v="Medium Income"/>
    <n v="5"/>
    <s v="Partial College"/>
    <s v="Skilled Manual"/>
    <s v="Yes"/>
    <n v="2"/>
    <s v="5-10 Miles"/>
    <x v="1"/>
    <n v="45"/>
    <s v="Middle-Aged"/>
    <s v="No"/>
    <n v="0"/>
    <n v="1"/>
  </r>
  <r>
    <n v="12389"/>
    <s v="Single"/>
    <s v="Male"/>
    <n v="30000"/>
    <s v="Low Income"/>
    <n v="0"/>
    <s v="High School"/>
    <s v="Manual"/>
    <s v="No"/>
    <n v="1"/>
    <s v="2-5 Miles"/>
    <x v="0"/>
    <n v="34"/>
    <s v="Adults"/>
    <s v="No"/>
    <n v="0"/>
    <n v="1"/>
  </r>
  <r>
    <n v="13585"/>
    <s v="Married"/>
    <s v="Female"/>
    <n v="80000"/>
    <s v="Medium Income"/>
    <n v="4"/>
    <s v="Partial College"/>
    <s v="Professional"/>
    <s v="No"/>
    <n v="1"/>
    <s v="2-5 Miles"/>
    <x v="0"/>
    <n v="53"/>
    <s v="Middle-Aged"/>
    <s v="Yes"/>
    <n v="1"/>
    <n v="1"/>
  </r>
  <r>
    <n v="26385"/>
    <s v="Single"/>
    <s v="Male"/>
    <n v="120000"/>
    <s v="Medium Income"/>
    <n v="3"/>
    <s v="High School"/>
    <s v="Professional"/>
    <s v="No"/>
    <n v="4"/>
    <s v="5-10 Miles"/>
    <x v="0"/>
    <n v="50"/>
    <s v="Middle-Aged"/>
    <s v="No"/>
    <n v="0"/>
    <n v="1"/>
  </r>
  <r>
    <n v="12236"/>
    <s v="Married"/>
    <s v="Female"/>
    <n v="20000"/>
    <s v="Low Income"/>
    <n v="1"/>
    <s v="Partial College"/>
    <s v="Manual"/>
    <s v="Yes"/>
    <n v="0"/>
    <s v="0-1 Miles"/>
    <x v="0"/>
    <n v="65"/>
    <s v="Seniors"/>
    <s v="No"/>
    <n v="0"/>
    <n v="1"/>
  </r>
  <r>
    <n v="21560"/>
    <s v="Married"/>
    <s v="Male"/>
    <n v="120000"/>
    <s v="Medium Income"/>
    <n v="0"/>
    <s v="Partial High School"/>
    <s v="Professional"/>
    <s v="Yes"/>
    <n v="4"/>
    <s v="More than 10 Miles"/>
    <x v="1"/>
    <n v="32"/>
    <s v="Adults"/>
    <s v="Yes"/>
    <n v="1"/>
    <n v="1"/>
  </r>
  <r>
    <n v="21554"/>
    <s v="Single"/>
    <s v="Female"/>
    <n v="80000"/>
    <s v="Medium Income"/>
    <n v="0"/>
    <s v="Bachelors"/>
    <s v="Professional"/>
    <s v="No"/>
    <n v="3"/>
    <s v="More than 10 Miles"/>
    <x v="1"/>
    <n v="33"/>
    <s v="Adults"/>
    <s v="No"/>
    <n v="0"/>
    <n v="1"/>
  </r>
  <r>
    <n v="13662"/>
    <s v="Single"/>
    <s v="Male"/>
    <n v="20000"/>
    <s v="Low Income"/>
    <n v="0"/>
    <s v="Partial High School"/>
    <s v="Manual"/>
    <s v="Yes"/>
    <n v="2"/>
    <s v="1-2 Miles"/>
    <x v="0"/>
    <n v="31"/>
    <s v="Adults"/>
    <s v="Yes"/>
    <n v="1"/>
    <n v="1"/>
  </r>
  <r>
    <n v="13089"/>
    <s v="Married"/>
    <s v="Female"/>
    <n v="120000"/>
    <s v="Medium Income"/>
    <n v="1"/>
    <s v="Bachelors"/>
    <s v="Management"/>
    <s v="Yes"/>
    <n v="2"/>
    <s v="0-1 Miles"/>
    <x v="1"/>
    <n v="46"/>
    <s v="Middle-Aged"/>
    <s v="Yes"/>
    <n v="1"/>
    <n v="1"/>
  </r>
  <r>
    <n v="14791"/>
    <s v="Married"/>
    <s v="Female"/>
    <n v="40000"/>
    <s v="Low Income"/>
    <n v="0"/>
    <s v="Bachelors"/>
    <s v="Clerical"/>
    <s v="Yes"/>
    <n v="0"/>
    <s v="0-1 Miles"/>
    <x v="0"/>
    <n v="39"/>
    <s v="Adults"/>
    <s v="Yes"/>
    <n v="1"/>
    <n v="1"/>
  </r>
  <r>
    <n v="19331"/>
    <s v="Single"/>
    <s v="Male"/>
    <n v="20000"/>
    <s v="Low Income"/>
    <n v="2"/>
    <s v="High School"/>
    <s v="Manual"/>
    <s v="Yes"/>
    <n v="1"/>
    <s v="0-1 Miles"/>
    <x v="0"/>
    <n v="40"/>
    <s v="Middle-Aged"/>
    <s v="No"/>
    <n v="0"/>
    <n v="1"/>
  </r>
  <r>
    <n v="17754"/>
    <s v="Single"/>
    <s v="Female"/>
    <n v="30000"/>
    <s v="Low Income"/>
    <n v="3"/>
    <s v="Bachelors"/>
    <s v="Clerical"/>
    <s v="Yes"/>
    <n v="0"/>
    <s v="0-1 Miles"/>
    <x v="0"/>
    <n v="46"/>
    <s v="Middle-Aged"/>
    <s v="Yes"/>
    <n v="1"/>
    <n v="1"/>
  </r>
  <r>
    <n v="11149"/>
    <s v="Married"/>
    <s v="Male"/>
    <n v="40000"/>
    <s v="Low Income"/>
    <n v="2"/>
    <s v="Bachelors"/>
    <s v="Management"/>
    <s v="Yes"/>
    <n v="2"/>
    <s v="0-1 Miles"/>
    <x v="1"/>
    <n v="65"/>
    <s v="Seniors"/>
    <s v="No"/>
    <n v="0"/>
    <n v="1"/>
  </r>
  <r>
    <n v="16549"/>
    <s v="Single"/>
    <s v="Female"/>
    <n v="30000"/>
    <s v="Low Income"/>
    <n v="3"/>
    <s v="Bachelors"/>
    <s v="Clerical"/>
    <s v="Yes"/>
    <n v="0"/>
    <s v="0-1 Miles"/>
    <x v="0"/>
    <n v="47"/>
    <s v="Middle-Aged"/>
    <s v="Yes"/>
    <n v="1"/>
    <n v="1"/>
  </r>
  <r>
    <n v="24305"/>
    <s v="Single"/>
    <s v="Male"/>
    <n v="100000"/>
    <s v="Medium Income"/>
    <n v="1"/>
    <s v="Bachelors"/>
    <s v="Management"/>
    <s v="No"/>
    <n v="3"/>
    <s v="0-1 Miles"/>
    <x v="1"/>
    <n v="46"/>
    <s v="Middle-Aged"/>
    <s v="Yes"/>
    <n v="1"/>
    <n v="1"/>
  </r>
  <r>
    <n v="18253"/>
    <s v="Married"/>
    <s v="Female"/>
    <n v="80000"/>
    <s v="Medium Income"/>
    <n v="5"/>
    <s v="Graduate Degree"/>
    <s v="Management"/>
    <s v="Yes"/>
    <n v="3"/>
    <s v="0-1 Miles"/>
    <x v="1"/>
    <n v="40"/>
    <s v="Middle-Aged"/>
    <s v="No"/>
    <n v="0"/>
    <n v="1"/>
  </r>
  <r>
    <n v="20147"/>
    <s v="Married"/>
    <s v="Female"/>
    <n v="30000"/>
    <s v="Low Income"/>
    <n v="1"/>
    <s v="Bachelors"/>
    <s v="Clerical"/>
    <s v="Yes"/>
    <n v="0"/>
    <s v="0-1 Miles"/>
    <x v="0"/>
    <n v="65"/>
    <s v="Seniors"/>
    <s v="No"/>
    <n v="0"/>
    <n v="1"/>
  </r>
  <r>
    <n v="15612"/>
    <s v="Single"/>
    <s v="Male"/>
    <n v="30000"/>
    <s v="Low Income"/>
    <n v="0"/>
    <s v="High School"/>
    <s v="Manual"/>
    <s v="No"/>
    <n v="1"/>
    <s v="1-2 Miles"/>
    <x v="0"/>
    <n v="28"/>
    <s v="Young Adults"/>
    <s v="No"/>
    <n v="0"/>
    <n v="1"/>
  </r>
  <r>
    <n v="28323"/>
    <s v="Single"/>
    <s v="Male"/>
    <n v="70000"/>
    <s v="Medium Income"/>
    <n v="0"/>
    <s v="Bachelors"/>
    <s v="Professional"/>
    <s v="No"/>
    <n v="2"/>
    <s v="5-10 Miles"/>
    <x v="1"/>
    <n v="43"/>
    <s v="Middle-Aged"/>
    <s v="Yes"/>
    <n v="1"/>
    <n v="1"/>
  </r>
  <r>
    <n v="22634"/>
    <s v="Single"/>
    <s v="Female"/>
    <n v="40000"/>
    <s v="Low Income"/>
    <n v="0"/>
    <s v="Graduate Degree"/>
    <s v="Clerical"/>
    <s v="Yes"/>
    <n v="0"/>
    <s v="0-1 Miles"/>
    <x v="0"/>
    <n v="38"/>
    <s v="Adults"/>
    <s v="Yes"/>
    <n v="1"/>
    <n v="1"/>
  </r>
  <r>
    <n v="15665"/>
    <s v="Married"/>
    <s v="Female"/>
    <n v="30000"/>
    <s v="Low Income"/>
    <n v="0"/>
    <s v="Bachelors"/>
    <s v="Clerical"/>
    <s v="Yes"/>
    <n v="0"/>
    <s v="0-1 Miles"/>
    <x v="0"/>
    <n v="47"/>
    <s v="Middle-Aged"/>
    <s v="Yes"/>
    <n v="1"/>
    <n v="1"/>
  </r>
  <r>
    <n v="27585"/>
    <s v="Married"/>
    <s v="Female"/>
    <n v="90000"/>
    <s v="Medium Income"/>
    <n v="2"/>
    <s v="Bachelors"/>
    <s v="Professional"/>
    <s v="No"/>
    <n v="0"/>
    <s v="0-1 Miles"/>
    <x v="1"/>
    <n v="36"/>
    <s v="Adults"/>
    <s v="Yes"/>
    <n v="1"/>
    <n v="1"/>
  </r>
  <r>
    <n v="19748"/>
    <s v="Married"/>
    <s v="Male"/>
    <n v="20000"/>
    <s v="Low Income"/>
    <n v="4"/>
    <s v="High School"/>
    <s v="Skilled Manual"/>
    <s v="No"/>
    <n v="2"/>
    <s v="1-2 Miles"/>
    <x v="1"/>
    <n v="60"/>
    <s v="Seniors"/>
    <s v="No"/>
    <n v="0"/>
    <n v="1"/>
  </r>
  <r>
    <n v="21974"/>
    <s v="Single"/>
    <s v="Female"/>
    <n v="70000"/>
    <s v="Medium Income"/>
    <n v="0"/>
    <s v="Bachelors"/>
    <s v="Professional"/>
    <s v="Yes"/>
    <n v="1"/>
    <s v="5-10 Miles"/>
    <x v="1"/>
    <n v="42"/>
    <s v="Middle-Aged"/>
    <s v="Yes"/>
    <n v="1"/>
    <n v="1"/>
  </r>
  <r>
    <n v="14032"/>
    <s v="Married"/>
    <s v="Male"/>
    <n v="70000"/>
    <s v="Medium Income"/>
    <n v="2"/>
    <s v="High School"/>
    <s v="Skilled Manual"/>
    <s v="No"/>
    <n v="2"/>
    <s v="1-2 Miles"/>
    <x v="1"/>
    <n v="50"/>
    <s v="Middle-Aged"/>
    <s v="Yes"/>
    <n v="1"/>
    <n v="1"/>
  </r>
  <r>
    <n v="22610"/>
    <s v="Married"/>
    <s v="Male"/>
    <n v="30000"/>
    <s v="Low Income"/>
    <n v="0"/>
    <s v="Bachelors"/>
    <s v="Clerical"/>
    <s v="Yes"/>
    <n v="0"/>
    <s v="0-1 Miles"/>
    <x v="0"/>
    <n v="35"/>
    <s v="Adults"/>
    <s v="Yes"/>
    <n v="1"/>
    <n v="1"/>
  </r>
  <r>
    <n v="26984"/>
    <s v="Married"/>
    <s v="Male"/>
    <n v="40000"/>
    <s v="Low Income"/>
    <n v="1"/>
    <s v="Bachelors"/>
    <s v="Skilled Manual"/>
    <s v="Yes"/>
    <n v="1"/>
    <s v="0-1 Miles"/>
    <x v="0"/>
    <n v="32"/>
    <s v="Adults"/>
    <s v="Yes"/>
    <n v="1"/>
    <n v="1"/>
  </r>
  <r>
    <n v="18294"/>
    <s v="Married"/>
    <s v="Female"/>
    <n v="90000"/>
    <s v="Medium Income"/>
    <n v="1"/>
    <s v="Bachelors"/>
    <s v="Professional"/>
    <s v="Yes"/>
    <n v="1"/>
    <s v="5-10 Miles"/>
    <x v="1"/>
    <n v="46"/>
    <s v="Middle-Aged"/>
    <s v="No"/>
    <n v="0"/>
    <n v="1"/>
  </r>
  <r>
    <n v="28564"/>
    <s v="Single"/>
    <s v="Female"/>
    <n v="40000"/>
    <s v="Low Income"/>
    <n v="2"/>
    <s v="Partial College"/>
    <s v="Clerical"/>
    <s v="Yes"/>
    <n v="0"/>
    <s v="1-2 Miles"/>
    <x v="0"/>
    <n v="33"/>
    <s v="Adults"/>
    <s v="Yes"/>
    <n v="1"/>
    <n v="1"/>
  </r>
  <r>
    <n v="28521"/>
    <s v="Single"/>
    <s v="Male"/>
    <n v="40000"/>
    <s v="Low Income"/>
    <n v="0"/>
    <s v="Graduate Degree"/>
    <s v="Clerical"/>
    <s v="No"/>
    <n v="0"/>
    <s v="0-1 Miles"/>
    <x v="0"/>
    <n v="36"/>
    <s v="Adults"/>
    <s v="Yes"/>
    <n v="1"/>
    <n v="1"/>
  </r>
  <r>
    <n v="15450"/>
    <s v="Married"/>
    <s v="Male"/>
    <n v="10000"/>
    <s v="Low Income"/>
    <n v="1"/>
    <s v="Graduate Degree"/>
    <s v="Clerical"/>
    <s v="Yes"/>
    <n v="0"/>
    <s v="0-1 Miles"/>
    <x v="0"/>
    <n v="70"/>
    <s v="Seniors"/>
    <s v="No"/>
    <n v="0"/>
    <n v="1"/>
  </r>
  <r>
    <n v="25681"/>
    <s v="Single"/>
    <s v="Female"/>
    <n v="30000"/>
    <s v="Low Income"/>
    <n v="0"/>
    <s v="Partial College"/>
    <s v="Clerical"/>
    <s v="No"/>
    <n v="1"/>
    <s v="2-5 Miles"/>
    <x v="0"/>
    <n v="31"/>
    <s v="Adults"/>
    <s v="Yes"/>
    <n v="1"/>
    <n v="1"/>
  </r>
  <r>
    <n v="19491"/>
    <s v="Single"/>
    <s v="Male"/>
    <n v="30000"/>
    <s v="Low Income"/>
    <n v="2"/>
    <s v="Partial College"/>
    <s v="Clerical"/>
    <s v="Yes"/>
    <n v="2"/>
    <s v="0-1 Miles"/>
    <x v="0"/>
    <n v="42"/>
    <s v="Middle-Aged"/>
    <s v="No"/>
    <n v="0"/>
    <n v="1"/>
  </r>
  <r>
    <n v="26415"/>
    <s v="Married"/>
    <s v="Female"/>
    <n v="90000"/>
    <s v="Medium Income"/>
    <n v="4"/>
    <s v="Partial High School"/>
    <s v="Skilled Manual"/>
    <s v="Yes"/>
    <n v="4"/>
    <s v="More than 10 Miles"/>
    <x v="0"/>
    <n v="58"/>
    <s v="Middle-Aged"/>
    <s v="No"/>
    <n v="0"/>
    <n v="1"/>
  </r>
  <r>
    <n v="12821"/>
    <s v="Married"/>
    <s v="Male"/>
    <n v="40000"/>
    <s v="Low Income"/>
    <n v="0"/>
    <s v="Bachelors"/>
    <s v="Clerical"/>
    <s v="Yes"/>
    <n v="0"/>
    <s v="0-1 Miles"/>
    <x v="0"/>
    <n v="39"/>
    <s v="Adults"/>
    <s v="No"/>
    <n v="0"/>
    <n v="1"/>
  </r>
  <r>
    <n v="15629"/>
    <s v="Single"/>
    <s v="Female"/>
    <n v="10000"/>
    <s v="Low Income"/>
    <n v="0"/>
    <s v="Partial High School"/>
    <s v="Manual"/>
    <s v="Yes"/>
    <n v="2"/>
    <s v="1-2 Miles"/>
    <x v="0"/>
    <n v="34"/>
    <s v="Adults"/>
    <s v="No"/>
    <n v="0"/>
    <n v="1"/>
  </r>
  <r>
    <n v="27835"/>
    <s v="Married"/>
    <s v="Male"/>
    <n v="20000"/>
    <s v="Low Income"/>
    <n v="0"/>
    <s v="Partial High School"/>
    <s v="Manual"/>
    <s v="Yes"/>
    <n v="2"/>
    <s v="0-1 Miles"/>
    <x v="0"/>
    <n v="32"/>
    <s v="Adults"/>
    <s v="No"/>
    <n v="0"/>
    <n v="1"/>
  </r>
  <r>
    <n v="11738"/>
    <s v="Married"/>
    <s v="Male"/>
    <n v="60000"/>
    <s v="Low Income"/>
    <n v="4"/>
    <s v="Bachelors"/>
    <s v="Professional"/>
    <s v="Yes"/>
    <n v="0"/>
    <s v="2-5 Miles"/>
    <x v="2"/>
    <n v="46"/>
    <s v="Middle-Aged"/>
    <s v="No"/>
    <n v="0"/>
    <n v="1"/>
  </r>
  <r>
    <n v="25065"/>
    <s v="Married"/>
    <s v="Male"/>
    <n v="70000"/>
    <s v="Medium Income"/>
    <n v="2"/>
    <s v="Partial High School"/>
    <s v="Skilled Manual"/>
    <s v="Yes"/>
    <n v="2"/>
    <s v="5-10 Miles"/>
    <x v="2"/>
    <n v="48"/>
    <s v="Middle-Aged"/>
    <s v="No"/>
    <n v="0"/>
    <n v="1"/>
  </r>
  <r>
    <n v="26238"/>
    <s v="Single"/>
    <s v="Female"/>
    <n v="40000"/>
    <s v="Low Income"/>
    <n v="3"/>
    <s v="Partial College"/>
    <s v="Clerical"/>
    <s v="Yes"/>
    <n v="1"/>
    <s v="1-2 Miles"/>
    <x v="2"/>
    <n v="31"/>
    <s v="Adults"/>
    <s v="Yes"/>
    <n v="1"/>
    <n v="1"/>
  </r>
  <r>
    <n v="23707"/>
    <s v="Single"/>
    <s v="Male"/>
    <n v="70000"/>
    <s v="Medium Income"/>
    <n v="5"/>
    <s v="Bachelors"/>
    <s v="Management"/>
    <s v="Yes"/>
    <n v="3"/>
    <s v="More than 10 Miles"/>
    <x v="2"/>
    <n v="60"/>
    <s v="Seniors"/>
    <s v="Yes"/>
    <n v="1"/>
    <n v="1"/>
  </r>
  <r>
    <n v="27650"/>
    <s v="Married"/>
    <s v="Male"/>
    <n v="70000"/>
    <s v="Medium Income"/>
    <n v="4"/>
    <s v="High School"/>
    <s v="Professional"/>
    <s v="Yes"/>
    <n v="0"/>
    <s v="5-10 Miles"/>
    <x v="2"/>
    <n v="51"/>
    <s v="Middle-Aged"/>
    <s v="No"/>
    <n v="0"/>
    <n v="1"/>
  </r>
  <r>
    <n v="24981"/>
    <s v="Married"/>
    <s v="Male"/>
    <n v="60000"/>
    <s v="Low Income"/>
    <n v="2"/>
    <s v="Partial College"/>
    <s v="Professional"/>
    <s v="Yes"/>
    <n v="2"/>
    <s v="More than 10 Miles"/>
    <x v="2"/>
    <n v="56"/>
    <s v="Middle-Aged"/>
    <s v="No"/>
    <n v="0"/>
    <n v="1"/>
  </r>
  <r>
    <n v="20678"/>
    <s v="Single"/>
    <s v="Female"/>
    <n v="60000"/>
    <s v="Low Income"/>
    <n v="3"/>
    <s v="Bachelors"/>
    <s v="Skilled Manual"/>
    <s v="Yes"/>
    <n v="1"/>
    <s v="2-5 Miles"/>
    <x v="2"/>
    <n v="40"/>
    <s v="Middle-Aged"/>
    <s v="Yes"/>
    <n v="1"/>
    <n v="1"/>
  </r>
  <r>
    <n v="15302"/>
    <s v="Single"/>
    <s v="Female"/>
    <n v="70000"/>
    <s v="Medium Income"/>
    <n v="1"/>
    <s v="Graduate Degree"/>
    <s v="Professional"/>
    <s v="Yes"/>
    <n v="0"/>
    <s v="2-5 Miles"/>
    <x v="2"/>
    <n v="34"/>
    <s v="Adults"/>
    <s v="Yes"/>
    <n v="1"/>
    <n v="1"/>
  </r>
  <r>
    <n v="26012"/>
    <s v="Married"/>
    <s v="Male"/>
    <n v="80000"/>
    <s v="Medium Income"/>
    <n v="1"/>
    <s v="Partial College"/>
    <s v="Skilled Manual"/>
    <s v="Yes"/>
    <n v="1"/>
    <s v="2-5 Miles"/>
    <x v="2"/>
    <n v="48"/>
    <s v="Middle-Aged"/>
    <s v="Yes"/>
    <n v="1"/>
    <n v="1"/>
  </r>
  <r>
    <n v="26575"/>
    <s v="Single"/>
    <s v="Female"/>
    <n v="40000"/>
    <s v="Low Income"/>
    <n v="0"/>
    <s v="High School"/>
    <s v="Skilled Manual"/>
    <s v="No"/>
    <n v="2"/>
    <s v="1-2 Miles"/>
    <x v="2"/>
    <n v="31"/>
    <s v="Adults"/>
    <s v="Yes"/>
    <n v="1"/>
    <n v="1"/>
  </r>
  <r>
    <n v="15559"/>
    <s v="Married"/>
    <s v="Male"/>
    <n v="60000"/>
    <s v="Low Income"/>
    <n v="5"/>
    <s v="Bachelors"/>
    <s v="Professional"/>
    <s v="Yes"/>
    <n v="1"/>
    <s v="2-5 Miles"/>
    <x v="2"/>
    <n v="47"/>
    <s v="Middle-Aged"/>
    <s v="No"/>
    <n v="0"/>
    <n v="1"/>
  </r>
  <r>
    <n v="19235"/>
    <s v="Married"/>
    <s v="Female"/>
    <n v="50000"/>
    <s v="Low Income"/>
    <n v="0"/>
    <s v="Graduate Degree"/>
    <s v="Skilled Manual"/>
    <s v="Yes"/>
    <n v="0"/>
    <s v="0-1 Miles"/>
    <x v="2"/>
    <n v="34"/>
    <s v="Adults"/>
    <s v="No"/>
    <n v="0"/>
    <n v="1"/>
  </r>
  <r>
    <n v="15275"/>
    <s v="Married"/>
    <s v="Male"/>
    <n v="40000"/>
    <s v="Low Income"/>
    <n v="0"/>
    <s v="Partial College"/>
    <s v="Skilled Manual"/>
    <s v="Yes"/>
    <n v="1"/>
    <s v="5-10 Miles"/>
    <x v="2"/>
    <n v="29"/>
    <s v="Young Adults"/>
    <s v="No"/>
    <n v="0"/>
    <n v="1"/>
  </r>
  <r>
    <n v="20339"/>
    <s v="Married"/>
    <s v="Female"/>
    <n v="130000"/>
    <s v="High Income"/>
    <n v="1"/>
    <s v="Bachelors"/>
    <s v="Management"/>
    <s v="Yes"/>
    <n v="4"/>
    <s v="2-5 Miles"/>
    <x v="2"/>
    <n v="44"/>
    <s v="Middle-Aged"/>
    <s v="Yes"/>
    <n v="1"/>
    <n v="1"/>
  </r>
  <r>
    <n v="25405"/>
    <s v="Married"/>
    <s v="Male"/>
    <n v="70000"/>
    <s v="Medium Income"/>
    <n v="2"/>
    <s v="Bachelors"/>
    <s v="Skilled Manual"/>
    <s v="Yes"/>
    <n v="1"/>
    <s v="2-5 Miles"/>
    <x v="2"/>
    <n v="38"/>
    <s v="Adults"/>
    <s v="Yes"/>
    <n v="1"/>
    <n v="1"/>
  </r>
  <r>
    <n v="15940"/>
    <s v="Married"/>
    <s v="Male"/>
    <n v="100000"/>
    <s v="Medium Income"/>
    <n v="4"/>
    <s v="Partial College"/>
    <s v="Professional"/>
    <s v="Yes"/>
    <n v="4"/>
    <s v="0-1 Miles"/>
    <x v="2"/>
    <n v="40"/>
    <s v="Middle-Aged"/>
    <s v="No"/>
    <n v="0"/>
    <n v="1"/>
  </r>
  <r>
    <n v="25074"/>
    <s v="Married"/>
    <s v="Female"/>
    <n v="70000"/>
    <s v="Medium Income"/>
    <n v="4"/>
    <s v="Bachelors"/>
    <s v="Professional"/>
    <s v="Yes"/>
    <n v="2"/>
    <s v="2-5 Miles"/>
    <x v="2"/>
    <n v="42"/>
    <s v="Middle-Aged"/>
    <s v="Yes"/>
    <n v="1"/>
    <n v="1"/>
  </r>
  <r>
    <n v="24738"/>
    <s v="Married"/>
    <s v="Female"/>
    <n v="40000"/>
    <s v="Low Income"/>
    <n v="1"/>
    <s v="Partial College"/>
    <s v="Clerical"/>
    <s v="Yes"/>
    <n v="1"/>
    <s v="1-2 Miles"/>
    <x v="2"/>
    <n v="51"/>
    <s v="Middle-Aged"/>
    <s v="Yes"/>
    <n v="1"/>
    <n v="1"/>
  </r>
  <r>
    <n v="16337"/>
    <s v="Married"/>
    <s v="Male"/>
    <n v="60000"/>
    <s v="Low Income"/>
    <n v="0"/>
    <s v="Partial College"/>
    <s v="Skilled Manual"/>
    <s v="No"/>
    <n v="2"/>
    <s v="1-2 Miles"/>
    <x v="2"/>
    <n v="29"/>
    <s v="Young Adults"/>
    <s v="No"/>
    <n v="0"/>
    <n v="1"/>
  </r>
  <r>
    <n v="24357"/>
    <s v="Married"/>
    <s v="Male"/>
    <n v="80000"/>
    <s v="Medium Income"/>
    <n v="3"/>
    <s v="Bachelors"/>
    <s v="Professional"/>
    <s v="Yes"/>
    <n v="1"/>
    <s v="2-5 Miles"/>
    <x v="2"/>
    <n v="48"/>
    <s v="Middle-Aged"/>
    <s v="Yes"/>
    <n v="1"/>
    <n v="1"/>
  </r>
  <r>
    <n v="18613"/>
    <s v="Single"/>
    <s v="Male"/>
    <n v="70000"/>
    <s v="Medium Income"/>
    <n v="0"/>
    <s v="Bachelors"/>
    <s v="Professional"/>
    <s v="No"/>
    <n v="1"/>
    <s v="2-5 Miles"/>
    <x v="2"/>
    <n v="37"/>
    <s v="Adults"/>
    <s v="Yes"/>
    <n v="1"/>
    <n v="1"/>
  </r>
  <r>
    <n v="12207"/>
    <s v="Single"/>
    <s v="Male"/>
    <n v="80000"/>
    <s v="Medium Income"/>
    <n v="4"/>
    <s v="Bachelors"/>
    <s v="Management"/>
    <s v="Yes"/>
    <n v="0"/>
    <s v="5-10 Miles"/>
    <x v="2"/>
    <n v="66"/>
    <s v="Seniors"/>
    <s v="Yes"/>
    <n v="1"/>
    <n v="1"/>
  </r>
  <r>
    <n v="18052"/>
    <s v="Married"/>
    <s v="Female"/>
    <n v="60000"/>
    <s v="Low Income"/>
    <n v="1"/>
    <s v="Partial College"/>
    <s v="Skilled Manual"/>
    <s v="Yes"/>
    <n v="1"/>
    <s v="0-1 Miles"/>
    <x v="2"/>
    <n v="45"/>
    <s v="Middle-Aged"/>
    <s v="Yes"/>
    <n v="1"/>
    <n v="1"/>
  </r>
  <r>
    <n v="13353"/>
    <s v="Single"/>
    <s v="Female"/>
    <n v="60000"/>
    <s v="Low Income"/>
    <n v="4"/>
    <s v="Graduate Degree"/>
    <s v="Management"/>
    <s v="Yes"/>
    <n v="2"/>
    <s v="More than 10 Miles"/>
    <x v="2"/>
    <n v="61"/>
    <s v="Seniors"/>
    <s v="Yes"/>
    <n v="1"/>
    <n v="1"/>
  </r>
  <r>
    <n v="19399"/>
    <s v="Single"/>
    <s v="Male"/>
    <n v="40000"/>
    <s v="Low Income"/>
    <n v="0"/>
    <s v="Bachelors"/>
    <s v="Professional"/>
    <s v="No"/>
    <n v="1"/>
    <s v="2-5 Miles"/>
    <x v="2"/>
    <n v="45"/>
    <s v="Middle-Aged"/>
    <s v="No"/>
    <n v="0"/>
    <n v="1"/>
  </r>
  <r>
    <n v="16154"/>
    <s v="Married"/>
    <s v="Female"/>
    <n v="70000"/>
    <s v="Medium Income"/>
    <n v="5"/>
    <s v="Bachelors"/>
    <s v="Professional"/>
    <s v="Yes"/>
    <n v="2"/>
    <s v="2-5 Miles"/>
    <x v="2"/>
    <n v="47"/>
    <s v="Middle-Aged"/>
    <s v="No"/>
    <n v="0"/>
    <n v="1"/>
  </r>
  <r>
    <n v="22219"/>
    <s v="Married"/>
    <s v="Female"/>
    <n v="60000"/>
    <s v="Low Income"/>
    <n v="2"/>
    <s v="High School"/>
    <s v="Professional"/>
    <s v="Yes"/>
    <n v="2"/>
    <s v="5-10 Miles"/>
    <x v="2"/>
    <n v="49"/>
    <s v="Middle-Aged"/>
    <s v="No"/>
    <n v="0"/>
    <n v="1"/>
  </r>
  <r>
    <n v="17269"/>
    <s v="Single"/>
    <s v="Male"/>
    <n v="60000"/>
    <s v="Low Income"/>
    <n v="3"/>
    <s v="Bachelors"/>
    <s v="Professional"/>
    <s v="No"/>
    <n v="0"/>
    <s v="0-1 Miles"/>
    <x v="2"/>
    <n v="47"/>
    <s v="Middle-Aged"/>
    <s v="Yes"/>
    <n v="1"/>
    <n v="1"/>
  </r>
  <r>
    <n v="23586"/>
    <s v="Married"/>
    <s v="Female"/>
    <n v="80000"/>
    <s v="Medium Income"/>
    <n v="0"/>
    <s v="Bachelors"/>
    <s v="Management"/>
    <s v="Yes"/>
    <n v="1"/>
    <s v="1-2 Miles"/>
    <x v="2"/>
    <n v="34"/>
    <s v="Adults"/>
    <s v="Yes"/>
    <n v="1"/>
    <n v="1"/>
  </r>
  <r>
    <n v="15740"/>
    <s v="Married"/>
    <s v="Male"/>
    <n v="80000"/>
    <s v="Medium Income"/>
    <n v="5"/>
    <s v="Bachelors"/>
    <s v="Management"/>
    <s v="Yes"/>
    <n v="2"/>
    <s v="1-2 Miles"/>
    <x v="2"/>
    <n v="64"/>
    <s v="Seniors"/>
    <s v="No"/>
    <n v="0"/>
    <n v="1"/>
  </r>
  <r>
    <n v="27638"/>
    <s v="Single"/>
    <s v="Male"/>
    <n v="100000"/>
    <s v="Medium Income"/>
    <n v="1"/>
    <s v="Partial College"/>
    <s v="Professional"/>
    <s v="No"/>
    <n v="3"/>
    <s v="1-2 Miles"/>
    <x v="2"/>
    <n v="44"/>
    <s v="Middle-Aged"/>
    <s v="No"/>
    <n v="0"/>
    <n v="1"/>
  </r>
  <r>
    <n v="18976"/>
    <s v="Single"/>
    <s v="Male"/>
    <n v="40000"/>
    <s v="Low Income"/>
    <n v="4"/>
    <s v="High School"/>
    <s v="Professional"/>
    <s v="Yes"/>
    <n v="2"/>
    <s v="More than 10 Miles"/>
    <x v="2"/>
    <n v="62"/>
    <s v="Seniors"/>
    <s v="Yes"/>
    <n v="1"/>
    <n v="1"/>
  </r>
  <r>
    <n v="19413"/>
    <s v="Single"/>
    <s v="Male"/>
    <n v="60000"/>
    <s v="Low Income"/>
    <n v="3"/>
    <s v="Bachelors"/>
    <s v="Professional"/>
    <s v="No"/>
    <n v="1"/>
    <s v="0-1 Miles"/>
    <x v="2"/>
    <n v="47"/>
    <s v="Middle-Aged"/>
    <s v="Yes"/>
    <n v="1"/>
    <n v="1"/>
  </r>
  <r>
    <n v="13283"/>
    <s v="Married"/>
    <s v="Male"/>
    <n v="80000"/>
    <s v="Medium Income"/>
    <n v="3"/>
    <s v="Partial College"/>
    <s v="Professional"/>
    <s v="No"/>
    <n v="2"/>
    <s v="0-1 Miles"/>
    <x v="2"/>
    <n v="49"/>
    <s v="Middle-Aged"/>
    <s v="Yes"/>
    <n v="1"/>
    <n v="1"/>
  </r>
  <r>
    <n v="17471"/>
    <s v="Single"/>
    <s v="Female"/>
    <n v="80000"/>
    <s v="Medium Income"/>
    <n v="4"/>
    <s v="Graduate Degree"/>
    <s v="Management"/>
    <s v="Yes"/>
    <n v="2"/>
    <s v="5-10 Miles"/>
    <x v="2"/>
    <n v="67"/>
    <s v="Seniors"/>
    <s v="No"/>
    <n v="0"/>
    <n v="1"/>
  </r>
  <r>
    <n v="16791"/>
    <s v="Single"/>
    <s v="Male"/>
    <n v="60000"/>
    <s v="Low Income"/>
    <n v="5"/>
    <s v="Bachelors"/>
    <s v="Management"/>
    <s v="Yes"/>
    <n v="3"/>
    <s v="More than 10 Miles"/>
    <x v="2"/>
    <n v="59"/>
    <s v="Middle-Aged"/>
    <s v="Yes"/>
    <n v="1"/>
    <n v="1"/>
  </r>
  <r>
    <n v="15382"/>
    <s v="Married"/>
    <s v="Female"/>
    <n v="110000"/>
    <s v="Medium Income"/>
    <n v="1"/>
    <s v="Bachelors"/>
    <s v="Management"/>
    <s v="Yes"/>
    <n v="2"/>
    <s v="1-2 Miles"/>
    <x v="2"/>
    <n v="44"/>
    <s v="Middle-Aged"/>
    <s v="No"/>
    <n v="0"/>
    <n v="1"/>
  </r>
  <r>
    <n v="11641"/>
    <s v="Married"/>
    <s v="Male"/>
    <n v="50000"/>
    <s v="Low Income"/>
    <n v="1"/>
    <s v="Bachelors"/>
    <s v="Skilled Manual"/>
    <s v="Yes"/>
    <n v="0"/>
    <s v="0-1 Miles"/>
    <x v="2"/>
    <n v="36"/>
    <s v="Adults"/>
    <s v="No"/>
    <n v="0"/>
    <n v="1"/>
  </r>
  <r>
    <n v="11935"/>
    <s v="Single"/>
    <s v="Female"/>
    <n v="30000"/>
    <s v="Low Income"/>
    <n v="0"/>
    <s v="Partial College"/>
    <s v="Skilled Manual"/>
    <s v="Yes"/>
    <n v="1"/>
    <s v="5-10 Miles"/>
    <x v="2"/>
    <n v="28"/>
    <s v="Young Adults"/>
    <s v="No"/>
    <n v="0"/>
    <n v="1"/>
  </r>
  <r>
    <n v="13233"/>
    <s v="Married"/>
    <s v="Male"/>
    <n v="60000"/>
    <s v="Low Income"/>
    <n v="2"/>
    <s v="Partial College"/>
    <s v="Professional"/>
    <s v="Yes"/>
    <n v="1"/>
    <s v="More than 10 Miles"/>
    <x v="2"/>
    <n v="57"/>
    <s v="Middle-Aged"/>
    <s v="Yes"/>
    <n v="1"/>
    <n v="1"/>
  </r>
  <r>
    <n v="25909"/>
    <s v="Married"/>
    <s v="Male"/>
    <n v="60000"/>
    <s v="Low Income"/>
    <n v="0"/>
    <s v="Partial College"/>
    <s v="Skilled Manual"/>
    <s v="Yes"/>
    <n v="1"/>
    <s v="5-10 Miles"/>
    <x v="2"/>
    <n v="27"/>
    <s v="Young Adults"/>
    <s v="Yes"/>
    <n v="1"/>
    <n v="1"/>
  </r>
  <r>
    <n v="14092"/>
    <s v="Single"/>
    <s v="Male"/>
    <n v="30000"/>
    <s v="Low Income"/>
    <n v="0"/>
    <s v="Partial High School"/>
    <s v="Clerical"/>
    <s v="Yes"/>
    <n v="2"/>
    <s v="5-10 Miles"/>
    <x v="2"/>
    <n v="28"/>
    <s v="Young Adults"/>
    <s v="No"/>
    <n v="0"/>
    <n v="1"/>
  </r>
  <r>
    <n v="29143"/>
    <s v="Single"/>
    <s v="Female"/>
    <n v="60000"/>
    <s v="Low Income"/>
    <n v="1"/>
    <s v="Bachelors"/>
    <s v="Professional"/>
    <s v="No"/>
    <n v="1"/>
    <s v="0-1 Miles"/>
    <x v="2"/>
    <n v="44"/>
    <s v="Middle-Aged"/>
    <s v="Yes"/>
    <n v="1"/>
    <n v="1"/>
  </r>
  <r>
    <n v="24941"/>
    <s v="Married"/>
    <s v="Male"/>
    <n v="60000"/>
    <s v="Low Income"/>
    <n v="3"/>
    <s v="Bachelors"/>
    <s v="Management"/>
    <s v="Yes"/>
    <n v="2"/>
    <s v="More than 10 Miles"/>
    <x v="2"/>
    <n v="66"/>
    <s v="Seniors"/>
    <s v="No"/>
    <n v="0"/>
    <n v="1"/>
  </r>
  <r>
    <n v="24637"/>
    <s v="Married"/>
    <s v="Male"/>
    <n v="40000"/>
    <s v="Low Income"/>
    <n v="4"/>
    <s v="High School"/>
    <s v="Professional"/>
    <s v="Yes"/>
    <n v="2"/>
    <s v="More than 10 Miles"/>
    <x v="2"/>
    <n v="64"/>
    <s v="Seniors"/>
    <s v="No"/>
    <n v="0"/>
    <n v="1"/>
  </r>
  <r>
    <n v="23893"/>
    <s v="Married"/>
    <s v="Male"/>
    <n v="50000"/>
    <s v="Low Income"/>
    <n v="3"/>
    <s v="Bachelors"/>
    <s v="Skilled Manual"/>
    <s v="Yes"/>
    <n v="3"/>
    <s v="More than 10 Miles"/>
    <x v="2"/>
    <n v="41"/>
    <s v="Middle-Aged"/>
    <s v="No"/>
    <n v="0"/>
    <n v="1"/>
  </r>
  <r>
    <n v="13907"/>
    <s v="Single"/>
    <s v="Female"/>
    <n v="80000"/>
    <s v="Medium Income"/>
    <n v="3"/>
    <s v="Bachelors"/>
    <s v="Skilled Manual"/>
    <s v="Yes"/>
    <n v="1"/>
    <s v="0-1 Miles"/>
    <x v="2"/>
    <n v="41"/>
    <s v="Middle-Aged"/>
    <s v="Yes"/>
    <n v="1"/>
    <n v="1"/>
  </r>
  <r>
    <n v="14900"/>
    <s v="Married"/>
    <s v="Female"/>
    <n v="40000"/>
    <s v="Low Income"/>
    <n v="1"/>
    <s v="Partial College"/>
    <s v="Clerical"/>
    <s v="Yes"/>
    <n v="1"/>
    <s v="1-2 Miles"/>
    <x v="2"/>
    <n v="49"/>
    <s v="Middle-Aged"/>
    <s v="Yes"/>
    <n v="1"/>
    <n v="1"/>
  </r>
  <r>
    <n v="11262"/>
    <s v="Married"/>
    <s v="Female"/>
    <n v="80000"/>
    <s v="Medium Income"/>
    <n v="4"/>
    <s v="Bachelors"/>
    <s v="Management"/>
    <s v="Yes"/>
    <n v="0"/>
    <s v="0-1 Miles"/>
    <x v="2"/>
    <n v="42"/>
    <s v="Middle-Aged"/>
    <s v="No"/>
    <n v="0"/>
    <n v="1"/>
  </r>
  <r>
    <n v="22294"/>
    <s v="Single"/>
    <s v="Female"/>
    <n v="70000"/>
    <s v="Medium Income"/>
    <n v="0"/>
    <s v="Bachelors"/>
    <s v="Professional"/>
    <s v="No"/>
    <n v="1"/>
    <s v="2-5 Miles"/>
    <x v="2"/>
    <n v="37"/>
    <s v="Adults"/>
    <s v="Yes"/>
    <n v="1"/>
    <n v="1"/>
  </r>
  <r>
    <n v="12195"/>
    <s v="Single"/>
    <s v="Female"/>
    <n v="70000"/>
    <s v="Medium Income"/>
    <n v="3"/>
    <s v="Graduate Degree"/>
    <s v="Management"/>
    <s v="Yes"/>
    <n v="2"/>
    <s v="1-2 Miles"/>
    <x v="2"/>
    <n v="52"/>
    <s v="Middle-Aged"/>
    <s v="No"/>
    <n v="0"/>
    <n v="1"/>
  </r>
  <r>
    <n v="25375"/>
    <s v="Married"/>
    <s v="Male"/>
    <n v="50000"/>
    <s v="Low Income"/>
    <n v="1"/>
    <s v="Graduate Degree"/>
    <s v="Skilled Manual"/>
    <s v="Yes"/>
    <n v="0"/>
    <s v="1-2 Miles"/>
    <x v="2"/>
    <n v="34"/>
    <s v="Adults"/>
    <s v="No"/>
    <n v="0"/>
    <n v="1"/>
  </r>
  <r>
    <n v="11143"/>
    <s v="Married"/>
    <s v="Male"/>
    <n v="40000"/>
    <s v="Low Income"/>
    <n v="0"/>
    <s v="High School"/>
    <s v="Skilled Manual"/>
    <s v="Yes"/>
    <n v="2"/>
    <s v="5-10 Miles"/>
    <x v="2"/>
    <n v="29"/>
    <s v="Young Adults"/>
    <s v="No"/>
    <n v="0"/>
    <n v="1"/>
  </r>
  <r>
    <n v="25898"/>
    <s v="Married"/>
    <s v="Female"/>
    <n v="70000"/>
    <s v="Medium Income"/>
    <n v="2"/>
    <s v="High School"/>
    <s v="Professional"/>
    <s v="Yes"/>
    <n v="2"/>
    <s v="2-5 Miles"/>
    <x v="2"/>
    <n v="53"/>
    <s v="Middle-Aged"/>
    <s v="No"/>
    <n v="0"/>
    <n v="1"/>
  </r>
  <r>
    <n v="24397"/>
    <s v="Single"/>
    <s v="Male"/>
    <n v="120000"/>
    <s v="Medium Income"/>
    <n v="2"/>
    <s v="Bachelors"/>
    <s v="Management"/>
    <s v="No"/>
    <n v="4"/>
    <s v="1-2 Miles"/>
    <x v="2"/>
    <n v="40"/>
    <s v="Middle-Aged"/>
    <s v="No"/>
    <n v="0"/>
    <n v="1"/>
  </r>
  <r>
    <n v="19758"/>
    <s v="Single"/>
    <s v="Male"/>
    <n v="60000"/>
    <s v="Low Income"/>
    <n v="0"/>
    <s v="Partial College"/>
    <s v="Skilled Manual"/>
    <s v="No"/>
    <n v="2"/>
    <s v="1-2 Miles"/>
    <x v="2"/>
    <n v="29"/>
    <s v="Young Adults"/>
    <s v="No"/>
    <n v="0"/>
    <n v="1"/>
  </r>
  <r>
    <n v="15529"/>
    <s v="Married"/>
    <s v="Male"/>
    <n v="60000"/>
    <s v="Low Income"/>
    <n v="4"/>
    <s v="Bachelors"/>
    <s v="Professional"/>
    <s v="Yes"/>
    <n v="2"/>
    <s v="2-5 Miles"/>
    <x v="2"/>
    <n v="43"/>
    <s v="Middle-Aged"/>
    <s v="Yes"/>
    <n v="1"/>
    <n v="1"/>
  </r>
  <r>
    <n v="19884"/>
    <s v="Married"/>
    <s v="Male"/>
    <n v="60000"/>
    <s v="Low Income"/>
    <n v="2"/>
    <s v="High School"/>
    <s v="Professional"/>
    <s v="Yes"/>
    <n v="2"/>
    <s v="2-5 Miles"/>
    <x v="2"/>
    <n v="55"/>
    <s v="Middle-Aged"/>
    <s v="Yes"/>
    <n v="1"/>
    <n v="1"/>
  </r>
  <r>
    <n v="18674"/>
    <s v="Single"/>
    <s v="Female"/>
    <n v="80000"/>
    <s v="Medium Income"/>
    <n v="4"/>
    <s v="Graduate Degree"/>
    <s v="Skilled Manual"/>
    <s v="No"/>
    <n v="0"/>
    <s v="0-1 Miles"/>
    <x v="2"/>
    <n v="48"/>
    <s v="Middle-Aged"/>
    <s v="No"/>
    <n v="0"/>
    <n v="1"/>
  </r>
  <r>
    <n v="13453"/>
    <s v="Married"/>
    <s v="Female"/>
    <n v="130000"/>
    <s v="High Income"/>
    <n v="3"/>
    <s v="Bachelors"/>
    <s v="Management"/>
    <s v="Yes"/>
    <n v="3"/>
    <s v="0-1 Miles"/>
    <x v="2"/>
    <n v="45"/>
    <s v="Middle-Aged"/>
    <s v="Yes"/>
    <n v="1"/>
    <n v="1"/>
  </r>
  <r>
    <n v="14063"/>
    <s v="Single"/>
    <s v="Female"/>
    <n v="70000"/>
    <s v="Medium Income"/>
    <n v="0"/>
    <s v="Bachelors"/>
    <s v="Professional"/>
    <s v="No"/>
    <n v="1"/>
    <s v="0-1 Miles"/>
    <x v="1"/>
    <n v="42"/>
    <s v="Middle-Aged"/>
    <s v="Yes"/>
    <n v="1"/>
    <n v="1"/>
  </r>
  <r>
    <n v="27393"/>
    <s v="Married"/>
    <s v="Female"/>
    <n v="50000"/>
    <s v="Low Income"/>
    <n v="4"/>
    <s v="Bachelors"/>
    <s v="Management"/>
    <s v="Yes"/>
    <n v="2"/>
    <s v="More than 10 Miles"/>
    <x v="2"/>
    <n v="63"/>
    <s v="Seniors"/>
    <s v="No"/>
    <n v="0"/>
    <n v="1"/>
  </r>
  <r>
    <n v="14417"/>
    <s v="Single"/>
    <s v="Male"/>
    <n v="60000"/>
    <s v="Low Income"/>
    <n v="3"/>
    <s v="High School"/>
    <s v="Professional"/>
    <s v="Yes"/>
    <n v="2"/>
    <s v="More than 10 Miles"/>
    <x v="2"/>
    <n v="54"/>
    <s v="Middle-Aged"/>
    <s v="Yes"/>
    <n v="1"/>
    <n v="1"/>
  </r>
  <r>
    <n v="17533"/>
    <s v="Married"/>
    <s v="Male"/>
    <n v="40000"/>
    <s v="Low Income"/>
    <n v="3"/>
    <s v="Partial College"/>
    <s v="Professional"/>
    <s v="No"/>
    <n v="2"/>
    <s v="5-10 Miles"/>
    <x v="2"/>
    <n v="73"/>
    <s v="Seniors"/>
    <s v="Yes"/>
    <n v="1"/>
    <n v="1"/>
  </r>
  <r>
    <n v="18580"/>
    <s v="Married"/>
    <s v="Female"/>
    <n v="60000"/>
    <s v="Low Income"/>
    <n v="2"/>
    <s v="Graduate Degree"/>
    <s v="Professional"/>
    <s v="Yes"/>
    <n v="0"/>
    <s v="2-5 Miles"/>
    <x v="2"/>
    <n v="40"/>
    <s v="Middle-Aged"/>
    <s v="Yes"/>
    <n v="1"/>
    <n v="1"/>
  </r>
  <r>
    <n v="17025"/>
    <s v="Single"/>
    <s v="Male"/>
    <n v="50000"/>
    <s v="Low Income"/>
    <n v="0"/>
    <s v="Partial College"/>
    <s v="Skilled Manual"/>
    <s v="No"/>
    <n v="1"/>
    <s v="2-5 Miles"/>
    <x v="2"/>
    <n v="39"/>
    <s v="Adults"/>
    <s v="Yes"/>
    <n v="1"/>
    <n v="1"/>
  </r>
  <r>
    <n v="25293"/>
    <s v="Married"/>
    <s v="Male"/>
    <n v="80000"/>
    <s v="Medium Income"/>
    <n v="4"/>
    <s v="Bachelors"/>
    <s v="Management"/>
    <s v="Yes"/>
    <n v="0"/>
    <s v="1-2 Miles"/>
    <x v="2"/>
    <n v="42"/>
    <s v="Middle-Aged"/>
    <s v="No"/>
    <n v="0"/>
    <n v="1"/>
  </r>
  <r>
    <n v="24725"/>
    <s v="Married"/>
    <s v="Female"/>
    <n v="40000"/>
    <s v="Low Income"/>
    <n v="3"/>
    <s v="Partial College"/>
    <s v="Clerical"/>
    <s v="Yes"/>
    <n v="0"/>
    <s v="1-2 Miles"/>
    <x v="2"/>
    <n v="31"/>
    <s v="Adults"/>
    <s v="No"/>
    <n v="0"/>
    <n v="1"/>
  </r>
  <r>
    <n v="23200"/>
    <s v="Married"/>
    <s v="Female"/>
    <n v="50000"/>
    <s v="Low Income"/>
    <n v="3"/>
    <s v="Bachelors"/>
    <s v="Skilled Manual"/>
    <s v="Yes"/>
    <n v="2"/>
    <s v="0-1 Miles"/>
    <x v="2"/>
    <n v="41"/>
    <s v="Middle-Aged"/>
    <s v="No"/>
    <n v="0"/>
    <n v="1"/>
  </r>
  <r>
    <n v="15895"/>
    <s v="Single"/>
    <s v="Female"/>
    <n v="60000"/>
    <s v="Low Income"/>
    <n v="2"/>
    <s v="Bachelors"/>
    <s v="Management"/>
    <s v="Yes"/>
    <n v="0"/>
    <s v="More than 10 Miles"/>
    <x v="2"/>
    <n v="58"/>
    <s v="Middle-Aged"/>
    <s v="No"/>
    <n v="0"/>
    <n v="1"/>
  </r>
  <r>
    <n v="18577"/>
    <s v="Married"/>
    <s v="Female"/>
    <n v="60000"/>
    <s v="Low Income"/>
    <n v="0"/>
    <s v="Graduate Degree"/>
    <s v="Professional"/>
    <s v="Yes"/>
    <n v="0"/>
    <s v="0-1 Miles"/>
    <x v="2"/>
    <n v="40"/>
    <s v="Middle-Aged"/>
    <s v="No"/>
    <n v="0"/>
    <n v="1"/>
  </r>
  <r>
    <n v="27218"/>
    <s v="Married"/>
    <s v="Female"/>
    <n v="20000"/>
    <s v="Low Income"/>
    <n v="2"/>
    <s v="Partial High School"/>
    <s v="Clerical"/>
    <s v="No"/>
    <n v="0"/>
    <s v="0-1 Miles"/>
    <x v="2"/>
    <n v="48"/>
    <s v="Middle-Aged"/>
    <s v="No"/>
    <n v="0"/>
    <n v="1"/>
  </r>
  <r>
    <n v="18560"/>
    <s v="Married"/>
    <s v="Female"/>
    <n v="70000"/>
    <s v="Medium Income"/>
    <n v="2"/>
    <s v="Graduate Degree"/>
    <s v="Professional"/>
    <s v="Yes"/>
    <n v="0"/>
    <s v="2-5 Miles"/>
    <x v="2"/>
    <n v="34"/>
    <s v="Adults"/>
    <s v="Yes"/>
    <n v="1"/>
    <n v="1"/>
  </r>
  <r>
    <n v="25006"/>
    <s v="Single"/>
    <s v="Female"/>
    <n v="30000"/>
    <s v="Low Income"/>
    <n v="0"/>
    <s v="Partial College"/>
    <s v="Skilled Manual"/>
    <s v="Yes"/>
    <n v="1"/>
    <s v="5-10 Miles"/>
    <x v="2"/>
    <n v="28"/>
    <s v="Young Adults"/>
    <s v="No"/>
    <n v="0"/>
    <n v="1"/>
  </r>
  <r>
    <n v="17369"/>
    <s v="Single"/>
    <s v="Male"/>
    <n v="30000"/>
    <s v="Low Income"/>
    <n v="0"/>
    <s v="Partial College"/>
    <s v="Skilled Manual"/>
    <s v="Yes"/>
    <n v="1"/>
    <s v="5-10 Miles"/>
    <x v="2"/>
    <n v="27"/>
    <s v="Young Adults"/>
    <s v="No"/>
    <n v="0"/>
    <n v="1"/>
  </r>
  <r>
    <n v="14495"/>
    <s v="Married"/>
    <s v="Male"/>
    <n v="40000"/>
    <s v="Low Income"/>
    <n v="3"/>
    <s v="Partial College"/>
    <s v="Professional"/>
    <s v="No"/>
    <n v="2"/>
    <s v="5-10 Miles"/>
    <x v="2"/>
    <n v="54"/>
    <s v="Middle-Aged"/>
    <s v="Yes"/>
    <n v="1"/>
    <n v="1"/>
  </r>
  <r>
    <n v="18847"/>
    <s v="Married"/>
    <s v="Female"/>
    <n v="60000"/>
    <s v="Low Income"/>
    <n v="2"/>
    <s v="Graduate Degree"/>
    <s v="Management"/>
    <s v="Yes"/>
    <n v="2"/>
    <s v="5-10 Miles"/>
    <x v="2"/>
    <n v="70"/>
    <s v="Seniors"/>
    <s v="No"/>
    <n v="0"/>
    <n v="1"/>
  </r>
  <r>
    <n v="14754"/>
    <s v="Married"/>
    <s v="Male"/>
    <n v="40000"/>
    <s v="Low Income"/>
    <n v="1"/>
    <s v="Partial College"/>
    <s v="Clerical"/>
    <s v="Yes"/>
    <n v="1"/>
    <s v="1-2 Miles"/>
    <x v="2"/>
    <n v="48"/>
    <s v="Middle-Aged"/>
    <s v="Yes"/>
    <n v="1"/>
    <n v="1"/>
  </r>
  <r>
    <n v="23378"/>
    <s v="Married"/>
    <s v="Male"/>
    <n v="70000"/>
    <s v="Medium Income"/>
    <n v="1"/>
    <s v="Partial College"/>
    <s v="Skilled Manual"/>
    <s v="Yes"/>
    <n v="1"/>
    <s v="2-5 Miles"/>
    <x v="2"/>
    <n v="44"/>
    <s v="Middle-Aged"/>
    <s v="Yes"/>
    <n v="1"/>
    <n v="1"/>
  </r>
  <r>
    <n v="26452"/>
    <s v="Single"/>
    <s v="Male"/>
    <n v="50000"/>
    <s v="Low Income"/>
    <n v="3"/>
    <s v="Graduate Degree"/>
    <s v="Management"/>
    <s v="Yes"/>
    <n v="2"/>
    <s v="More than 10 Miles"/>
    <x v="2"/>
    <n v="69"/>
    <s v="Seniors"/>
    <s v="No"/>
    <n v="0"/>
    <n v="1"/>
  </r>
  <r>
    <n v="20370"/>
    <s v="Married"/>
    <s v="Male"/>
    <n v="70000"/>
    <s v="Medium Income"/>
    <n v="3"/>
    <s v="Partial High School"/>
    <s v="Skilled Manual"/>
    <s v="Yes"/>
    <n v="2"/>
    <s v="5-10 Miles"/>
    <x v="2"/>
    <n v="52"/>
    <s v="Middle-Aged"/>
    <s v="No"/>
    <n v="0"/>
    <n v="1"/>
  </r>
  <r>
    <n v="20528"/>
    <s v="Married"/>
    <s v="Male"/>
    <n v="40000"/>
    <s v="Low Income"/>
    <n v="2"/>
    <s v="Partial High School"/>
    <s v="Skilled Manual"/>
    <s v="Yes"/>
    <n v="2"/>
    <s v="2-5 Miles"/>
    <x v="2"/>
    <n v="55"/>
    <s v="Middle-Aged"/>
    <s v="No"/>
    <n v="0"/>
    <n v="1"/>
  </r>
  <r>
    <n v="23549"/>
    <s v="Single"/>
    <s v="Male"/>
    <n v="30000"/>
    <s v="Low Income"/>
    <n v="0"/>
    <s v="High School"/>
    <s v="Skilled Manual"/>
    <s v="Yes"/>
    <n v="2"/>
    <s v="5-10 Miles"/>
    <x v="2"/>
    <n v="30"/>
    <s v="Adults"/>
    <s v="No"/>
    <n v="0"/>
    <n v="1"/>
  </r>
  <r>
    <n v="21751"/>
    <s v="Married"/>
    <s v="Male"/>
    <n v="60000"/>
    <s v="Low Income"/>
    <n v="3"/>
    <s v="Graduate Degree"/>
    <s v="Management"/>
    <s v="Yes"/>
    <n v="2"/>
    <s v="1-2 Miles"/>
    <x v="2"/>
    <n v="63"/>
    <s v="Seniors"/>
    <s v="No"/>
    <n v="0"/>
    <n v="1"/>
  </r>
  <r>
    <n v="21266"/>
    <s v="Single"/>
    <s v="Female"/>
    <n v="80000"/>
    <s v="Medium Income"/>
    <n v="0"/>
    <s v="Bachelors"/>
    <s v="Management"/>
    <s v="Yes"/>
    <n v="1"/>
    <s v="1-2 Miles"/>
    <x v="2"/>
    <n v="34"/>
    <s v="Adults"/>
    <s v="Yes"/>
    <n v="1"/>
    <n v="1"/>
  </r>
  <r>
    <n v="13388"/>
    <s v="Single"/>
    <s v="Male"/>
    <n v="60000"/>
    <s v="Low Income"/>
    <n v="2"/>
    <s v="Partial College"/>
    <s v="Professional"/>
    <s v="Yes"/>
    <n v="1"/>
    <s v="More than 10 Miles"/>
    <x v="2"/>
    <n v="56"/>
    <s v="Middle-Aged"/>
    <s v="No"/>
    <n v="0"/>
    <n v="1"/>
  </r>
  <r>
    <n v="18752"/>
    <s v="Single"/>
    <s v="Female"/>
    <n v="40000"/>
    <s v="Low Income"/>
    <n v="0"/>
    <s v="High School"/>
    <s v="Skilled Manual"/>
    <s v="Yes"/>
    <n v="1"/>
    <s v="5-10 Miles"/>
    <x v="2"/>
    <n v="31"/>
    <s v="Adults"/>
    <s v="No"/>
    <n v="0"/>
    <n v="1"/>
  </r>
  <r>
    <n v="16917"/>
    <s v="Married"/>
    <s v="Male"/>
    <n v="120000"/>
    <s v="Medium Income"/>
    <n v="1"/>
    <s v="Bachelors"/>
    <s v="Management"/>
    <s v="Yes"/>
    <n v="4"/>
    <s v="0-1 Miles"/>
    <x v="2"/>
    <n v="38"/>
    <s v="Adults"/>
    <s v="No"/>
    <n v="0"/>
    <n v="1"/>
  </r>
  <r>
    <n v="15313"/>
    <s v="Married"/>
    <s v="Male"/>
    <n v="60000"/>
    <s v="Low Income"/>
    <n v="4"/>
    <s v="Bachelors"/>
    <s v="Management"/>
    <s v="Yes"/>
    <n v="2"/>
    <s v="2-5 Miles"/>
    <x v="2"/>
    <n v="59"/>
    <s v="Middle-Aged"/>
    <s v="No"/>
    <n v="0"/>
    <n v="1"/>
  </r>
  <r>
    <n v="25329"/>
    <s v="Single"/>
    <s v="Female"/>
    <n v="40000"/>
    <s v="Low Income"/>
    <n v="3"/>
    <s v="Partial College"/>
    <s v="Clerical"/>
    <s v="No"/>
    <n v="2"/>
    <s v="0-1 Miles"/>
    <x v="2"/>
    <n v="32"/>
    <s v="Adults"/>
    <s v="No"/>
    <n v="0"/>
    <n v="1"/>
  </r>
  <r>
    <n v="20380"/>
    <s v="Married"/>
    <s v="Female"/>
    <n v="60000"/>
    <s v="Low Income"/>
    <n v="3"/>
    <s v="Graduate Degree"/>
    <s v="Management"/>
    <s v="Yes"/>
    <n v="2"/>
    <s v="More than 10 Miles"/>
    <x v="2"/>
    <n v="69"/>
    <s v="Seniors"/>
    <s v="No"/>
    <n v="0"/>
    <n v="1"/>
  </r>
  <r>
    <n v="23089"/>
    <s v="Married"/>
    <s v="Male"/>
    <n v="40000"/>
    <s v="Low Income"/>
    <n v="0"/>
    <s v="Partial College"/>
    <s v="Skilled Manual"/>
    <s v="Yes"/>
    <n v="1"/>
    <s v="5-10 Miles"/>
    <x v="2"/>
    <n v="28"/>
    <s v="Young Adults"/>
    <s v="No"/>
    <n v="0"/>
    <n v="1"/>
  </r>
  <r>
    <n v="13749"/>
    <s v="Married"/>
    <s v="Male"/>
    <n v="80000"/>
    <s v="Medium Income"/>
    <n v="4"/>
    <s v="Graduate Degree"/>
    <s v="Skilled Manual"/>
    <s v="Yes"/>
    <n v="0"/>
    <s v="1-2 Miles"/>
    <x v="2"/>
    <n v="47"/>
    <s v="Middle-Aged"/>
    <s v="No"/>
    <n v="0"/>
    <n v="1"/>
  </r>
  <r>
    <n v="24943"/>
    <s v="Married"/>
    <s v="Male"/>
    <n v="60000"/>
    <s v="Low Income"/>
    <n v="3"/>
    <s v="Bachelors"/>
    <s v="Management"/>
    <s v="Yes"/>
    <n v="2"/>
    <s v="More than 10 Miles"/>
    <x v="2"/>
    <n v="66"/>
    <s v="Seniors"/>
    <s v="No"/>
    <n v="0"/>
    <n v="1"/>
  </r>
  <r>
    <n v="28667"/>
    <s v="Single"/>
    <s v="Male"/>
    <n v="70000"/>
    <s v="Medium Income"/>
    <n v="2"/>
    <s v="Bachelors"/>
    <s v="Skilled Manual"/>
    <s v="No"/>
    <n v="1"/>
    <s v="0-1 Miles"/>
    <x v="2"/>
    <n v="37"/>
    <s v="Adults"/>
    <s v="Yes"/>
    <n v="1"/>
    <n v="1"/>
  </r>
  <r>
    <n v="15194"/>
    <s v="Single"/>
    <s v="Male"/>
    <n v="120000"/>
    <s v="Medium Income"/>
    <n v="2"/>
    <s v="Bachelors"/>
    <s v="Management"/>
    <s v="No"/>
    <n v="3"/>
    <s v="0-1 Miles"/>
    <x v="2"/>
    <n v="39"/>
    <s v="Adults"/>
    <s v="Yes"/>
    <n v="1"/>
    <n v="1"/>
  </r>
  <r>
    <n v="17436"/>
    <s v="Married"/>
    <s v="Male"/>
    <n v="60000"/>
    <s v="Low Income"/>
    <n v="2"/>
    <s v="High School"/>
    <s v="Professional"/>
    <s v="No"/>
    <n v="2"/>
    <s v="1-2 Miles"/>
    <x v="2"/>
    <n v="51"/>
    <s v="Middle-Aged"/>
    <s v="No"/>
    <n v="0"/>
    <n v="1"/>
  </r>
  <r>
    <n v="18935"/>
    <s v="Married"/>
    <s v="Female"/>
    <n v="130000"/>
    <s v="High Income"/>
    <n v="0"/>
    <s v="Graduate Degree"/>
    <s v="Management"/>
    <s v="Yes"/>
    <n v="3"/>
    <s v="1-2 Miles"/>
    <x v="2"/>
    <n v="40"/>
    <s v="Middle-Aged"/>
    <s v="No"/>
    <n v="0"/>
    <n v="1"/>
  </r>
  <r>
    <n v="16871"/>
    <s v="Married"/>
    <s v="Female"/>
    <n v="90000"/>
    <s v="Medium Income"/>
    <n v="2"/>
    <s v="High School"/>
    <s v="Professional"/>
    <s v="Yes"/>
    <n v="1"/>
    <s v="More than 10 Miles"/>
    <x v="2"/>
    <n v="51"/>
    <s v="Middle-Aged"/>
    <s v="Yes"/>
    <n v="1"/>
    <n v="1"/>
  </r>
  <r>
    <n v="12100"/>
    <s v="Single"/>
    <s v="Male"/>
    <n v="60000"/>
    <s v="Low Income"/>
    <n v="2"/>
    <s v="Bachelors"/>
    <s v="Management"/>
    <s v="Yes"/>
    <n v="0"/>
    <s v="More than 10 Miles"/>
    <x v="2"/>
    <n v="57"/>
    <s v="Middle-Aged"/>
    <s v="No"/>
    <n v="0"/>
    <n v="1"/>
  </r>
  <r>
    <n v="23158"/>
    <s v="Married"/>
    <s v="Female"/>
    <n v="60000"/>
    <s v="Low Income"/>
    <n v="1"/>
    <s v="Graduate Degree"/>
    <s v="Professional"/>
    <s v="No"/>
    <n v="0"/>
    <s v="0-1 Miles"/>
    <x v="2"/>
    <n v="35"/>
    <s v="Adults"/>
    <s v="Yes"/>
    <n v="1"/>
    <n v="1"/>
  </r>
  <r>
    <n v="18545"/>
    <s v="Married"/>
    <s v="Male"/>
    <n v="40000"/>
    <s v="Low Income"/>
    <n v="4"/>
    <s v="High School"/>
    <s v="Professional"/>
    <s v="No"/>
    <n v="2"/>
    <s v="More than 10 Miles"/>
    <x v="2"/>
    <n v="61"/>
    <s v="Seniors"/>
    <s v="Yes"/>
    <n v="1"/>
    <n v="1"/>
  </r>
  <r>
    <n v="18391"/>
    <s v="Single"/>
    <s v="Female"/>
    <n v="80000"/>
    <s v="Medium Income"/>
    <n v="5"/>
    <s v="Partial College"/>
    <s v="Professional"/>
    <s v="Yes"/>
    <n v="2"/>
    <s v="5-10 Miles"/>
    <x v="2"/>
    <n v="44"/>
    <s v="Middle-Aged"/>
    <s v="No"/>
    <n v="0"/>
    <n v="1"/>
  </r>
  <r>
    <n v="19812"/>
    <s v="Single"/>
    <s v="Female"/>
    <n v="70000"/>
    <s v="Medium Income"/>
    <n v="2"/>
    <s v="Partial College"/>
    <s v="Professional"/>
    <s v="Yes"/>
    <n v="0"/>
    <s v="5-10 Miles"/>
    <x v="2"/>
    <n v="49"/>
    <s v="Middle-Aged"/>
    <s v="Yes"/>
    <n v="1"/>
    <n v="1"/>
  </r>
  <r>
    <n v="27660"/>
    <s v="Married"/>
    <s v="Male"/>
    <n v="80000"/>
    <s v="Medium Income"/>
    <n v="4"/>
    <s v="Graduate Degree"/>
    <s v="Management"/>
    <s v="Yes"/>
    <n v="2"/>
    <s v="5-10 Miles"/>
    <x v="2"/>
    <n v="70"/>
    <s v="Seniors"/>
    <s v="No"/>
    <n v="0"/>
    <n v="1"/>
  </r>
  <r>
    <n v="18058"/>
    <s v="Single"/>
    <s v="Female"/>
    <n v="20000"/>
    <s v="Low Income"/>
    <n v="3"/>
    <s v="High School"/>
    <s v="Skilled Manual"/>
    <s v="Yes"/>
    <n v="2"/>
    <s v="2-5 Miles"/>
    <x v="2"/>
    <n v="78"/>
    <s v="Seniors"/>
    <s v="No"/>
    <n v="0"/>
    <n v="1"/>
  </r>
  <r>
    <n v="20343"/>
    <s v="Married"/>
    <s v="Female"/>
    <n v="90000"/>
    <s v="Medium Income"/>
    <n v="4"/>
    <s v="Partial College"/>
    <s v="Professional"/>
    <s v="Yes"/>
    <n v="1"/>
    <s v="1-2 Miles"/>
    <x v="2"/>
    <n v="45"/>
    <s v="Middle-Aged"/>
    <s v="No"/>
    <n v="0"/>
    <n v="1"/>
  </r>
  <r>
    <n v="28997"/>
    <s v="Single"/>
    <s v="Male"/>
    <n v="40000"/>
    <s v="Low Income"/>
    <n v="2"/>
    <s v="High School"/>
    <s v="Professional"/>
    <s v="No"/>
    <n v="1"/>
    <s v="2-5 Miles"/>
    <x v="2"/>
    <n v="58"/>
    <s v="Middle-Aged"/>
    <s v="Yes"/>
    <n v="1"/>
    <n v="1"/>
  </r>
  <r>
    <n v="24398"/>
    <s v="Married"/>
    <s v="Male"/>
    <n v="130000"/>
    <s v="High Income"/>
    <n v="1"/>
    <s v="Graduate Degree"/>
    <s v="Management"/>
    <s v="Yes"/>
    <n v="4"/>
    <s v="0-1 Miles"/>
    <x v="2"/>
    <n v="41"/>
    <s v="Middle-Aged"/>
    <s v="No"/>
    <n v="0"/>
    <n v="1"/>
  </r>
  <r>
    <n v="19002"/>
    <s v="Married"/>
    <s v="Female"/>
    <n v="60000"/>
    <s v="Low Income"/>
    <n v="2"/>
    <s v="Partial College"/>
    <s v="Professional"/>
    <s v="Yes"/>
    <n v="1"/>
    <s v="2-5 Miles"/>
    <x v="2"/>
    <n v="57"/>
    <s v="Middle-Aged"/>
    <s v="Yes"/>
    <n v="1"/>
    <n v="1"/>
  </r>
  <r>
    <n v="28609"/>
    <s v="Married"/>
    <s v="Male"/>
    <n v="30000"/>
    <s v="Low Income"/>
    <n v="2"/>
    <s v="High School"/>
    <s v="Skilled Manual"/>
    <s v="No"/>
    <n v="2"/>
    <s v="0-1 Miles"/>
    <x v="2"/>
    <n v="49"/>
    <s v="Middle-Aged"/>
    <s v="No"/>
    <n v="0"/>
    <n v="1"/>
  </r>
  <r>
    <n v="29231"/>
    <s v="Single"/>
    <s v="Male"/>
    <n v="80000"/>
    <s v="Medium Income"/>
    <n v="4"/>
    <s v="Partial College"/>
    <s v="Professional"/>
    <s v="No"/>
    <n v="2"/>
    <s v="0-1 Miles"/>
    <x v="2"/>
    <n v="43"/>
    <s v="Middle-Aged"/>
    <s v="No"/>
    <n v="0"/>
    <n v="1"/>
  </r>
  <r>
    <n v="18858"/>
    <s v="Single"/>
    <s v="Male"/>
    <n v="60000"/>
    <s v="Low Income"/>
    <n v="2"/>
    <s v="Partial High School"/>
    <s v="Skilled Manual"/>
    <s v="Yes"/>
    <n v="2"/>
    <s v="5-10 Miles"/>
    <x v="2"/>
    <n v="52"/>
    <s v="Middle-Aged"/>
    <s v="Yes"/>
    <n v="1"/>
    <n v="1"/>
  </r>
  <r>
    <n v="20000"/>
    <s v="Married"/>
    <s v="Male"/>
    <n v="60000"/>
    <s v="Low Income"/>
    <n v="1"/>
    <s v="Graduate Degree"/>
    <s v="Professional"/>
    <s v="Yes"/>
    <n v="0"/>
    <s v="0-1 Miles"/>
    <x v="2"/>
    <n v="35"/>
    <s v="Adults"/>
    <s v="Yes"/>
    <n v="1"/>
    <n v="1"/>
  </r>
  <r>
    <n v="25261"/>
    <s v="Married"/>
    <s v="Male"/>
    <n v="40000"/>
    <s v="Low Income"/>
    <n v="0"/>
    <s v="High School"/>
    <s v="Skilled Manual"/>
    <s v="Yes"/>
    <n v="2"/>
    <s v="5-10 Miles"/>
    <x v="2"/>
    <n v="27"/>
    <s v="Young Adults"/>
    <s v="No"/>
    <n v="0"/>
    <n v="1"/>
  </r>
  <r>
    <n v="17458"/>
    <s v="Single"/>
    <s v="Male"/>
    <n v="70000"/>
    <s v="Medium Income"/>
    <n v="3"/>
    <s v="High School"/>
    <s v="Professional"/>
    <s v="Yes"/>
    <n v="0"/>
    <s v="5-10 Miles"/>
    <x v="2"/>
    <n v="52"/>
    <s v="Middle-Aged"/>
    <s v="Yes"/>
    <n v="1"/>
    <n v="1"/>
  </r>
  <r>
    <n v="11644"/>
    <s v="Single"/>
    <s v="Male"/>
    <n v="40000"/>
    <s v="Low Income"/>
    <n v="2"/>
    <s v="Bachelors"/>
    <s v="Skilled Manual"/>
    <s v="Yes"/>
    <n v="0"/>
    <s v="2-5 Miles"/>
    <x v="2"/>
    <n v="36"/>
    <s v="Adults"/>
    <s v="No"/>
    <n v="0"/>
    <n v="1"/>
  </r>
  <r>
    <n v="16145"/>
    <s v="Single"/>
    <s v="Female"/>
    <n v="70000"/>
    <s v="Medium Income"/>
    <n v="5"/>
    <s v="Graduate Degree"/>
    <s v="Professional"/>
    <s v="Yes"/>
    <n v="3"/>
    <s v="More than 10 Miles"/>
    <x v="2"/>
    <n v="46"/>
    <s v="Middle-Aged"/>
    <s v="Yes"/>
    <n v="1"/>
    <n v="1"/>
  </r>
  <r>
    <n v="16890"/>
    <s v="Married"/>
    <s v="Male"/>
    <n v="60000"/>
    <s v="Low Income"/>
    <n v="3"/>
    <s v="Partial High School"/>
    <s v="Skilled Manual"/>
    <s v="Yes"/>
    <n v="2"/>
    <s v="5-10 Miles"/>
    <x v="2"/>
    <n v="52"/>
    <s v="Middle-Aged"/>
    <s v="Yes"/>
    <n v="1"/>
    <n v="1"/>
  </r>
  <r>
    <n v="25983"/>
    <s v="Married"/>
    <s v="Male"/>
    <n v="70000"/>
    <s v="Medium Income"/>
    <n v="0"/>
    <s v="Bachelors"/>
    <s v="Professional"/>
    <s v="No"/>
    <n v="1"/>
    <s v="0-1 Miles"/>
    <x v="2"/>
    <n v="43"/>
    <s v="Middle-Aged"/>
    <s v="No"/>
    <n v="0"/>
    <n v="1"/>
  </r>
  <r>
    <n v="14633"/>
    <s v="Married"/>
    <s v="Male"/>
    <n v="60000"/>
    <s v="Low Income"/>
    <n v="1"/>
    <s v="Partial College"/>
    <s v="Skilled Manual"/>
    <s v="Yes"/>
    <n v="1"/>
    <s v="2-5 Miles"/>
    <x v="2"/>
    <n v="44"/>
    <s v="Middle-Aged"/>
    <s v="No"/>
    <n v="0"/>
    <n v="1"/>
  </r>
  <r>
    <n v="22994"/>
    <s v="Married"/>
    <s v="Female"/>
    <n v="80000"/>
    <s v="Medium Income"/>
    <n v="0"/>
    <s v="Bachelors"/>
    <s v="Management"/>
    <s v="Yes"/>
    <n v="1"/>
    <s v="1-2 Miles"/>
    <x v="2"/>
    <n v="34"/>
    <s v="Adults"/>
    <s v="Yes"/>
    <n v="1"/>
    <n v="1"/>
  </r>
  <r>
    <n v="22983"/>
    <s v="Single"/>
    <s v="Female"/>
    <n v="30000"/>
    <s v="Low Income"/>
    <n v="0"/>
    <s v="Partial High School"/>
    <s v="Clerical"/>
    <s v="Yes"/>
    <n v="2"/>
    <s v="5-10 Miles"/>
    <x v="2"/>
    <n v="27"/>
    <s v="Young Adults"/>
    <s v="No"/>
    <n v="0"/>
    <n v="1"/>
  </r>
  <r>
    <n v="25184"/>
    <s v="Single"/>
    <s v="Male"/>
    <n v="110000"/>
    <s v="Medium Income"/>
    <n v="1"/>
    <s v="Partial College"/>
    <s v="Professional"/>
    <s v="Yes"/>
    <n v="4"/>
    <s v="5-10 Miles"/>
    <x v="2"/>
    <n v="45"/>
    <s v="Middle-Aged"/>
    <s v="Yes"/>
    <n v="1"/>
    <n v="1"/>
  </r>
  <r>
    <n v="14469"/>
    <s v="Married"/>
    <s v="Female"/>
    <n v="100000"/>
    <s v="Medium Income"/>
    <n v="3"/>
    <s v="Partial College"/>
    <s v="Professional"/>
    <s v="Yes"/>
    <n v="4"/>
    <s v="1-2 Miles"/>
    <x v="2"/>
    <n v="45"/>
    <s v="Middle-Aged"/>
    <s v="No"/>
    <n v="0"/>
    <n v="1"/>
  </r>
  <r>
    <n v="11538"/>
    <s v="Single"/>
    <s v="Female"/>
    <n v="60000"/>
    <s v="Low Income"/>
    <n v="4"/>
    <s v="Graduate Degree"/>
    <s v="Skilled Manual"/>
    <s v="No"/>
    <n v="0"/>
    <s v="0-1 Miles"/>
    <x v="2"/>
    <n v="47"/>
    <s v="Middle-Aged"/>
    <s v="Yes"/>
    <n v="1"/>
    <n v="1"/>
  </r>
  <r>
    <n v="16245"/>
    <s v="Single"/>
    <s v="Female"/>
    <n v="80000"/>
    <s v="Medium Income"/>
    <n v="4"/>
    <s v="Graduate Degree"/>
    <s v="Skilled Manual"/>
    <s v="Yes"/>
    <n v="0"/>
    <s v="1-2 Miles"/>
    <x v="2"/>
    <n v="47"/>
    <s v="Middle-Aged"/>
    <s v="No"/>
    <n v="0"/>
    <n v="1"/>
  </r>
  <r>
    <n v="17858"/>
    <s v="Married"/>
    <s v="Male"/>
    <n v="40000"/>
    <s v="Low Income"/>
    <n v="4"/>
    <s v="High School"/>
    <s v="Skilled Manual"/>
    <s v="Yes"/>
    <n v="2"/>
    <s v="2-5 Miles"/>
    <x v="2"/>
    <n v="44"/>
    <s v="Middle-Aged"/>
    <s v="Yes"/>
    <n v="1"/>
    <n v="1"/>
  </r>
  <r>
    <n v="25347"/>
    <s v="Single"/>
    <s v="Female"/>
    <n v="20000"/>
    <s v="Low Income"/>
    <n v="3"/>
    <s v="Partial High School"/>
    <s v="Clerical"/>
    <s v="No"/>
    <n v="2"/>
    <s v="0-1 Miles"/>
    <x v="2"/>
    <n v="49"/>
    <s v="Middle-Aged"/>
    <s v="No"/>
    <n v="0"/>
    <n v="1"/>
  </r>
  <r>
    <n v="15814"/>
    <s v="Single"/>
    <s v="Female"/>
    <n v="40000"/>
    <s v="Low Income"/>
    <n v="0"/>
    <s v="High School"/>
    <s v="Skilled Manual"/>
    <s v="Yes"/>
    <n v="1"/>
    <s v="5-10 Miles"/>
    <x v="2"/>
    <n v="30"/>
    <s v="Adults"/>
    <s v="No"/>
    <n v="0"/>
    <n v="1"/>
  </r>
  <r>
    <n v="11259"/>
    <s v="Married"/>
    <s v="Female"/>
    <n v="100000"/>
    <s v="Medium Income"/>
    <n v="4"/>
    <s v="Partial College"/>
    <s v="Professional"/>
    <s v="Yes"/>
    <n v="4"/>
    <s v="2-5 Miles"/>
    <x v="2"/>
    <n v="41"/>
    <s v="Middle-Aged"/>
    <s v="Yes"/>
    <n v="1"/>
    <n v="1"/>
  </r>
  <r>
    <n v="11200"/>
    <s v="Married"/>
    <s v="Male"/>
    <n v="70000"/>
    <s v="Medium Income"/>
    <n v="4"/>
    <s v="Bachelors"/>
    <s v="Management"/>
    <s v="Yes"/>
    <n v="1"/>
    <s v="1-2 Miles"/>
    <x v="2"/>
    <n v="58"/>
    <s v="Middle-Aged"/>
    <s v="No"/>
    <n v="0"/>
    <n v="1"/>
  </r>
  <r>
    <n v="25101"/>
    <s v="Married"/>
    <s v="Male"/>
    <n v="60000"/>
    <s v="Low Income"/>
    <n v="5"/>
    <s v="Bachelors"/>
    <s v="Professional"/>
    <s v="Yes"/>
    <n v="1"/>
    <s v="2-5 Miles"/>
    <x v="2"/>
    <n v="47"/>
    <s v="Middle-Aged"/>
    <s v="No"/>
    <n v="0"/>
    <n v="1"/>
  </r>
  <r>
    <n v="21801"/>
    <s v="Married"/>
    <s v="Female"/>
    <n v="70000"/>
    <s v="Medium Income"/>
    <n v="4"/>
    <s v="Partial College"/>
    <s v="Professional"/>
    <s v="Yes"/>
    <n v="1"/>
    <s v="1-2 Miles"/>
    <x v="2"/>
    <n v="55"/>
    <s v="Middle-Aged"/>
    <s v="No"/>
    <n v="0"/>
    <n v="1"/>
  </r>
  <r>
    <n v="25943"/>
    <s v="Single"/>
    <s v="Female"/>
    <n v="70000"/>
    <s v="Medium Income"/>
    <n v="0"/>
    <s v="Partial College"/>
    <s v="Skilled Manual"/>
    <s v="No"/>
    <n v="2"/>
    <s v="0-1 Miles"/>
    <x v="2"/>
    <n v="27"/>
    <s v="Young Adults"/>
    <s v="Yes"/>
    <n v="1"/>
    <n v="1"/>
  </r>
  <r>
    <n v="22127"/>
    <s v="Married"/>
    <s v="Male"/>
    <n v="60000"/>
    <s v="Low Income"/>
    <n v="3"/>
    <s v="Graduate Degree"/>
    <s v="Management"/>
    <s v="Yes"/>
    <n v="2"/>
    <s v="1-2 Miles"/>
    <x v="2"/>
    <n v="67"/>
    <s v="Seniors"/>
    <s v="No"/>
    <n v="0"/>
    <n v="1"/>
  </r>
  <r>
    <n v="20414"/>
    <s v="Married"/>
    <s v="Female"/>
    <n v="60000"/>
    <s v="Low Income"/>
    <n v="0"/>
    <s v="Partial College"/>
    <s v="Skilled Manual"/>
    <s v="Yes"/>
    <n v="2"/>
    <s v="5-10 Miles"/>
    <x v="2"/>
    <n v="29"/>
    <s v="Young Adults"/>
    <s v="No"/>
    <n v="0"/>
    <n v="1"/>
  </r>
  <r>
    <n v="23672"/>
    <s v="Married"/>
    <s v="Female"/>
    <n v="60000"/>
    <s v="Low Income"/>
    <n v="3"/>
    <s v="Graduate Degree"/>
    <s v="Management"/>
    <s v="Yes"/>
    <n v="2"/>
    <s v="1-2 Miles"/>
    <x v="2"/>
    <n v="67"/>
    <s v="Seniors"/>
    <s v="No"/>
    <n v="0"/>
    <n v="1"/>
  </r>
  <r>
    <n v="29255"/>
    <s v="Single"/>
    <s v="Male"/>
    <n v="80000"/>
    <s v="Medium Income"/>
    <n v="3"/>
    <s v="Partial College"/>
    <s v="Professional"/>
    <s v="No"/>
    <n v="1"/>
    <s v="1-2 Miles"/>
    <x v="2"/>
    <n v="51"/>
    <s v="Middle-Aged"/>
    <s v="Yes"/>
    <n v="1"/>
    <n v="1"/>
  </r>
  <r>
    <n v="28815"/>
    <s v="Married"/>
    <s v="Female"/>
    <n v="50000"/>
    <s v="Low Income"/>
    <n v="1"/>
    <s v="Graduate Degree"/>
    <s v="Skilled Manual"/>
    <s v="Yes"/>
    <n v="0"/>
    <s v="0-1 Miles"/>
    <x v="2"/>
    <n v="35"/>
    <s v="Adults"/>
    <s v="No"/>
    <n v="0"/>
    <n v="1"/>
  </r>
  <r>
    <n v="27753"/>
    <s v="Married"/>
    <s v="Male"/>
    <n v="40000"/>
    <s v="Low Income"/>
    <n v="0"/>
    <s v="High School"/>
    <s v="Skilled Manual"/>
    <s v="No"/>
    <n v="2"/>
    <s v="1-2 Miles"/>
    <x v="2"/>
    <n v="30"/>
    <s v="Adults"/>
    <s v="No"/>
    <n v="0"/>
    <n v="1"/>
  </r>
  <r>
    <n v="27643"/>
    <s v="Single"/>
    <s v="Male"/>
    <n v="70000"/>
    <s v="Medium Income"/>
    <n v="5"/>
    <s v="Partial College"/>
    <s v="Professional"/>
    <s v="Yes"/>
    <n v="3"/>
    <s v="2-5 Miles"/>
    <x v="2"/>
    <n v="44"/>
    <s v="Middle-Aged"/>
    <s v="No"/>
    <n v="0"/>
    <n v="1"/>
  </r>
  <r>
    <n v="13754"/>
    <s v="Single"/>
    <s v="Female"/>
    <n v="80000"/>
    <s v="Medium Income"/>
    <n v="4"/>
    <s v="Graduate Degree"/>
    <s v="Skilled Manual"/>
    <s v="Yes"/>
    <n v="0"/>
    <s v="1-2 Miles"/>
    <x v="2"/>
    <n v="48"/>
    <s v="Middle-Aged"/>
    <s v="No"/>
    <n v="0"/>
    <n v="1"/>
  </r>
  <r>
    <n v="22088"/>
    <s v="Married"/>
    <s v="Female"/>
    <n v="130000"/>
    <s v="High Income"/>
    <n v="1"/>
    <s v="Bachelors"/>
    <s v="Management"/>
    <s v="Yes"/>
    <n v="2"/>
    <s v="0-1 Miles"/>
    <x v="2"/>
    <n v="45"/>
    <s v="Middle-Aged"/>
    <s v="Yes"/>
    <n v="1"/>
    <n v="1"/>
  </r>
  <r>
    <n v="27388"/>
    <s v="Married"/>
    <s v="Male"/>
    <n v="60000"/>
    <s v="Low Income"/>
    <n v="3"/>
    <s v="Bachelors"/>
    <s v="Management"/>
    <s v="No"/>
    <n v="2"/>
    <s v="1-2 Miles"/>
    <x v="2"/>
    <n v="66"/>
    <s v="Seniors"/>
    <s v="No"/>
    <n v="0"/>
    <n v="1"/>
  </r>
  <r>
    <n v="24745"/>
    <s v="Single"/>
    <s v="Female"/>
    <n v="30000"/>
    <s v="Low Income"/>
    <n v="2"/>
    <s v="High School"/>
    <s v="Skilled Manual"/>
    <s v="No"/>
    <n v="2"/>
    <s v="0-1 Miles"/>
    <x v="2"/>
    <n v="49"/>
    <s v="Middle-Aged"/>
    <s v="No"/>
    <n v="0"/>
    <n v="1"/>
  </r>
  <r>
    <n v="29237"/>
    <s v="Single"/>
    <s v="Female"/>
    <n v="120000"/>
    <s v="Medium Income"/>
    <n v="4"/>
    <s v="Partial College"/>
    <s v="Professional"/>
    <s v="Yes"/>
    <n v="3"/>
    <s v="5-10 Miles"/>
    <x v="2"/>
    <n v="43"/>
    <s v="Middle-Aged"/>
    <s v="Yes"/>
    <n v="1"/>
    <n v="1"/>
  </r>
  <r>
    <n v="15272"/>
    <s v="Single"/>
    <s v="Male"/>
    <n v="40000"/>
    <s v="Low Income"/>
    <n v="0"/>
    <s v="High School"/>
    <s v="Skilled Manual"/>
    <s v="No"/>
    <n v="2"/>
    <s v="1-2 Miles"/>
    <x v="2"/>
    <n v="30"/>
    <s v="Adults"/>
    <s v="No"/>
    <n v="0"/>
    <n v="1"/>
  </r>
  <r>
    <n v="18949"/>
    <s v="Single"/>
    <s v="Male"/>
    <n v="70000"/>
    <s v="Medium Income"/>
    <n v="0"/>
    <s v="Graduate Degree"/>
    <s v="Management"/>
    <s v="Yes"/>
    <n v="2"/>
    <s v="5-10 Miles"/>
    <x v="2"/>
    <n v="74"/>
    <s v="Seniors"/>
    <s v="Yes"/>
    <n v="1"/>
    <n v="1"/>
  </r>
  <r>
    <n v="14507"/>
    <s v="Married"/>
    <s v="Male"/>
    <n v="100000"/>
    <s v="Medium Income"/>
    <n v="2"/>
    <s v="Graduate Degree"/>
    <s v="Management"/>
    <s v="Yes"/>
    <n v="3"/>
    <s v="1-2 Miles"/>
    <x v="2"/>
    <n v="65"/>
    <s v="Seniors"/>
    <s v="No"/>
    <n v="0"/>
    <n v="1"/>
  </r>
  <r>
    <n v="25886"/>
    <s v="Married"/>
    <s v="Female"/>
    <n v="60000"/>
    <s v="Low Income"/>
    <n v="2"/>
    <s v="Partial College"/>
    <s v="Professional"/>
    <s v="Yes"/>
    <n v="2"/>
    <s v="2-5 Miles"/>
    <x v="2"/>
    <n v="56"/>
    <s v="Middle-Aged"/>
    <s v="Yes"/>
    <n v="1"/>
    <n v="1"/>
  </r>
  <r>
    <n v="21441"/>
    <s v="Married"/>
    <s v="Male"/>
    <n v="50000"/>
    <s v="Low Income"/>
    <n v="4"/>
    <s v="Bachelors"/>
    <s v="Management"/>
    <s v="Yes"/>
    <n v="2"/>
    <s v="More than 10 Miles"/>
    <x v="2"/>
    <n v="64"/>
    <s v="Seniors"/>
    <s v="No"/>
    <n v="0"/>
    <n v="1"/>
  </r>
  <r>
    <n v="21741"/>
    <s v="Married"/>
    <s v="Female"/>
    <n v="70000"/>
    <s v="Medium Income"/>
    <n v="3"/>
    <s v="Partial College"/>
    <s v="Professional"/>
    <s v="Yes"/>
    <n v="2"/>
    <s v="5-10 Miles"/>
    <x v="2"/>
    <n v="50"/>
    <s v="Middle-Aged"/>
    <s v="Yes"/>
    <n v="1"/>
    <n v="1"/>
  </r>
  <r>
    <n v="14572"/>
    <s v="Married"/>
    <s v="Female"/>
    <n v="70000"/>
    <s v="Medium Income"/>
    <n v="3"/>
    <s v="Graduate Degree"/>
    <s v="Professional"/>
    <s v="Yes"/>
    <n v="0"/>
    <s v="2-5 Miles"/>
    <x v="2"/>
    <n v="35"/>
    <s v="Adults"/>
    <s v="Yes"/>
    <n v="1"/>
    <n v="1"/>
  </r>
  <r>
    <n v="23368"/>
    <s v="Married"/>
    <s v="Female"/>
    <n v="60000"/>
    <s v="Low Income"/>
    <n v="5"/>
    <s v="Bachelors"/>
    <s v="Skilled Manual"/>
    <s v="Yes"/>
    <n v="3"/>
    <s v="More than 10 Miles"/>
    <x v="2"/>
    <n v="41"/>
    <s v="Middle-Aged"/>
    <s v="No"/>
    <n v="0"/>
    <n v="1"/>
  </r>
  <r>
    <n v="16217"/>
    <s v="Single"/>
    <s v="Female"/>
    <n v="60000"/>
    <s v="Low Income"/>
    <n v="0"/>
    <s v="Graduate Degree"/>
    <s v="Skilled Manual"/>
    <s v="Yes"/>
    <n v="0"/>
    <s v="0-1 Miles"/>
    <x v="2"/>
    <n v="39"/>
    <s v="Adults"/>
    <s v="No"/>
    <n v="0"/>
    <n v="1"/>
  </r>
  <r>
    <n v="16247"/>
    <s v="Single"/>
    <s v="Female"/>
    <n v="60000"/>
    <s v="Low Income"/>
    <n v="4"/>
    <s v="Graduate Degree"/>
    <s v="Skilled Manual"/>
    <s v="No"/>
    <n v="0"/>
    <s v="1-2 Miles"/>
    <x v="2"/>
    <n v="47"/>
    <s v="Middle-Aged"/>
    <s v="No"/>
    <n v="0"/>
    <n v="1"/>
  </r>
  <r>
    <n v="22010"/>
    <s v="Single"/>
    <s v="Male"/>
    <n v="40000"/>
    <s v="Low Income"/>
    <n v="0"/>
    <s v="High School"/>
    <s v="Skilled Manual"/>
    <s v="Yes"/>
    <n v="2"/>
    <s v="5-10 Miles"/>
    <x v="2"/>
    <n v="31"/>
    <s v="Adults"/>
    <s v="No"/>
    <n v="0"/>
    <n v="1"/>
  </r>
  <r>
    <n v="25872"/>
    <s v="Single"/>
    <s v="Female"/>
    <n v="70000"/>
    <s v="Medium Income"/>
    <n v="2"/>
    <s v="Bachelors"/>
    <s v="Management"/>
    <s v="No"/>
    <n v="1"/>
    <s v="2-5 Miles"/>
    <x v="2"/>
    <n v="58"/>
    <s v="Middle-Aged"/>
    <s v="Yes"/>
    <n v="1"/>
    <n v="1"/>
  </r>
  <r>
    <n v="19164"/>
    <s v="Single"/>
    <s v="Female"/>
    <n v="70000"/>
    <s v="Medium Income"/>
    <n v="0"/>
    <s v="Bachelors"/>
    <s v="Professional"/>
    <s v="No"/>
    <n v="1"/>
    <s v="2-5 Miles"/>
    <x v="2"/>
    <n v="38"/>
    <s v="Adults"/>
    <s v="Yes"/>
    <n v="1"/>
    <n v="1"/>
  </r>
  <r>
    <n v="18435"/>
    <s v="Single"/>
    <s v="Female"/>
    <n v="70000"/>
    <s v="Medium Income"/>
    <n v="5"/>
    <s v="Graduate Degree"/>
    <s v="Management"/>
    <s v="Yes"/>
    <n v="2"/>
    <s v="More than 10 Miles"/>
    <x v="2"/>
    <n v="67"/>
    <s v="Seniors"/>
    <s v="Yes"/>
    <n v="1"/>
    <n v="1"/>
  </r>
  <r>
    <n v="14284"/>
    <s v="Single"/>
    <s v="Male"/>
    <n v="60000"/>
    <s v="Low Income"/>
    <n v="0"/>
    <s v="Partial College"/>
    <s v="Professional"/>
    <s v="No"/>
    <n v="2"/>
    <s v="1-2 Miles"/>
    <x v="2"/>
    <n v="32"/>
    <s v="Adults"/>
    <s v="Yes"/>
    <n v="1"/>
    <n v="1"/>
  </r>
  <r>
    <n v="11287"/>
    <s v="Married"/>
    <s v="Male"/>
    <n v="70000"/>
    <s v="Medium Income"/>
    <n v="5"/>
    <s v="Partial College"/>
    <s v="Professional"/>
    <s v="No"/>
    <n v="3"/>
    <s v="5-10 Miles"/>
    <x v="2"/>
    <n v="45"/>
    <s v="Middle-Aged"/>
    <s v="No"/>
    <n v="0"/>
    <n v="1"/>
  </r>
  <r>
    <n v="13066"/>
    <s v="Single"/>
    <s v="Male"/>
    <n v="30000"/>
    <s v="Low Income"/>
    <n v="0"/>
    <s v="High School"/>
    <s v="Skilled Manual"/>
    <s v="No"/>
    <n v="2"/>
    <s v="1-2 Miles"/>
    <x v="2"/>
    <n v="31"/>
    <s v="Adults"/>
    <s v="Yes"/>
    <n v="1"/>
    <n v="1"/>
  </r>
  <r>
    <n v="29106"/>
    <s v="Single"/>
    <s v="Male"/>
    <n v="40000"/>
    <s v="Low Income"/>
    <n v="0"/>
    <s v="High School"/>
    <s v="Skilled Manual"/>
    <s v="No"/>
    <n v="2"/>
    <s v="1-2 Miles"/>
    <x v="2"/>
    <n v="31"/>
    <s v="Adults"/>
    <s v="Yes"/>
    <n v="1"/>
    <n v="1"/>
  </r>
  <r>
    <n v="26236"/>
    <s v="Married"/>
    <s v="Female"/>
    <n v="40000"/>
    <s v="Low Income"/>
    <n v="3"/>
    <s v="Partial College"/>
    <s v="Clerical"/>
    <s v="Yes"/>
    <n v="1"/>
    <s v="0-1 Miles"/>
    <x v="2"/>
    <n v="31"/>
    <s v="Adults"/>
    <s v="No"/>
    <n v="0"/>
    <n v="1"/>
  </r>
  <r>
    <n v="17531"/>
    <s v="Married"/>
    <s v="Male"/>
    <n v="60000"/>
    <s v="Low Income"/>
    <n v="2"/>
    <s v="High School"/>
    <s v="Professional"/>
    <s v="No"/>
    <n v="2"/>
    <s v="5-10 Miles"/>
    <x v="2"/>
    <n v="50"/>
    <s v="Middle-Aged"/>
    <s v="No"/>
    <n v="0"/>
    <n v="1"/>
  </r>
  <r>
    <n v="12964"/>
    <s v="Married"/>
    <s v="Male"/>
    <n v="70000"/>
    <s v="Medium Income"/>
    <n v="1"/>
    <s v="Partial College"/>
    <s v="Skilled Manual"/>
    <s v="Yes"/>
    <n v="1"/>
    <s v="0-1 Miles"/>
    <x v="2"/>
    <n v="44"/>
    <s v="Middle-Aged"/>
    <s v="No"/>
    <n v="0"/>
    <n v="1"/>
  </r>
  <r>
    <n v="19133"/>
    <s v="Single"/>
    <s v="Male"/>
    <n v="50000"/>
    <s v="Low Income"/>
    <n v="2"/>
    <s v="Bachelors"/>
    <s v="Skilled Manual"/>
    <s v="Yes"/>
    <n v="1"/>
    <s v="2-5 Miles"/>
    <x v="2"/>
    <n v="38"/>
    <s v="Adults"/>
    <s v="Yes"/>
    <n v="1"/>
    <n v="1"/>
  </r>
  <r>
    <n v="24643"/>
    <s v="Single"/>
    <s v="Female"/>
    <n v="60000"/>
    <s v="Low Income"/>
    <n v="4"/>
    <s v="Bachelors"/>
    <s v="Management"/>
    <s v="Yes"/>
    <n v="2"/>
    <s v="More than 10 Miles"/>
    <x v="2"/>
    <n v="63"/>
    <s v="Seniors"/>
    <s v="No"/>
    <n v="0"/>
    <n v="1"/>
  </r>
  <r>
    <n v="21599"/>
    <s v="Married"/>
    <s v="Female"/>
    <n v="60000"/>
    <s v="Low Income"/>
    <n v="1"/>
    <s v="Graduate Degree"/>
    <s v="Professional"/>
    <s v="Yes"/>
    <n v="0"/>
    <s v="2-5 Miles"/>
    <x v="2"/>
    <n v="36"/>
    <s v="Adults"/>
    <s v="Yes"/>
    <n v="1"/>
    <n v="1"/>
  </r>
  <r>
    <n v="22976"/>
    <s v="Single"/>
    <s v="Male"/>
    <n v="40000"/>
    <s v="Low Income"/>
    <n v="0"/>
    <s v="High School"/>
    <s v="Skilled Manual"/>
    <s v="No"/>
    <n v="2"/>
    <s v="0-1 Miles"/>
    <x v="2"/>
    <n v="28"/>
    <s v="Young Adults"/>
    <s v="Yes"/>
    <n v="1"/>
    <n v="1"/>
  </r>
  <r>
    <n v="27637"/>
    <s v="Single"/>
    <s v="Female"/>
    <n v="100000"/>
    <s v="Medium Income"/>
    <n v="1"/>
    <s v="Partial College"/>
    <s v="Professional"/>
    <s v="No"/>
    <n v="3"/>
    <s v="1-2 Miles"/>
    <x v="2"/>
    <n v="44"/>
    <s v="Middle-Aged"/>
    <s v="No"/>
    <n v="0"/>
    <n v="1"/>
  </r>
  <r>
    <n v="11890"/>
    <s v="Married"/>
    <s v="Female"/>
    <n v="70000"/>
    <s v="Medium Income"/>
    <n v="5"/>
    <s v="Graduate Degree"/>
    <s v="Professional"/>
    <s v="Yes"/>
    <n v="1"/>
    <s v="0-1 Miles"/>
    <x v="2"/>
    <n v="47"/>
    <s v="Middle-Aged"/>
    <s v="No"/>
    <n v="0"/>
    <n v="1"/>
  </r>
  <r>
    <n v="28580"/>
    <s v="Married"/>
    <s v="Female"/>
    <n v="80000"/>
    <s v="Medium Income"/>
    <n v="0"/>
    <s v="Graduate Degree"/>
    <s v="Skilled Manual"/>
    <s v="Yes"/>
    <n v="0"/>
    <s v="1-2 Miles"/>
    <x v="2"/>
    <n v="40"/>
    <s v="Middle-Aged"/>
    <s v="Yes"/>
    <n v="1"/>
    <n v="1"/>
  </r>
  <r>
    <n v="14443"/>
    <s v="Married"/>
    <s v="Male"/>
    <n v="130000"/>
    <s v="High Income"/>
    <n v="1"/>
    <s v="Graduate Degree"/>
    <s v="Management"/>
    <s v="Yes"/>
    <n v="4"/>
    <s v="0-1 Miles"/>
    <x v="2"/>
    <n v="40"/>
    <s v="Middle-Aged"/>
    <s v="No"/>
    <n v="0"/>
    <n v="1"/>
  </r>
  <r>
    <n v="17864"/>
    <s v="Married"/>
    <s v="Female"/>
    <n v="60000"/>
    <s v="Low Income"/>
    <n v="1"/>
    <s v="Partial College"/>
    <s v="Skilled Manual"/>
    <s v="Yes"/>
    <n v="1"/>
    <s v="2-5 Miles"/>
    <x v="2"/>
    <n v="46"/>
    <s v="Middle-Aged"/>
    <s v="Yes"/>
    <n v="1"/>
    <n v="1"/>
  </r>
  <r>
    <n v="20505"/>
    <s v="Married"/>
    <s v="Female"/>
    <n v="40000"/>
    <s v="Low Income"/>
    <n v="5"/>
    <s v="High School"/>
    <s v="Professional"/>
    <s v="No"/>
    <n v="2"/>
    <s v="More than 10 Miles"/>
    <x v="2"/>
    <n v="61"/>
    <s v="Seniors"/>
    <s v="No"/>
    <n v="0"/>
    <n v="1"/>
  </r>
  <r>
    <n v="14592"/>
    <s v="Married"/>
    <s v="Female"/>
    <n v="60000"/>
    <s v="Low Income"/>
    <n v="0"/>
    <s v="Graduate Degree"/>
    <s v="Professional"/>
    <s v="Yes"/>
    <n v="0"/>
    <s v="0-1 Miles"/>
    <x v="2"/>
    <n v="40"/>
    <s v="Middle-Aged"/>
    <s v="No"/>
    <n v="0"/>
    <n v="1"/>
  </r>
  <r>
    <n v="22227"/>
    <s v="Married"/>
    <s v="Female"/>
    <n v="60000"/>
    <s v="Low Income"/>
    <n v="2"/>
    <s v="High School"/>
    <s v="Professional"/>
    <s v="Yes"/>
    <n v="2"/>
    <s v="5-10 Miles"/>
    <x v="2"/>
    <n v="50"/>
    <s v="Middle-Aged"/>
    <s v="No"/>
    <n v="0"/>
    <n v="1"/>
  </r>
  <r>
    <n v="21471"/>
    <s v="Married"/>
    <s v="Male"/>
    <n v="70000"/>
    <s v="Medium Income"/>
    <n v="2"/>
    <s v="Partial College"/>
    <s v="Professional"/>
    <s v="Yes"/>
    <n v="1"/>
    <s v="More than 10 Miles"/>
    <x v="2"/>
    <n v="59"/>
    <s v="Middle-Aged"/>
    <s v="No"/>
    <n v="0"/>
    <n v="1"/>
  </r>
  <r>
    <n v="22252"/>
    <s v="Single"/>
    <s v="Female"/>
    <n v="60000"/>
    <s v="Low Income"/>
    <n v="1"/>
    <s v="Graduate Degree"/>
    <s v="Professional"/>
    <s v="Yes"/>
    <n v="0"/>
    <s v="2-5 Miles"/>
    <x v="2"/>
    <n v="36"/>
    <s v="Adults"/>
    <s v="Yes"/>
    <n v="1"/>
    <n v="1"/>
  </r>
  <r>
    <n v="21260"/>
    <s v="Single"/>
    <s v="Female"/>
    <n v="40000"/>
    <s v="Low Income"/>
    <n v="0"/>
    <s v="High School"/>
    <s v="Skilled Manual"/>
    <s v="Yes"/>
    <n v="2"/>
    <s v="5-10 Miles"/>
    <x v="2"/>
    <n v="30"/>
    <s v="Adults"/>
    <s v="No"/>
    <n v="0"/>
    <n v="1"/>
  </r>
  <r>
    <n v="11817"/>
    <s v="Single"/>
    <s v="Female"/>
    <n v="70000"/>
    <s v="Medium Income"/>
    <n v="4"/>
    <s v="Graduate Degree"/>
    <s v="Professional"/>
    <s v="Yes"/>
    <n v="0"/>
    <s v="2-5 Miles"/>
    <x v="2"/>
    <n v="35"/>
    <s v="Adults"/>
    <s v="Yes"/>
    <n v="1"/>
    <n v="1"/>
  </r>
  <r>
    <n v="19223"/>
    <s v="Married"/>
    <s v="Female"/>
    <n v="30000"/>
    <s v="Low Income"/>
    <n v="2"/>
    <s v="High School"/>
    <s v="Skilled Manual"/>
    <s v="Yes"/>
    <n v="2"/>
    <s v="1-2 Miles"/>
    <x v="2"/>
    <n v="48"/>
    <s v="Middle-Aged"/>
    <s v="No"/>
    <n v="0"/>
    <n v="1"/>
  </r>
  <r>
    <n v="18517"/>
    <s v="Married"/>
    <s v="Male"/>
    <n v="100000"/>
    <s v="Medium Income"/>
    <n v="3"/>
    <s v="Bachelors"/>
    <s v="Management"/>
    <s v="Yes"/>
    <n v="4"/>
    <s v="0-1 Miles"/>
    <x v="2"/>
    <n v="41"/>
    <s v="Middle-Aged"/>
    <s v="No"/>
    <n v="0"/>
    <n v="1"/>
  </r>
  <r>
    <n v="21717"/>
    <s v="Married"/>
    <s v="Male"/>
    <n v="40000"/>
    <s v="Low Income"/>
    <n v="2"/>
    <s v="Partial College"/>
    <s v="Clerical"/>
    <s v="Yes"/>
    <n v="1"/>
    <s v="0-1 Miles"/>
    <x v="2"/>
    <n v="47"/>
    <s v="Middle-Aged"/>
    <s v="No"/>
    <n v="0"/>
    <n v="1"/>
  </r>
  <r>
    <n v="13760"/>
    <s v="Married"/>
    <s v="Male"/>
    <n v="60000"/>
    <s v="Low Income"/>
    <n v="4"/>
    <s v="Graduate Degree"/>
    <s v="Skilled Manual"/>
    <s v="No"/>
    <n v="0"/>
    <s v="0-1 Miles"/>
    <x v="2"/>
    <n v="47"/>
    <s v="Middle-Aged"/>
    <s v="No"/>
    <n v="0"/>
    <n v="1"/>
  </r>
  <r>
    <n v="18145"/>
    <s v="Married"/>
    <s v="Male"/>
    <n v="80000"/>
    <s v="Medium Income"/>
    <n v="5"/>
    <s v="Bachelors"/>
    <s v="Management"/>
    <s v="No"/>
    <n v="2"/>
    <s v="2-5 Miles"/>
    <x v="0"/>
    <n v="62"/>
    <s v="Seniors"/>
    <s v="No"/>
    <n v="0"/>
    <n v="1"/>
  </r>
  <r>
    <n v="21770"/>
    <s v="Married"/>
    <s v="Male"/>
    <n v="60000"/>
    <s v="Low Income"/>
    <n v="4"/>
    <s v="Bachelors"/>
    <s v="Management"/>
    <s v="Yes"/>
    <n v="2"/>
    <s v="More than 10 Miles"/>
    <x v="2"/>
    <n v="60"/>
    <s v="Seniors"/>
    <s v="No"/>
    <n v="0"/>
    <n v="1"/>
  </r>
  <r>
    <n v="11165"/>
    <s v="Married"/>
    <s v="Female"/>
    <n v="60000"/>
    <s v="Low Income"/>
    <n v="0"/>
    <s v="Partial College"/>
    <s v="Skilled Manual"/>
    <s v="No"/>
    <n v="1"/>
    <s v="1-2 Miles"/>
    <x v="2"/>
    <n v="33"/>
    <s v="Adults"/>
    <s v="No"/>
    <n v="0"/>
    <n v="1"/>
  </r>
  <r>
    <n v="16377"/>
    <s v="Single"/>
    <s v="Female"/>
    <n v="80000"/>
    <s v="Medium Income"/>
    <n v="4"/>
    <s v="Graduate Degree"/>
    <s v="Skilled Manual"/>
    <s v="No"/>
    <n v="0"/>
    <s v="0-1 Miles"/>
    <x v="2"/>
    <n v="47"/>
    <s v="Middle-Aged"/>
    <s v="No"/>
    <n v="0"/>
    <n v="1"/>
  </r>
  <r>
    <n v="26248"/>
    <s v="Married"/>
    <s v="Male"/>
    <n v="20000"/>
    <s v="Low Income"/>
    <n v="3"/>
    <s v="Partial High School"/>
    <s v="Clerical"/>
    <s v="No"/>
    <n v="2"/>
    <s v="0-1 Miles"/>
    <x v="2"/>
    <n v="52"/>
    <s v="Middle-Aged"/>
    <s v="No"/>
    <n v="0"/>
    <n v="1"/>
  </r>
  <r>
    <n v="23461"/>
    <s v="Married"/>
    <s v="Female"/>
    <n v="90000"/>
    <s v="Medium Income"/>
    <n v="5"/>
    <s v="Partial College"/>
    <s v="Professional"/>
    <s v="Yes"/>
    <n v="3"/>
    <s v="2-5 Miles"/>
    <x v="2"/>
    <n v="40"/>
    <s v="Middle-Aged"/>
    <s v="No"/>
    <n v="0"/>
    <n v="1"/>
  </r>
  <r>
    <n v="29133"/>
    <s v="Single"/>
    <s v="Female"/>
    <n v="60000"/>
    <s v="Low Income"/>
    <n v="4"/>
    <s v="Bachelors"/>
    <s v="Skilled Manual"/>
    <s v="No"/>
    <n v="2"/>
    <s v="0-1 Miles"/>
    <x v="2"/>
    <n v="42"/>
    <s v="Middle-Aged"/>
    <s v="No"/>
    <n v="0"/>
    <n v="1"/>
  </r>
  <r>
    <n v="27673"/>
    <s v="Single"/>
    <s v="Female"/>
    <n v="60000"/>
    <s v="Low Income"/>
    <n v="3"/>
    <s v="Graduate Degree"/>
    <s v="Management"/>
    <s v="Yes"/>
    <n v="2"/>
    <s v="5-10 Miles"/>
    <x v="2"/>
    <n v="53"/>
    <s v="Middle-Aged"/>
    <s v="Yes"/>
    <n v="1"/>
    <n v="1"/>
  </r>
  <r>
    <n v="12774"/>
    <s v="Married"/>
    <s v="Female"/>
    <n v="40000"/>
    <s v="Low Income"/>
    <n v="1"/>
    <s v="Partial College"/>
    <s v="Clerical"/>
    <s v="Yes"/>
    <n v="1"/>
    <s v="1-2 Miles"/>
    <x v="2"/>
    <n v="51"/>
    <s v="Middle-Aged"/>
    <s v="Yes"/>
    <n v="1"/>
    <n v="1"/>
  </r>
  <r>
    <n v="18910"/>
    <s v="Single"/>
    <s v="Male"/>
    <n v="30000"/>
    <s v="Low Income"/>
    <n v="0"/>
    <s v="Partial College"/>
    <s v="Skilled Manual"/>
    <s v="Yes"/>
    <n v="2"/>
    <s v="5-10 Miles"/>
    <x v="2"/>
    <n v="30"/>
    <s v="Adults"/>
    <s v="No"/>
    <n v="0"/>
    <n v="1"/>
  </r>
  <r>
    <n v="11699"/>
    <s v="Single"/>
    <s v="Male"/>
    <n v="60000"/>
    <s v="Low Income"/>
    <n v="0"/>
    <s v="Bachelors"/>
    <s v="Skilled Manual"/>
    <s v="No"/>
    <n v="2"/>
    <s v="0-1 Miles"/>
    <x v="2"/>
    <n v="30"/>
    <s v="Adults"/>
    <s v="No"/>
    <n v="0"/>
    <n v="1"/>
  </r>
  <r>
    <n v="16725"/>
    <s v="Married"/>
    <s v="Male"/>
    <n v="30000"/>
    <s v="Low Income"/>
    <n v="0"/>
    <s v="High School"/>
    <s v="Skilled Manual"/>
    <s v="Yes"/>
    <n v="2"/>
    <s v="5-10 Miles"/>
    <x v="2"/>
    <n v="26"/>
    <s v="Young Adults"/>
    <s v="No"/>
    <n v="0"/>
    <n v="1"/>
  </r>
  <r>
    <n v="28269"/>
    <s v="Single"/>
    <s v="Female"/>
    <n v="130000"/>
    <s v="High Income"/>
    <n v="1"/>
    <s v="Bachelors"/>
    <s v="Management"/>
    <s v="No"/>
    <n v="1"/>
    <s v="2-5 Miles"/>
    <x v="2"/>
    <n v="45"/>
    <s v="Middle-Aged"/>
    <s v="No"/>
    <n v="0"/>
    <n v="1"/>
  </r>
  <r>
    <n v="23144"/>
    <s v="Married"/>
    <s v="Male"/>
    <n v="50000"/>
    <s v="Low Income"/>
    <n v="1"/>
    <s v="Bachelors"/>
    <s v="Skilled Manual"/>
    <s v="Yes"/>
    <n v="0"/>
    <s v="0-1 Miles"/>
    <x v="2"/>
    <n v="34"/>
    <s v="Adults"/>
    <s v="Yes"/>
    <n v="1"/>
    <n v="1"/>
  </r>
  <r>
    <n v="23376"/>
    <s v="Married"/>
    <s v="Male"/>
    <n v="70000"/>
    <s v="Medium Income"/>
    <n v="1"/>
    <s v="Bachelors"/>
    <s v="Professional"/>
    <s v="Yes"/>
    <n v="1"/>
    <s v="2-5 Miles"/>
    <x v="2"/>
    <n v="44"/>
    <s v="Middle-Aged"/>
    <s v="Yes"/>
    <n v="1"/>
    <n v="1"/>
  </r>
  <r>
    <n v="25970"/>
    <s v="Single"/>
    <s v="Female"/>
    <n v="60000"/>
    <s v="Low Income"/>
    <n v="4"/>
    <s v="Bachelors"/>
    <s v="Skilled Manual"/>
    <s v="No"/>
    <n v="2"/>
    <s v="0-1 Miles"/>
    <x v="2"/>
    <n v="41"/>
    <s v="Middle-Aged"/>
    <s v="Yes"/>
    <n v="1"/>
    <n v="1"/>
  </r>
  <r>
    <n v="28068"/>
    <s v="Single"/>
    <s v="Female"/>
    <n v="80000"/>
    <s v="Medium Income"/>
    <n v="3"/>
    <s v="Graduate Degree"/>
    <s v="Professional"/>
    <s v="No"/>
    <n v="0"/>
    <s v="0-1 Miles"/>
    <x v="2"/>
    <n v="36"/>
    <s v="Adults"/>
    <s v="Yes"/>
    <n v="1"/>
    <n v="1"/>
  </r>
  <r>
    <n v="18390"/>
    <s v="Married"/>
    <s v="Male"/>
    <n v="80000"/>
    <s v="Medium Income"/>
    <n v="5"/>
    <s v="Partial College"/>
    <s v="Professional"/>
    <s v="Yes"/>
    <n v="2"/>
    <s v="0-1 Miles"/>
    <x v="2"/>
    <n v="44"/>
    <s v="Middle-Aged"/>
    <s v="No"/>
    <n v="0"/>
    <n v="1"/>
  </r>
  <r>
    <n v="29112"/>
    <s v="Single"/>
    <s v="Male"/>
    <n v="60000"/>
    <s v="Low Income"/>
    <n v="0"/>
    <s v="Partial College"/>
    <s v="Professional"/>
    <s v="No"/>
    <n v="2"/>
    <s v="1-2 Miles"/>
    <x v="2"/>
    <n v="30"/>
    <s v="Adults"/>
    <s v="No"/>
    <n v="0"/>
    <n v="1"/>
  </r>
  <r>
    <n v="14090"/>
    <s v="Married"/>
    <s v="Female"/>
    <n v="30000"/>
    <s v="Low Income"/>
    <n v="0"/>
    <s v="Partial High School"/>
    <s v="Clerical"/>
    <s v="No"/>
    <n v="2"/>
    <s v="0-1 Miles"/>
    <x v="2"/>
    <n v="28"/>
    <s v="Young Adults"/>
    <s v="No"/>
    <n v="0"/>
    <n v="1"/>
  </r>
  <r>
    <n v="27040"/>
    <s v="Married"/>
    <s v="Male"/>
    <n v="20000"/>
    <s v="Low Income"/>
    <n v="2"/>
    <s v="Partial High School"/>
    <s v="Clerical"/>
    <s v="Yes"/>
    <n v="2"/>
    <s v="1-2 Miles"/>
    <x v="2"/>
    <n v="49"/>
    <s v="Middle-Aged"/>
    <s v="No"/>
    <n v="0"/>
    <n v="1"/>
  </r>
  <r>
    <n v="23479"/>
    <s v="Single"/>
    <s v="Male"/>
    <n v="90000"/>
    <s v="Medium Income"/>
    <n v="0"/>
    <s v="Partial College"/>
    <s v="Professional"/>
    <s v="No"/>
    <n v="2"/>
    <s v="0-1 Miles"/>
    <x v="2"/>
    <n v="43"/>
    <s v="Middle-Aged"/>
    <s v="Yes"/>
    <n v="1"/>
    <n v="1"/>
  </r>
  <r>
    <n v="16795"/>
    <s v="Married"/>
    <s v="Female"/>
    <n v="70000"/>
    <s v="Medium Income"/>
    <n v="4"/>
    <s v="Bachelors"/>
    <s v="Management"/>
    <s v="Yes"/>
    <n v="1"/>
    <s v="1-2 Miles"/>
    <x v="2"/>
    <n v="59"/>
    <s v="Middle-Aged"/>
    <s v="No"/>
    <n v="0"/>
    <n v="1"/>
  </r>
  <r>
    <n v="22014"/>
    <s v="Single"/>
    <s v="Male"/>
    <n v="30000"/>
    <s v="Low Income"/>
    <n v="0"/>
    <s v="High School"/>
    <s v="Skilled Manual"/>
    <s v="Yes"/>
    <n v="2"/>
    <s v="5-10 Miles"/>
    <x v="2"/>
    <n v="26"/>
    <s v="Young Adults"/>
    <s v="No"/>
    <n v="0"/>
    <n v="1"/>
  </r>
  <r>
    <n v="13314"/>
    <s v="Married"/>
    <s v="Male"/>
    <n v="120000"/>
    <s v="Medium Income"/>
    <n v="1"/>
    <s v="High School"/>
    <s v="Professional"/>
    <s v="Yes"/>
    <n v="4"/>
    <s v="5-10 Miles"/>
    <x v="2"/>
    <n v="46"/>
    <s v="Middle-Aged"/>
    <s v="Yes"/>
    <n v="1"/>
    <n v="1"/>
  </r>
  <r>
    <n v="11619"/>
    <s v="Single"/>
    <s v="Female"/>
    <n v="50000"/>
    <s v="Low Income"/>
    <n v="0"/>
    <s v="Graduate Degree"/>
    <s v="Skilled Manual"/>
    <s v="Yes"/>
    <n v="0"/>
    <s v="1-2 Miles"/>
    <x v="2"/>
    <n v="33"/>
    <s v="Adults"/>
    <s v="No"/>
    <n v="0"/>
    <n v="1"/>
  </r>
  <r>
    <n v="29132"/>
    <s v="Single"/>
    <s v="Female"/>
    <n v="40000"/>
    <s v="Low Income"/>
    <n v="0"/>
    <s v="Bachelors"/>
    <s v="Professional"/>
    <s v="Yes"/>
    <n v="1"/>
    <s v="2-5 Miles"/>
    <x v="2"/>
    <n v="42"/>
    <s v="Middle-Aged"/>
    <s v="Yes"/>
    <n v="1"/>
    <n v="1"/>
  </r>
  <r>
    <n v="11199"/>
    <s v="Married"/>
    <s v="Female"/>
    <n v="70000"/>
    <s v="Medium Income"/>
    <n v="4"/>
    <s v="Bachelors"/>
    <s v="Management"/>
    <s v="Yes"/>
    <n v="1"/>
    <s v="More than 10 Miles"/>
    <x v="2"/>
    <n v="59"/>
    <s v="Middle-Aged"/>
    <s v="No"/>
    <n v="0"/>
    <n v="1"/>
  </r>
  <r>
    <n v="20296"/>
    <s v="Single"/>
    <s v="Female"/>
    <n v="60000"/>
    <s v="Low Income"/>
    <n v="0"/>
    <s v="Partial College"/>
    <s v="Skilled Manual"/>
    <s v="No"/>
    <n v="1"/>
    <s v="1-2 Miles"/>
    <x v="2"/>
    <n v="33"/>
    <s v="Adults"/>
    <s v="Yes"/>
    <n v="1"/>
    <n v="1"/>
  </r>
  <r>
    <n v="17546"/>
    <s v="Married"/>
    <s v="Female"/>
    <n v="70000"/>
    <s v="Medium Income"/>
    <n v="1"/>
    <s v="Partial College"/>
    <s v="Skilled Manual"/>
    <s v="Yes"/>
    <n v="1"/>
    <s v="0-1 Miles"/>
    <x v="2"/>
    <n v="44"/>
    <s v="Middle-Aged"/>
    <s v="Yes"/>
    <n v="1"/>
    <n v="1"/>
  </r>
  <r>
    <n v="18069"/>
    <s v="Married"/>
    <s v="Male"/>
    <n v="70000"/>
    <s v="Medium Income"/>
    <n v="5"/>
    <s v="Bachelors"/>
    <s v="Management"/>
    <s v="Yes"/>
    <n v="4"/>
    <s v="More than 10 Miles"/>
    <x v="2"/>
    <n v="60"/>
    <s v="Seniors"/>
    <s v="No"/>
    <n v="0"/>
    <n v="1"/>
  </r>
  <r>
    <n v="23712"/>
    <s v="Single"/>
    <s v="Female"/>
    <n v="70000"/>
    <s v="Medium Income"/>
    <n v="2"/>
    <s v="Bachelors"/>
    <s v="Management"/>
    <s v="Yes"/>
    <n v="1"/>
    <s v="More than 10 Miles"/>
    <x v="2"/>
    <n v="59"/>
    <s v="Middle-Aged"/>
    <s v="No"/>
    <n v="0"/>
    <n v="1"/>
  </r>
  <r>
    <n v="23358"/>
    <s v="Married"/>
    <s v="Male"/>
    <n v="60000"/>
    <s v="Low Income"/>
    <n v="0"/>
    <s v="High School"/>
    <s v="Professional"/>
    <s v="Yes"/>
    <n v="2"/>
    <s v="5-10 Miles"/>
    <x v="2"/>
    <n v="32"/>
    <s v="Adults"/>
    <s v="Yes"/>
    <n v="1"/>
    <n v="1"/>
  </r>
  <r>
    <n v="20518"/>
    <s v="Married"/>
    <s v="Female"/>
    <n v="70000"/>
    <s v="Medium Income"/>
    <n v="2"/>
    <s v="Partial College"/>
    <s v="Professional"/>
    <s v="Yes"/>
    <n v="1"/>
    <s v="More than 10 Miles"/>
    <x v="2"/>
    <n v="58"/>
    <s v="Middle-Aged"/>
    <s v="No"/>
    <n v="0"/>
    <n v="1"/>
  </r>
  <r>
    <n v="28026"/>
    <s v="Married"/>
    <s v="Female"/>
    <n v="40000"/>
    <s v="Low Income"/>
    <n v="2"/>
    <s v="High School"/>
    <s v="Professional"/>
    <s v="No"/>
    <n v="2"/>
    <s v="2-5 Miles"/>
    <x v="2"/>
    <n v="59"/>
    <s v="Middle-Aged"/>
    <s v="No"/>
    <n v="0"/>
    <n v="1"/>
  </r>
  <r>
    <n v="11669"/>
    <s v="Single"/>
    <s v="Female"/>
    <n v="70000"/>
    <s v="Medium Income"/>
    <n v="2"/>
    <s v="Bachelors"/>
    <s v="Skilled Manual"/>
    <s v="Yes"/>
    <n v="1"/>
    <s v="2-5 Miles"/>
    <x v="2"/>
    <n v="38"/>
    <s v="Adults"/>
    <s v="No"/>
    <n v="0"/>
    <n v="1"/>
  </r>
  <r>
    <n v="16020"/>
    <s v="Married"/>
    <s v="Male"/>
    <n v="40000"/>
    <s v="Low Income"/>
    <n v="0"/>
    <s v="High School"/>
    <s v="Skilled Manual"/>
    <s v="Yes"/>
    <n v="2"/>
    <s v="5-10 Miles"/>
    <x v="2"/>
    <n v="28"/>
    <s v="Young Adults"/>
    <s v="Yes"/>
    <n v="1"/>
    <n v="1"/>
  </r>
  <r>
    <n v="27090"/>
    <s v="Married"/>
    <s v="Female"/>
    <n v="60000"/>
    <s v="Low Income"/>
    <n v="1"/>
    <s v="Graduate Degree"/>
    <s v="Professional"/>
    <s v="Yes"/>
    <n v="0"/>
    <s v="2-5 Miles"/>
    <x v="2"/>
    <n v="37"/>
    <s v="Adults"/>
    <s v="Yes"/>
    <n v="1"/>
    <n v="1"/>
  </r>
  <r>
    <n v="27198"/>
    <s v="Single"/>
    <s v="Female"/>
    <n v="80000"/>
    <s v="Medium Income"/>
    <n v="0"/>
    <s v="Graduate Degree"/>
    <s v="Skilled Manual"/>
    <s v="No"/>
    <n v="0"/>
    <s v="0-1 Miles"/>
    <x v="2"/>
    <n v="40"/>
    <s v="Middle-Aged"/>
    <s v="No"/>
    <n v="0"/>
    <n v="1"/>
  </r>
  <r>
    <n v="19661"/>
    <s v="Single"/>
    <s v="Male"/>
    <n v="90000"/>
    <s v="Medium Income"/>
    <n v="4"/>
    <s v="Bachelors"/>
    <s v="Management"/>
    <s v="Yes"/>
    <n v="1"/>
    <s v="1-2 Miles"/>
    <x v="2"/>
    <n v="38"/>
    <s v="Adults"/>
    <s v="Yes"/>
    <n v="1"/>
    <n v="1"/>
  </r>
  <r>
    <n v="26327"/>
    <s v="Married"/>
    <s v="Male"/>
    <n v="70000"/>
    <s v="Medium Income"/>
    <n v="4"/>
    <s v="Graduate Degree"/>
    <s v="Professional"/>
    <s v="Yes"/>
    <n v="0"/>
    <s v="2-5 Miles"/>
    <x v="2"/>
    <n v="36"/>
    <s v="Adults"/>
    <s v="Yes"/>
    <n v="1"/>
    <n v="1"/>
  </r>
  <r>
    <n v="26341"/>
    <s v="Married"/>
    <s v="Female"/>
    <n v="70000"/>
    <s v="Medium Income"/>
    <n v="5"/>
    <s v="Graduate Degree"/>
    <s v="Professional"/>
    <s v="Yes"/>
    <n v="2"/>
    <s v="0-1 Miles"/>
    <x v="2"/>
    <n v="37"/>
    <s v="Adults"/>
    <s v="No"/>
    <n v="0"/>
    <n v="1"/>
  </r>
  <r>
    <n v="24958"/>
    <s v="Single"/>
    <s v="Female"/>
    <n v="40000"/>
    <s v="Low Income"/>
    <n v="5"/>
    <s v="High School"/>
    <s v="Professional"/>
    <s v="No"/>
    <n v="3"/>
    <s v="2-5 Miles"/>
    <x v="2"/>
    <n v="60"/>
    <s v="Seniors"/>
    <s v="Yes"/>
    <n v="1"/>
    <n v="1"/>
  </r>
  <r>
    <n v="13287"/>
    <s v="Single"/>
    <s v="Male"/>
    <n v="110000"/>
    <s v="Medium Income"/>
    <n v="4"/>
    <s v="Bachelors"/>
    <s v="Management"/>
    <s v="Yes"/>
    <n v="4"/>
    <s v="5-10 Miles"/>
    <x v="2"/>
    <n v="42"/>
    <s v="Middle-Aged"/>
    <s v="Yes"/>
    <n v="1"/>
    <n v="1"/>
  </r>
  <r>
    <n v="14493"/>
    <s v="Single"/>
    <s v="Female"/>
    <n v="70000"/>
    <s v="Medium Income"/>
    <n v="3"/>
    <s v="Graduate Degree"/>
    <s v="Management"/>
    <s v="No"/>
    <n v="2"/>
    <s v="1-2 Miles"/>
    <x v="2"/>
    <n v="53"/>
    <s v="Middle-Aged"/>
    <s v="No"/>
    <n v="0"/>
    <n v="1"/>
  </r>
  <r>
    <n v="26678"/>
    <s v="Single"/>
    <s v="Female"/>
    <n v="80000"/>
    <s v="Medium Income"/>
    <n v="2"/>
    <s v="Partial High School"/>
    <s v="Skilled Manual"/>
    <s v="Yes"/>
    <n v="2"/>
    <s v="5-10 Miles"/>
    <x v="2"/>
    <n v="49"/>
    <s v="Middle-Aged"/>
    <s v="No"/>
    <n v="0"/>
    <n v="1"/>
  </r>
  <r>
    <n v="23275"/>
    <s v="Married"/>
    <s v="Male"/>
    <n v="30000"/>
    <s v="Low Income"/>
    <n v="2"/>
    <s v="High School"/>
    <s v="Skilled Manual"/>
    <s v="Yes"/>
    <n v="2"/>
    <s v="1-2 Miles"/>
    <x v="2"/>
    <n v="49"/>
    <s v="Middle-Aged"/>
    <s v="No"/>
    <n v="0"/>
    <n v="1"/>
  </r>
  <r>
    <n v="11270"/>
    <s v="Married"/>
    <s v="Male"/>
    <n v="130000"/>
    <s v="High Income"/>
    <n v="2"/>
    <s v="Graduate Degree"/>
    <s v="Management"/>
    <s v="Yes"/>
    <n v="3"/>
    <s v="0-1 Miles"/>
    <x v="2"/>
    <n v="42"/>
    <s v="Middle-Aged"/>
    <s v="Yes"/>
    <n v="1"/>
    <n v="1"/>
  </r>
  <r>
    <n v="20084"/>
    <s v="Married"/>
    <s v="Male"/>
    <n v="20000"/>
    <s v="Low Income"/>
    <n v="2"/>
    <s v="High School"/>
    <s v="Manual"/>
    <s v="No"/>
    <n v="2"/>
    <s v="0-1 Miles"/>
    <x v="2"/>
    <n v="53"/>
    <s v="Middle-Aged"/>
    <s v="No"/>
    <n v="0"/>
    <n v="1"/>
  </r>
  <r>
    <n v="16144"/>
    <s v="Married"/>
    <s v="Male"/>
    <n v="70000"/>
    <s v="Medium Income"/>
    <n v="1"/>
    <s v="Graduate Degree"/>
    <s v="Professional"/>
    <s v="Yes"/>
    <n v="1"/>
    <s v="0-1 Miles"/>
    <x v="2"/>
    <n v="46"/>
    <s v="Middle-Aged"/>
    <s v="Yes"/>
    <n v="1"/>
    <n v="1"/>
  </r>
  <r>
    <n v="27731"/>
    <s v="Married"/>
    <s v="Male"/>
    <n v="40000"/>
    <s v="Low Income"/>
    <n v="0"/>
    <s v="High School"/>
    <s v="Skilled Manual"/>
    <s v="Yes"/>
    <n v="2"/>
    <s v="5-10 Miles"/>
    <x v="2"/>
    <n v="27"/>
    <s v="Young Adults"/>
    <s v="No"/>
    <n v="0"/>
    <n v="1"/>
  </r>
  <r>
    <n v="11886"/>
    <s v="Married"/>
    <s v="Female"/>
    <n v="60000"/>
    <s v="Low Income"/>
    <n v="3"/>
    <s v="Bachelors"/>
    <s v="Professional"/>
    <s v="Yes"/>
    <n v="1"/>
    <s v="0-1 Miles"/>
    <x v="2"/>
    <n v="48"/>
    <s v="Middle-Aged"/>
    <s v="Yes"/>
    <n v="1"/>
    <n v="1"/>
  </r>
  <r>
    <n v="24324"/>
    <s v="Single"/>
    <s v="Female"/>
    <n v="60000"/>
    <s v="Low Income"/>
    <n v="4"/>
    <s v="Bachelors"/>
    <s v="Skilled Manual"/>
    <s v="Yes"/>
    <n v="2"/>
    <s v="2-5 Miles"/>
    <x v="2"/>
    <n v="41"/>
    <s v="Middle-Aged"/>
    <s v="Yes"/>
    <n v="1"/>
    <n v="1"/>
  </r>
  <r>
    <n v="22220"/>
    <s v="Married"/>
    <s v="Male"/>
    <n v="60000"/>
    <s v="Low Income"/>
    <n v="2"/>
    <s v="High School"/>
    <s v="Professional"/>
    <s v="No"/>
    <n v="2"/>
    <s v="1-2 Miles"/>
    <x v="2"/>
    <n v="49"/>
    <s v="Middle-Aged"/>
    <s v="Yes"/>
    <n v="1"/>
    <n v="1"/>
  </r>
  <r>
    <n v="26625"/>
    <s v="Single"/>
    <s v="Female"/>
    <n v="60000"/>
    <s v="Low Income"/>
    <n v="0"/>
    <s v="Graduate Degree"/>
    <s v="Professional"/>
    <s v="Yes"/>
    <n v="1"/>
    <s v="2-5 Miles"/>
    <x v="2"/>
    <n v="38"/>
    <s v="Adults"/>
    <s v="Yes"/>
    <n v="1"/>
    <n v="1"/>
  </r>
  <r>
    <n v="23027"/>
    <s v="Single"/>
    <s v="Male"/>
    <n v="130000"/>
    <s v="High Income"/>
    <n v="1"/>
    <s v="Bachelors"/>
    <s v="Management"/>
    <s v="No"/>
    <n v="4"/>
    <s v="0-1 Miles"/>
    <x v="2"/>
    <n v="44"/>
    <s v="Middle-Aged"/>
    <s v="No"/>
    <n v="0"/>
    <n v="1"/>
  </r>
  <r>
    <n v="16867"/>
    <s v="Single"/>
    <s v="Female"/>
    <n v="130000"/>
    <s v="High Income"/>
    <n v="1"/>
    <s v="Bachelors"/>
    <s v="Management"/>
    <s v="No"/>
    <n v="3"/>
    <s v="0-1 Miles"/>
    <x v="2"/>
    <n v="45"/>
    <s v="Middle-Aged"/>
    <s v="Yes"/>
    <n v="1"/>
    <n v="1"/>
  </r>
  <r>
    <n v="14514"/>
    <s v="Single"/>
    <s v="Female"/>
    <n v="30000"/>
    <s v="Low Income"/>
    <n v="0"/>
    <s v="Partial College"/>
    <s v="Skilled Manual"/>
    <s v="Yes"/>
    <n v="1"/>
    <s v="5-10 Miles"/>
    <x v="2"/>
    <n v="26"/>
    <s v="Young Adults"/>
    <s v="No"/>
    <n v="0"/>
    <n v="1"/>
  </r>
  <r>
    <n v="19634"/>
    <s v="Married"/>
    <s v="Male"/>
    <n v="40000"/>
    <s v="Low Income"/>
    <n v="0"/>
    <s v="High School"/>
    <s v="Skilled Manual"/>
    <s v="Yes"/>
    <n v="1"/>
    <s v="5-10 Miles"/>
    <x v="2"/>
    <n v="31"/>
    <s v="Adults"/>
    <s v="No"/>
    <n v="0"/>
    <n v="1"/>
  </r>
  <r>
    <n v="18504"/>
    <s v="Married"/>
    <s v="Male"/>
    <n v="70000"/>
    <s v="Medium Income"/>
    <n v="2"/>
    <s v="Partial High School"/>
    <s v="Skilled Manual"/>
    <s v="No"/>
    <n v="2"/>
    <s v="1-2 Miles"/>
    <x v="2"/>
    <n v="49"/>
    <s v="Middle-Aged"/>
    <s v="No"/>
    <n v="0"/>
    <n v="1"/>
  </r>
  <r>
    <n v="28799"/>
    <s v="Single"/>
    <s v="Female"/>
    <n v="40000"/>
    <s v="Low Income"/>
    <n v="2"/>
    <s v="Partial College"/>
    <s v="Clerical"/>
    <s v="No"/>
    <n v="1"/>
    <s v="1-2 Miles"/>
    <x v="2"/>
    <n v="47"/>
    <s v="Middle-Aged"/>
    <s v="Yes"/>
    <n v="1"/>
    <n v="1"/>
  </r>
  <r>
    <n v="11225"/>
    <s v="Married"/>
    <s v="Female"/>
    <n v="60000"/>
    <s v="Low Income"/>
    <n v="2"/>
    <s v="Partial College"/>
    <s v="Professional"/>
    <s v="Yes"/>
    <n v="1"/>
    <s v="More than 10 Miles"/>
    <x v="2"/>
    <n v="55"/>
    <s v="Middle-Aged"/>
    <s v="No"/>
    <n v="0"/>
    <n v="1"/>
  </r>
  <r>
    <n v="17657"/>
    <s v="Married"/>
    <s v="Male"/>
    <n v="40000"/>
    <s v="Low Income"/>
    <n v="4"/>
    <s v="Partial College"/>
    <s v="Clerical"/>
    <s v="No"/>
    <n v="0"/>
    <s v="0-1 Miles"/>
    <x v="2"/>
    <n v="30"/>
    <s v="Adults"/>
    <s v="No"/>
    <n v="0"/>
    <n v="1"/>
  </r>
  <r>
    <n v="14913"/>
    <s v="Married"/>
    <s v="Female"/>
    <n v="40000"/>
    <s v="Low Income"/>
    <n v="1"/>
    <s v="Partial College"/>
    <s v="Clerical"/>
    <s v="Yes"/>
    <n v="1"/>
    <s v="1-2 Miles"/>
    <x v="2"/>
    <n v="48"/>
    <s v="Middle-Aged"/>
    <s v="Yes"/>
    <n v="1"/>
    <n v="1"/>
  </r>
  <r>
    <n v="14077"/>
    <s v="Single"/>
    <s v="Male"/>
    <n v="30000"/>
    <s v="Low Income"/>
    <n v="0"/>
    <s v="High School"/>
    <s v="Skilled Manual"/>
    <s v="Yes"/>
    <n v="2"/>
    <s v="5-10 Miles"/>
    <x v="2"/>
    <n v="30"/>
    <s v="Adults"/>
    <s v="No"/>
    <n v="0"/>
    <n v="1"/>
  </r>
  <r>
    <n v="13296"/>
    <s v="Married"/>
    <s v="Male"/>
    <n v="110000"/>
    <s v="Medium Income"/>
    <n v="1"/>
    <s v="Bachelors"/>
    <s v="Management"/>
    <s v="Yes"/>
    <n v="3"/>
    <s v="5-10 Miles"/>
    <x v="2"/>
    <n v="45"/>
    <s v="Middle-Aged"/>
    <s v="No"/>
    <n v="0"/>
    <n v="1"/>
  </r>
  <r>
    <n v="20535"/>
    <s v="Married"/>
    <s v="Female"/>
    <n v="70000"/>
    <s v="Medium Income"/>
    <n v="4"/>
    <s v="Partial College"/>
    <s v="Professional"/>
    <s v="Yes"/>
    <n v="1"/>
    <s v="More than 10 Miles"/>
    <x v="2"/>
    <n v="56"/>
    <s v="Middle-Aged"/>
    <s v="No"/>
    <n v="0"/>
    <n v="1"/>
  </r>
  <r>
    <n v="12452"/>
    <s v="Married"/>
    <s v="Male"/>
    <n v="60000"/>
    <s v="Low Income"/>
    <n v="4"/>
    <s v="Graduate Degree"/>
    <s v="Skilled Manual"/>
    <s v="Yes"/>
    <n v="0"/>
    <s v="1-2 Miles"/>
    <x v="2"/>
    <n v="47"/>
    <s v="Middle-Aged"/>
    <s v="Yes"/>
    <n v="1"/>
    <n v="1"/>
  </r>
  <r>
    <n v="28043"/>
    <s v="Married"/>
    <s v="Female"/>
    <n v="60000"/>
    <s v="Low Income"/>
    <n v="2"/>
    <s v="Bachelors"/>
    <s v="Management"/>
    <s v="Yes"/>
    <n v="0"/>
    <s v="More than 10 Miles"/>
    <x v="2"/>
    <n v="56"/>
    <s v="Middle-Aged"/>
    <s v="No"/>
    <n v="0"/>
    <n v="1"/>
  </r>
  <r>
    <n v="12957"/>
    <s v="Single"/>
    <s v="Female"/>
    <n v="70000"/>
    <s v="Medium Income"/>
    <n v="1"/>
    <s v="Bachelors"/>
    <s v="Professional"/>
    <s v="No"/>
    <n v="1"/>
    <s v="0-1 Miles"/>
    <x v="2"/>
    <n v="44"/>
    <s v="Middle-Aged"/>
    <s v="No"/>
    <n v="0"/>
    <n v="1"/>
  </r>
  <r>
    <n v="15412"/>
    <s v="Married"/>
    <s v="Male"/>
    <n v="130000"/>
    <s v="High Income"/>
    <n v="2"/>
    <s v="Graduate Degree"/>
    <s v="Management"/>
    <s v="Yes"/>
    <n v="3"/>
    <s v="2-5 Miles"/>
    <x v="2"/>
    <n v="69"/>
    <s v="Seniors"/>
    <s v="No"/>
    <n v="0"/>
    <n v="1"/>
  </r>
  <r>
    <n v="20514"/>
    <s v="Married"/>
    <s v="Female"/>
    <n v="70000"/>
    <s v="Medium Income"/>
    <n v="2"/>
    <s v="Partial College"/>
    <s v="Professional"/>
    <s v="Yes"/>
    <n v="1"/>
    <s v="2-5 Miles"/>
    <x v="2"/>
    <n v="59"/>
    <s v="Middle-Aged"/>
    <s v="No"/>
    <n v="0"/>
    <n v="1"/>
  </r>
  <r>
    <n v="20758"/>
    <s v="Married"/>
    <s v="Male"/>
    <n v="30000"/>
    <s v="Low Income"/>
    <n v="2"/>
    <s v="High School"/>
    <s v="Skilled Manual"/>
    <s v="Yes"/>
    <n v="2"/>
    <s v="1-2 Miles"/>
    <x v="2"/>
    <n v="50"/>
    <s v="Middle-Aged"/>
    <s v="No"/>
    <n v="0"/>
    <n v="1"/>
  </r>
  <r>
    <n v="11801"/>
    <s v="Married"/>
    <s v="Male"/>
    <n v="60000"/>
    <s v="Low Income"/>
    <n v="1"/>
    <s v="Graduate Degree"/>
    <s v="Professional"/>
    <s v="Yes"/>
    <n v="0"/>
    <s v="2-5 Miles"/>
    <x v="2"/>
    <n v="36"/>
    <s v="Adults"/>
    <s v="No"/>
    <n v="0"/>
    <n v="1"/>
  </r>
  <r>
    <n v="22211"/>
    <s v="Married"/>
    <s v="Male"/>
    <n v="60000"/>
    <s v="Low Income"/>
    <n v="0"/>
    <s v="Partial College"/>
    <s v="Professional"/>
    <s v="Yes"/>
    <n v="2"/>
    <s v="5-10 Miles"/>
    <x v="2"/>
    <n v="32"/>
    <s v="Adults"/>
    <s v="No"/>
    <n v="0"/>
    <n v="1"/>
  </r>
  <r>
    <n v="28087"/>
    <s v="Single"/>
    <s v="Female"/>
    <n v="40000"/>
    <s v="Low Income"/>
    <n v="0"/>
    <s v="Partial College"/>
    <s v="Skilled Manual"/>
    <s v="No"/>
    <n v="1"/>
    <s v="1-2 Miles"/>
    <x v="2"/>
    <n v="27"/>
    <s v="Young Adults"/>
    <s v="No"/>
    <n v="0"/>
    <n v="1"/>
  </r>
  <r>
    <n v="23668"/>
    <s v="Married"/>
    <s v="Female"/>
    <n v="40000"/>
    <s v="Low Income"/>
    <n v="4"/>
    <s v="High School"/>
    <s v="Professional"/>
    <s v="Yes"/>
    <n v="2"/>
    <s v="5-10 Miles"/>
    <x v="2"/>
    <n v="59"/>
    <s v="Middle-Aged"/>
    <s v="Yes"/>
    <n v="1"/>
    <n v="1"/>
  </r>
  <r>
    <n v="27441"/>
    <s v="Married"/>
    <s v="Male"/>
    <n v="60000"/>
    <s v="Low Income"/>
    <n v="3"/>
    <s v="High School"/>
    <s v="Professional"/>
    <s v="No"/>
    <n v="2"/>
    <s v="2-5 Miles"/>
    <x v="2"/>
    <n v="53"/>
    <s v="Middle-Aged"/>
    <s v="No"/>
    <n v="0"/>
    <n v="1"/>
  </r>
  <r>
    <n v="27261"/>
    <s v="Married"/>
    <s v="Male"/>
    <n v="40000"/>
    <s v="Low Income"/>
    <n v="1"/>
    <s v="Bachelors"/>
    <s v="Skilled Manual"/>
    <s v="No"/>
    <n v="1"/>
    <s v="0-1 Miles"/>
    <x v="2"/>
    <n v="36"/>
    <s v="Adults"/>
    <s v="Yes"/>
    <n v="1"/>
    <n v="1"/>
  </r>
  <r>
    <n v="18649"/>
    <s v="Single"/>
    <s v="Male"/>
    <n v="30000"/>
    <s v="Low Income"/>
    <n v="1"/>
    <s v="High School"/>
    <s v="Clerical"/>
    <s v="Yes"/>
    <n v="2"/>
    <s v="1-2 Miles"/>
    <x v="2"/>
    <n v="51"/>
    <s v="Middle-Aged"/>
    <s v="Yes"/>
    <n v="1"/>
    <n v="1"/>
  </r>
  <r>
    <n v="21714"/>
    <s v="Single"/>
    <s v="Female"/>
    <n v="80000"/>
    <s v="Medium Income"/>
    <n v="5"/>
    <s v="Graduate Degree"/>
    <s v="Skilled Manual"/>
    <s v="No"/>
    <n v="0"/>
    <s v="0-1 Miles"/>
    <x v="2"/>
    <n v="47"/>
    <s v="Middle-Aged"/>
    <s v="No"/>
    <n v="0"/>
    <n v="1"/>
  </r>
  <r>
    <n v="23217"/>
    <s v="Single"/>
    <s v="Female"/>
    <n v="60000"/>
    <s v="Low Income"/>
    <n v="3"/>
    <s v="Graduate Degree"/>
    <s v="Professional"/>
    <s v="Yes"/>
    <n v="0"/>
    <s v="2-5 Miles"/>
    <x v="2"/>
    <n v="43"/>
    <s v="Middle-Aged"/>
    <s v="Yes"/>
    <n v="1"/>
    <n v="1"/>
  </r>
  <r>
    <n v="23797"/>
    <s v="Single"/>
    <s v="Male"/>
    <n v="20000"/>
    <s v="Low Income"/>
    <n v="3"/>
    <s v="Partial High School"/>
    <s v="Clerical"/>
    <s v="No"/>
    <n v="2"/>
    <s v="0-1 Miles"/>
    <x v="2"/>
    <n v="50"/>
    <s v="Middle-Aged"/>
    <s v="No"/>
    <n v="0"/>
    <n v="1"/>
  </r>
  <r>
    <n v="13216"/>
    <s v="Married"/>
    <s v="Female"/>
    <n v="60000"/>
    <s v="Low Income"/>
    <n v="5"/>
    <s v="Bachelors"/>
    <s v="Management"/>
    <s v="Yes"/>
    <n v="3"/>
    <s v="More than 10 Miles"/>
    <x v="2"/>
    <n v="59"/>
    <s v="Middle-Aged"/>
    <s v="No"/>
    <n v="0"/>
    <n v="1"/>
  </r>
  <r>
    <n v="20657"/>
    <s v="Single"/>
    <s v="Male"/>
    <n v="50000"/>
    <s v="Low Income"/>
    <n v="2"/>
    <s v="Bachelors"/>
    <s v="Skilled Manual"/>
    <s v="Yes"/>
    <n v="0"/>
    <s v="2-5 Miles"/>
    <x v="2"/>
    <n v="37"/>
    <s v="Adults"/>
    <s v="Yes"/>
    <n v="1"/>
    <n v="1"/>
  </r>
  <r>
    <n v="12882"/>
    <s v="Married"/>
    <s v="Male"/>
    <n v="50000"/>
    <s v="Low Income"/>
    <n v="1"/>
    <s v="Graduate Degree"/>
    <s v="Skilled Manual"/>
    <s v="Yes"/>
    <n v="0"/>
    <s v="0-1 Miles"/>
    <x v="2"/>
    <n v="33"/>
    <s v="Adults"/>
    <s v="Yes"/>
    <n v="1"/>
    <n v="1"/>
  </r>
  <r>
    <n v="25908"/>
    <s v="Married"/>
    <s v="Female"/>
    <n v="60000"/>
    <s v="Low Income"/>
    <n v="0"/>
    <s v="Partial College"/>
    <s v="Skilled Manual"/>
    <s v="No"/>
    <n v="1"/>
    <s v="1-2 Miles"/>
    <x v="2"/>
    <n v="27"/>
    <s v="Young Adults"/>
    <s v="No"/>
    <n v="0"/>
    <n v="1"/>
  </r>
  <r>
    <n v="16753"/>
    <s v="Single"/>
    <s v="Female"/>
    <n v="70000"/>
    <s v="Medium Income"/>
    <n v="0"/>
    <s v="Partial College"/>
    <s v="Skilled Manual"/>
    <s v="Yes"/>
    <n v="2"/>
    <s v="5-10 Miles"/>
    <x v="2"/>
    <n v="34"/>
    <s v="Adults"/>
    <s v="Yes"/>
    <n v="1"/>
    <n v="1"/>
  </r>
  <r>
    <n v="14608"/>
    <s v="Married"/>
    <s v="Male"/>
    <n v="50000"/>
    <s v="Low Income"/>
    <n v="4"/>
    <s v="Bachelors"/>
    <s v="Skilled Manual"/>
    <s v="Yes"/>
    <n v="3"/>
    <s v="More than 10 Miles"/>
    <x v="2"/>
    <n v="42"/>
    <s v="Middle-Aged"/>
    <s v="No"/>
    <n v="0"/>
    <n v="1"/>
  </r>
  <r>
    <n v="24979"/>
    <s v="Married"/>
    <s v="Female"/>
    <n v="60000"/>
    <s v="Low Income"/>
    <n v="2"/>
    <s v="Partial College"/>
    <s v="Professional"/>
    <s v="Yes"/>
    <n v="2"/>
    <s v="2-5 Miles"/>
    <x v="2"/>
    <n v="57"/>
    <s v="Middle-Aged"/>
    <s v="Yes"/>
    <n v="1"/>
    <n v="1"/>
  </r>
  <r>
    <n v="13313"/>
    <s v="Married"/>
    <s v="Female"/>
    <n v="120000"/>
    <s v="Medium Income"/>
    <n v="1"/>
    <s v="High School"/>
    <s v="Professional"/>
    <s v="No"/>
    <n v="4"/>
    <s v="2-5 Miles"/>
    <x v="2"/>
    <n v="45"/>
    <s v="Middle-Aged"/>
    <s v="No"/>
    <n v="0"/>
    <n v="1"/>
  </r>
  <r>
    <n v="18952"/>
    <s v="Married"/>
    <s v="Female"/>
    <n v="100000"/>
    <s v="Medium Income"/>
    <n v="4"/>
    <s v="Bachelors"/>
    <s v="Management"/>
    <s v="Yes"/>
    <n v="4"/>
    <s v="0-1 Miles"/>
    <x v="2"/>
    <n v="40"/>
    <s v="Middle-Aged"/>
    <s v="No"/>
    <n v="0"/>
    <n v="1"/>
  </r>
  <r>
    <n v="17699"/>
    <s v="Married"/>
    <s v="Male"/>
    <n v="60000"/>
    <s v="Low Income"/>
    <n v="1"/>
    <s v="Graduate Degree"/>
    <s v="Skilled Manual"/>
    <s v="No"/>
    <n v="0"/>
    <s v="0-1 Miles"/>
    <x v="2"/>
    <n v="55"/>
    <s v="Middle-Aged"/>
    <s v="No"/>
    <n v="0"/>
    <n v="1"/>
  </r>
  <r>
    <n v="14657"/>
    <s v="Married"/>
    <s v="Male"/>
    <n v="80000"/>
    <s v="Medium Income"/>
    <n v="1"/>
    <s v="Partial College"/>
    <s v="Skilled Manual"/>
    <s v="No"/>
    <n v="1"/>
    <s v="0-1 Miles"/>
    <x v="2"/>
    <n v="47"/>
    <s v="Middle-Aged"/>
    <s v="Yes"/>
    <n v="1"/>
    <n v="1"/>
  </r>
  <r>
    <n v="11540"/>
    <s v="Single"/>
    <s v="Male"/>
    <n v="60000"/>
    <s v="Low Income"/>
    <n v="4"/>
    <s v="Graduate Degree"/>
    <s v="Skilled Manual"/>
    <s v="Yes"/>
    <n v="0"/>
    <s v="1-2 Miles"/>
    <x v="2"/>
    <n v="47"/>
    <s v="Middle-Aged"/>
    <s v="Yes"/>
    <n v="1"/>
    <n v="1"/>
  </r>
  <r>
    <n v="11783"/>
    <s v="Married"/>
    <s v="Female"/>
    <n v="60000"/>
    <s v="Low Income"/>
    <n v="1"/>
    <s v="Graduate Degree"/>
    <s v="Skilled Manual"/>
    <s v="Yes"/>
    <n v="0"/>
    <s v="0-1 Miles"/>
    <x v="2"/>
    <n v="34"/>
    <s v="Adults"/>
    <s v="No"/>
    <n v="0"/>
    <n v="1"/>
  </r>
  <r>
    <n v="14602"/>
    <s v="Married"/>
    <s v="Female"/>
    <n v="80000"/>
    <s v="Medium Income"/>
    <n v="3"/>
    <s v="Graduate Degree"/>
    <s v="Professional"/>
    <s v="Yes"/>
    <n v="0"/>
    <s v="0-1 Miles"/>
    <x v="2"/>
    <n v="36"/>
    <s v="Adults"/>
    <s v="Yes"/>
    <n v="1"/>
    <n v="1"/>
  </r>
  <r>
    <n v="29030"/>
    <s v="Married"/>
    <s v="Male"/>
    <n v="70000"/>
    <s v="Medium Income"/>
    <n v="2"/>
    <s v="Partial High School"/>
    <s v="Skilled Manual"/>
    <s v="Yes"/>
    <n v="2"/>
    <s v="More than 10 Miles"/>
    <x v="2"/>
    <n v="54"/>
    <s v="Middle-Aged"/>
    <s v="No"/>
    <n v="0"/>
    <n v="1"/>
  </r>
  <r>
    <n v="26490"/>
    <s v="Single"/>
    <s v="Male"/>
    <n v="70000"/>
    <s v="Medium Income"/>
    <n v="2"/>
    <s v="Bachelors"/>
    <s v="Management"/>
    <s v="No"/>
    <n v="1"/>
    <s v="2-5 Miles"/>
    <x v="2"/>
    <n v="59"/>
    <s v="Middle-Aged"/>
    <s v="Yes"/>
    <n v="1"/>
    <n v="1"/>
  </r>
  <r>
    <n v="13151"/>
    <s v="Single"/>
    <s v="Male"/>
    <n v="40000"/>
    <s v="Low Income"/>
    <n v="0"/>
    <s v="High School"/>
    <s v="Skilled Manual"/>
    <s v="Yes"/>
    <n v="2"/>
    <s v="5-10 Miles"/>
    <x v="2"/>
    <n v="27"/>
    <s v="Young Adults"/>
    <s v="No"/>
    <n v="0"/>
    <n v="1"/>
  </r>
  <r>
    <n v="17260"/>
    <s v="Married"/>
    <s v="Male"/>
    <n v="90000"/>
    <s v="Medium Income"/>
    <n v="5"/>
    <s v="Partial College"/>
    <s v="Professional"/>
    <s v="Yes"/>
    <n v="3"/>
    <s v="0-1 Miles"/>
    <x v="2"/>
    <n v="41"/>
    <s v="Middle-Aged"/>
    <s v="No"/>
    <n v="0"/>
    <n v="1"/>
  </r>
  <r>
    <n v="15372"/>
    <s v="Married"/>
    <s v="Male"/>
    <n v="80000"/>
    <s v="Medium Income"/>
    <n v="3"/>
    <s v="Partial College"/>
    <s v="Professional"/>
    <s v="No"/>
    <n v="2"/>
    <s v="2-5 Miles"/>
    <x v="2"/>
    <n v="50"/>
    <s v="Middle-Aged"/>
    <s v="Yes"/>
    <n v="1"/>
    <n v="1"/>
  </r>
  <r>
    <n v="18105"/>
    <s v="Married"/>
    <s v="Female"/>
    <n v="60000"/>
    <s v="Low Income"/>
    <n v="2"/>
    <s v="Partial College"/>
    <s v="Professional"/>
    <s v="Yes"/>
    <n v="1"/>
    <s v="More than 10 Miles"/>
    <x v="2"/>
    <n v="55"/>
    <s v="Middle-Aged"/>
    <s v="No"/>
    <n v="0"/>
    <n v="1"/>
  </r>
  <r>
    <n v="19660"/>
    <s v="Married"/>
    <s v="Male"/>
    <n v="80000"/>
    <s v="Medium Income"/>
    <n v="4"/>
    <s v="Bachelors"/>
    <s v="Management"/>
    <s v="Yes"/>
    <n v="0"/>
    <s v="0-1 Miles"/>
    <x v="2"/>
    <n v="43"/>
    <s v="Middle-Aged"/>
    <s v="No"/>
    <n v="0"/>
    <n v="1"/>
  </r>
  <r>
    <n v="16112"/>
    <s v="Single"/>
    <s v="Male"/>
    <n v="70000"/>
    <s v="Medium Income"/>
    <n v="4"/>
    <s v="Bachelors"/>
    <s v="Professional"/>
    <s v="Yes"/>
    <n v="2"/>
    <s v="2-5 Miles"/>
    <x v="2"/>
    <n v="43"/>
    <s v="Middle-Aged"/>
    <s v="Yes"/>
    <n v="1"/>
    <n v="1"/>
  </r>
  <r>
    <n v="20698"/>
    <s v="Married"/>
    <s v="Male"/>
    <n v="60000"/>
    <s v="Low Income"/>
    <n v="4"/>
    <s v="Bachelors"/>
    <s v="Skilled Manual"/>
    <s v="Yes"/>
    <n v="3"/>
    <s v="5-10 Miles"/>
    <x v="2"/>
    <n v="42"/>
    <s v="Middle-Aged"/>
    <s v="No"/>
    <n v="0"/>
    <n v="1"/>
  </r>
  <r>
    <n v="20076"/>
    <s v="Single"/>
    <s v="Female"/>
    <n v="10000"/>
    <s v="Low Income"/>
    <n v="2"/>
    <s v="High School"/>
    <s v="Manual"/>
    <s v="Yes"/>
    <n v="2"/>
    <s v="1-2 Miles"/>
    <x v="2"/>
    <n v="53"/>
    <s v="Middle-Aged"/>
    <s v="Yes"/>
    <n v="1"/>
    <n v="1"/>
  </r>
  <r>
    <n v="24496"/>
    <s v="Single"/>
    <s v="Female"/>
    <n v="40000"/>
    <s v="Low Income"/>
    <n v="0"/>
    <s v="High School"/>
    <s v="Skilled Manual"/>
    <s v="No"/>
    <n v="2"/>
    <s v="0-1 Miles"/>
    <x v="2"/>
    <n v="28"/>
    <s v="Young Adults"/>
    <s v="Yes"/>
    <n v="1"/>
    <n v="1"/>
  </r>
  <r>
    <n v="15468"/>
    <s v="Married"/>
    <s v="Female"/>
    <n v="50000"/>
    <s v="Low Income"/>
    <n v="1"/>
    <s v="Bachelors"/>
    <s v="Skilled Manual"/>
    <s v="Yes"/>
    <n v="1"/>
    <s v="0-1 Miles"/>
    <x v="2"/>
    <n v="35"/>
    <s v="Adults"/>
    <s v="No"/>
    <n v="0"/>
    <n v="1"/>
  </r>
  <r>
    <n v="28031"/>
    <s v="Single"/>
    <s v="Female"/>
    <n v="70000"/>
    <s v="Medium Income"/>
    <n v="2"/>
    <s v="Bachelors"/>
    <s v="Management"/>
    <s v="No"/>
    <n v="1"/>
    <s v="2-5 Miles"/>
    <x v="2"/>
    <n v="59"/>
    <s v="Middle-Aged"/>
    <s v="Yes"/>
    <n v="1"/>
    <n v="1"/>
  </r>
  <r>
    <n v="26270"/>
    <s v="Single"/>
    <s v="Female"/>
    <n v="20000"/>
    <s v="Low Income"/>
    <n v="2"/>
    <s v="Partial High School"/>
    <s v="Clerical"/>
    <s v="Yes"/>
    <n v="2"/>
    <s v="1-2 Miles"/>
    <x v="2"/>
    <n v="49"/>
    <s v="Middle-Aged"/>
    <s v="No"/>
    <n v="0"/>
    <n v="1"/>
  </r>
  <r>
    <n v="22221"/>
    <s v="Married"/>
    <s v="Male"/>
    <n v="60000"/>
    <s v="Low Income"/>
    <n v="2"/>
    <s v="High School"/>
    <s v="Professional"/>
    <s v="No"/>
    <n v="2"/>
    <s v="1-2 Miles"/>
    <x v="2"/>
    <n v="48"/>
    <s v="Middle-Aged"/>
    <s v="Yes"/>
    <n v="1"/>
    <n v="1"/>
  </r>
  <r>
    <n v="28228"/>
    <s v="Single"/>
    <s v="Female"/>
    <n v="80000"/>
    <s v="Medium Income"/>
    <n v="2"/>
    <s v="Partial High School"/>
    <s v="Skilled Manual"/>
    <s v="No"/>
    <n v="2"/>
    <s v="1-2 Miles"/>
    <x v="2"/>
    <n v="50"/>
    <s v="Middle-Aged"/>
    <s v="No"/>
    <n v="0"/>
    <n v="1"/>
  </r>
  <r>
    <n v="18363"/>
    <s v="Married"/>
    <s v="Male"/>
    <n v="40000"/>
    <s v="Low Income"/>
    <n v="0"/>
    <s v="High School"/>
    <s v="Skilled Manual"/>
    <s v="Yes"/>
    <n v="2"/>
    <s v="5-10 Miles"/>
    <x v="2"/>
    <n v="28"/>
    <s v="Young Adults"/>
    <s v="Yes"/>
    <n v="1"/>
    <n v="1"/>
  </r>
  <r>
    <n v="23256"/>
    <s v="Single"/>
    <s v="Male"/>
    <n v="30000"/>
    <s v="Low Income"/>
    <n v="1"/>
    <s v="High School"/>
    <s v="Clerical"/>
    <s v="No"/>
    <n v="1"/>
    <s v="5-10 Miles"/>
    <x v="2"/>
    <n v="52"/>
    <s v="Middle-Aged"/>
    <s v="No"/>
    <n v="0"/>
    <n v="1"/>
  </r>
  <r>
    <n v="12768"/>
    <s v="Married"/>
    <s v="Male"/>
    <n v="30000"/>
    <s v="Low Income"/>
    <n v="1"/>
    <s v="High School"/>
    <s v="Clerical"/>
    <s v="Yes"/>
    <n v="1"/>
    <s v="2-5 Miles"/>
    <x v="2"/>
    <n v="52"/>
    <s v="Middle-Aged"/>
    <s v="Yes"/>
    <n v="1"/>
    <n v="1"/>
  </r>
  <r>
    <n v="20361"/>
    <s v="Married"/>
    <s v="Male"/>
    <n v="50000"/>
    <s v="Low Income"/>
    <n v="2"/>
    <s v="Graduate Degree"/>
    <s v="Management"/>
    <s v="Yes"/>
    <n v="2"/>
    <s v="5-10 Miles"/>
    <x v="2"/>
    <n v="69"/>
    <s v="Seniors"/>
    <s v="No"/>
    <n v="0"/>
    <n v="1"/>
  </r>
  <r>
    <n v="21306"/>
    <s v="Single"/>
    <s v="Male"/>
    <n v="60000"/>
    <s v="Low Income"/>
    <n v="2"/>
    <s v="High School"/>
    <s v="Professional"/>
    <s v="Yes"/>
    <n v="2"/>
    <s v="5-10 Miles"/>
    <x v="2"/>
    <n v="51"/>
    <s v="Middle-Aged"/>
    <s v="No"/>
    <n v="0"/>
    <n v="1"/>
  </r>
  <r>
    <n v="13382"/>
    <s v="Married"/>
    <s v="Male"/>
    <n v="70000"/>
    <s v="Medium Income"/>
    <n v="5"/>
    <s v="Partial College"/>
    <s v="Professional"/>
    <s v="Yes"/>
    <n v="2"/>
    <s v="1-2 Miles"/>
    <x v="2"/>
    <n v="57"/>
    <s v="Middle-Aged"/>
    <s v="Yes"/>
    <n v="1"/>
    <n v="1"/>
  </r>
  <r>
    <n v="20310"/>
    <s v="Single"/>
    <s v="Male"/>
    <n v="60000"/>
    <s v="Low Income"/>
    <n v="0"/>
    <s v="Partial College"/>
    <s v="Skilled Manual"/>
    <s v="Yes"/>
    <n v="1"/>
    <s v="5-10 Miles"/>
    <x v="2"/>
    <n v="27"/>
    <s v="Young Adults"/>
    <s v="Yes"/>
    <n v="1"/>
    <n v="1"/>
  </r>
  <r>
    <n v="22971"/>
    <s v="Single"/>
    <s v="Female"/>
    <n v="30000"/>
    <s v="Low Income"/>
    <n v="0"/>
    <s v="High School"/>
    <s v="Skilled Manual"/>
    <s v="No"/>
    <n v="2"/>
    <s v="0-1 Miles"/>
    <x v="2"/>
    <n v="25"/>
    <s v="Young Adults"/>
    <s v="Yes"/>
    <n v="1"/>
    <n v="1"/>
  </r>
  <r>
    <n v="15287"/>
    <s v="Single"/>
    <s v="Female"/>
    <n v="50000"/>
    <s v="Low Income"/>
    <n v="1"/>
    <s v="Graduate Degree"/>
    <s v="Skilled Manual"/>
    <s v="Yes"/>
    <n v="0"/>
    <s v="1-2 Miles"/>
    <x v="2"/>
    <n v="33"/>
    <s v="Adults"/>
    <s v="Yes"/>
    <n v="1"/>
    <n v="1"/>
  </r>
  <r>
    <n v="15532"/>
    <s v="Single"/>
    <s v="Male"/>
    <n v="60000"/>
    <s v="Low Income"/>
    <n v="4"/>
    <s v="Bachelors"/>
    <s v="Professional"/>
    <s v="Yes"/>
    <n v="2"/>
    <s v="2-5 Miles"/>
    <x v="2"/>
    <n v="43"/>
    <s v="Middle-Aged"/>
    <s v="Yes"/>
    <n v="1"/>
    <n v="1"/>
  </r>
  <r>
    <n v="11255"/>
    <s v="Married"/>
    <s v="Male"/>
    <n v="70000"/>
    <s v="Medium Income"/>
    <n v="4"/>
    <s v="Graduate Degree"/>
    <s v="Management"/>
    <s v="Yes"/>
    <n v="2"/>
    <s v="5-10 Miles"/>
    <x v="2"/>
    <n v="73"/>
    <s v="Seniors"/>
    <s v="No"/>
    <n v="0"/>
    <n v="1"/>
  </r>
  <r>
    <n v="28090"/>
    <s v="Married"/>
    <s v="Male"/>
    <n v="40000"/>
    <s v="Low Income"/>
    <n v="0"/>
    <s v="Partial College"/>
    <s v="Skilled Manual"/>
    <s v="Yes"/>
    <n v="1"/>
    <s v="5-10 Miles"/>
    <x v="2"/>
    <n v="27"/>
    <s v="Young Adults"/>
    <s v="No"/>
    <n v="0"/>
    <n v="1"/>
  </r>
  <r>
    <n v="15255"/>
    <s v="Married"/>
    <s v="Male"/>
    <n v="40000"/>
    <s v="Low Income"/>
    <n v="0"/>
    <s v="High School"/>
    <s v="Skilled Manual"/>
    <s v="Yes"/>
    <n v="2"/>
    <s v="5-10 Miles"/>
    <x v="2"/>
    <n v="28"/>
    <s v="Young Adults"/>
    <s v="Yes"/>
    <n v="1"/>
    <n v="1"/>
  </r>
  <r>
    <n v="13154"/>
    <s v="Married"/>
    <s v="Male"/>
    <n v="40000"/>
    <s v="Low Income"/>
    <n v="0"/>
    <s v="High School"/>
    <s v="Skilled Manual"/>
    <s v="No"/>
    <n v="2"/>
    <s v="0-1 Miles"/>
    <x v="2"/>
    <n v="27"/>
    <s v="Young Adults"/>
    <s v="Yes"/>
    <n v="1"/>
    <n v="1"/>
  </r>
  <r>
    <n v="26778"/>
    <s v="Single"/>
    <s v="Female"/>
    <n v="40000"/>
    <s v="Low Income"/>
    <n v="0"/>
    <s v="High School"/>
    <s v="Skilled Manual"/>
    <s v="Yes"/>
    <n v="2"/>
    <s v="5-10 Miles"/>
    <x v="2"/>
    <n v="31"/>
    <s v="Adults"/>
    <s v="No"/>
    <n v="0"/>
    <n v="1"/>
  </r>
  <r>
    <n v="23248"/>
    <s v="Married"/>
    <s v="Female"/>
    <n v="10000"/>
    <s v="Low Income"/>
    <n v="2"/>
    <s v="High School"/>
    <s v="Manual"/>
    <s v="Yes"/>
    <n v="2"/>
    <s v="1-2 Miles"/>
    <x v="2"/>
    <n v="53"/>
    <s v="Middle-Aged"/>
    <s v="No"/>
    <n v="0"/>
    <n v="1"/>
  </r>
  <r>
    <n v="21417"/>
    <s v="Single"/>
    <s v="Female"/>
    <n v="60000"/>
    <s v="Low Income"/>
    <n v="0"/>
    <s v="Partial College"/>
    <s v="Professional"/>
    <s v="No"/>
    <n v="2"/>
    <s v="1-2 Miles"/>
    <x v="2"/>
    <n v="32"/>
    <s v="Adults"/>
    <s v="Yes"/>
    <n v="1"/>
    <n v="1"/>
  </r>
  <r>
    <n v="17668"/>
    <s v="Single"/>
    <s v="Male"/>
    <n v="30000"/>
    <s v="Low Income"/>
    <n v="2"/>
    <s v="High School"/>
    <s v="Skilled Manual"/>
    <s v="Yes"/>
    <n v="2"/>
    <s v="1-2 Miles"/>
    <x v="2"/>
    <n v="50"/>
    <s v="Middle-Aged"/>
    <s v="Yes"/>
    <n v="1"/>
    <n v="1"/>
  </r>
  <r>
    <n v="27994"/>
    <s v="Married"/>
    <s v="Female"/>
    <n v="40000"/>
    <s v="Low Income"/>
    <n v="4"/>
    <s v="High School"/>
    <s v="Professional"/>
    <s v="Yes"/>
    <n v="2"/>
    <s v="5-10 Miles"/>
    <x v="2"/>
    <n v="69"/>
    <s v="Seniors"/>
    <s v="No"/>
    <n v="0"/>
    <n v="1"/>
  </r>
  <r>
    <n v="20376"/>
    <s v="Single"/>
    <s v="Female"/>
    <n v="70000"/>
    <s v="Medium Income"/>
    <n v="3"/>
    <s v="Graduate Degree"/>
    <s v="Management"/>
    <s v="Yes"/>
    <n v="2"/>
    <s v="5-10 Miles"/>
    <x v="2"/>
    <n v="52"/>
    <s v="Middle-Aged"/>
    <s v="Yes"/>
    <n v="1"/>
    <n v="1"/>
  </r>
  <r>
    <n v="25954"/>
    <s v="Married"/>
    <s v="Male"/>
    <n v="60000"/>
    <s v="Low Income"/>
    <n v="0"/>
    <s v="Partial College"/>
    <s v="Skilled Manual"/>
    <s v="No"/>
    <n v="2"/>
    <s v="1-2 Miles"/>
    <x v="2"/>
    <n v="31"/>
    <s v="Adults"/>
    <s v="No"/>
    <n v="0"/>
    <n v="1"/>
  </r>
  <r>
    <n v="15749"/>
    <s v="Single"/>
    <s v="Female"/>
    <n v="70000"/>
    <s v="Medium Income"/>
    <n v="4"/>
    <s v="Bachelors"/>
    <s v="Management"/>
    <s v="Yes"/>
    <n v="2"/>
    <s v="More than 10 Miles"/>
    <x v="2"/>
    <n v="61"/>
    <s v="Seniors"/>
    <s v="No"/>
    <n v="0"/>
    <n v="1"/>
  </r>
  <r>
    <n v="25899"/>
    <s v="Married"/>
    <s v="Female"/>
    <n v="70000"/>
    <s v="Medium Income"/>
    <n v="2"/>
    <s v="High School"/>
    <s v="Professional"/>
    <s v="Yes"/>
    <n v="2"/>
    <s v="More than 10 Miles"/>
    <x v="2"/>
    <n v="53"/>
    <s v="Middle-Aged"/>
    <s v="No"/>
    <n v="0"/>
    <n v="1"/>
  </r>
  <r>
    <n v="13351"/>
    <s v="Single"/>
    <s v="Female"/>
    <n v="70000"/>
    <s v="Medium Income"/>
    <n v="4"/>
    <s v="Bachelors"/>
    <s v="Management"/>
    <s v="Yes"/>
    <n v="2"/>
    <s v="1-2 Miles"/>
    <x v="2"/>
    <n v="62"/>
    <s v="Seniors"/>
    <s v="Yes"/>
    <n v="1"/>
    <n v="1"/>
  </r>
  <r>
    <n v="23333"/>
    <s v="Married"/>
    <s v="Male"/>
    <n v="40000"/>
    <s v="Low Income"/>
    <n v="0"/>
    <s v="Partial College"/>
    <s v="Skilled Manual"/>
    <s v="No"/>
    <n v="2"/>
    <s v="1-2 Miles"/>
    <x v="2"/>
    <n v="30"/>
    <s v="Adults"/>
    <s v="No"/>
    <n v="0"/>
    <n v="1"/>
  </r>
  <r>
    <n v="21660"/>
    <s v="Married"/>
    <s v="Female"/>
    <n v="60000"/>
    <s v="Low Income"/>
    <n v="3"/>
    <s v="Graduate Degree"/>
    <s v="Professional"/>
    <s v="Yes"/>
    <n v="0"/>
    <s v="2-5 Miles"/>
    <x v="2"/>
    <n v="43"/>
    <s v="Middle-Aged"/>
    <s v="Yes"/>
    <n v="1"/>
    <n v="1"/>
  </r>
  <r>
    <n v="17012"/>
    <s v="Married"/>
    <s v="Female"/>
    <n v="60000"/>
    <s v="Low Income"/>
    <n v="3"/>
    <s v="Graduate Degree"/>
    <s v="Professional"/>
    <s v="Yes"/>
    <n v="0"/>
    <s v="2-5 Miles"/>
    <x v="2"/>
    <n v="42"/>
    <s v="Middle-Aged"/>
    <s v="Yes"/>
    <n v="1"/>
    <n v="1"/>
  </r>
  <r>
    <n v="24514"/>
    <s v="Married"/>
    <s v="Male"/>
    <n v="40000"/>
    <s v="Low Income"/>
    <n v="0"/>
    <s v="Partial College"/>
    <s v="Skilled Manual"/>
    <s v="Yes"/>
    <n v="1"/>
    <s v="5-10 Miles"/>
    <x v="2"/>
    <n v="30"/>
    <s v="Adults"/>
    <s v="No"/>
    <n v="0"/>
    <n v="1"/>
  </r>
  <r>
    <n v="27505"/>
    <s v="Single"/>
    <s v="Female"/>
    <n v="40000"/>
    <s v="Low Income"/>
    <n v="0"/>
    <s v="High School"/>
    <s v="Skilled Manual"/>
    <s v="Yes"/>
    <n v="2"/>
    <s v="5-10 Miles"/>
    <x v="2"/>
    <n v="30"/>
    <s v="Adults"/>
    <s v="No"/>
    <n v="0"/>
    <n v="1"/>
  </r>
  <r>
    <n v="29243"/>
    <s v="Single"/>
    <s v="Male"/>
    <n v="110000"/>
    <s v="Medium Income"/>
    <n v="1"/>
    <s v="Bachelors"/>
    <s v="Management"/>
    <s v="Yes"/>
    <n v="1"/>
    <s v="5-10 Miles"/>
    <x v="2"/>
    <n v="43"/>
    <s v="Middle-Aged"/>
    <s v="No"/>
    <n v="0"/>
    <n v="1"/>
  </r>
  <r>
    <n v="26582"/>
    <s v="Married"/>
    <s v="Male"/>
    <n v="60000"/>
    <s v="Low Income"/>
    <n v="0"/>
    <s v="Partial College"/>
    <s v="Skilled Manual"/>
    <s v="Yes"/>
    <n v="2"/>
    <s v="5-10 Miles"/>
    <x v="2"/>
    <n v="33"/>
    <s v="Adults"/>
    <s v="Yes"/>
    <n v="1"/>
    <n v="1"/>
  </r>
  <r>
    <n v="14271"/>
    <s v="Married"/>
    <s v="Male"/>
    <n v="30000"/>
    <s v="Low Income"/>
    <n v="0"/>
    <s v="High School"/>
    <s v="Skilled Manual"/>
    <s v="Yes"/>
    <n v="2"/>
    <s v="5-10 Miles"/>
    <x v="2"/>
    <n v="32"/>
    <s v="Adults"/>
    <s v="No"/>
    <n v="0"/>
    <n v="1"/>
  </r>
  <r>
    <n v="23041"/>
    <s v="Single"/>
    <s v="Female"/>
    <n v="70000"/>
    <s v="Medium Income"/>
    <n v="4"/>
    <s v="High School"/>
    <s v="Professional"/>
    <s v="Yes"/>
    <n v="0"/>
    <s v="5-10 Miles"/>
    <x v="2"/>
    <n v="50"/>
    <s v="Middle-Aged"/>
    <s v="Yes"/>
    <n v="1"/>
    <n v="1"/>
  </r>
  <r>
    <n v="29048"/>
    <s v="Single"/>
    <s v="Male"/>
    <n v="110000"/>
    <s v="Medium Income"/>
    <n v="2"/>
    <s v="Bachelors"/>
    <s v="Management"/>
    <s v="No"/>
    <n v="3"/>
    <s v="0-1 Miles"/>
    <x v="2"/>
    <n v="37"/>
    <s v="Adults"/>
    <s v="Yes"/>
    <n v="1"/>
    <n v="1"/>
  </r>
  <r>
    <n v="24433"/>
    <s v="Married"/>
    <s v="Male"/>
    <n v="70000"/>
    <s v="Medium Income"/>
    <n v="3"/>
    <s v="High School"/>
    <s v="Professional"/>
    <s v="No"/>
    <n v="1"/>
    <s v="1-2 Miles"/>
    <x v="2"/>
    <n v="52"/>
    <s v="Middle-Aged"/>
    <s v="Yes"/>
    <n v="1"/>
    <n v="1"/>
  </r>
  <r>
    <n v="15501"/>
    <s v="Married"/>
    <s v="Male"/>
    <n v="70000"/>
    <s v="Medium Income"/>
    <n v="4"/>
    <s v="Graduate Degree"/>
    <s v="Professional"/>
    <s v="Yes"/>
    <n v="0"/>
    <s v="2-5 Miles"/>
    <x v="2"/>
    <n v="36"/>
    <s v="Adults"/>
    <s v="Yes"/>
    <n v="1"/>
    <n v="1"/>
  </r>
  <r>
    <n v="13911"/>
    <s v="Single"/>
    <s v="Female"/>
    <n v="80000"/>
    <s v="Medium Income"/>
    <n v="3"/>
    <s v="Bachelors"/>
    <s v="Skilled Manual"/>
    <s v="Yes"/>
    <n v="2"/>
    <s v="2-5 Miles"/>
    <x v="2"/>
    <n v="41"/>
    <s v="Middle-Aged"/>
    <s v="Yes"/>
    <n v="1"/>
    <n v="1"/>
  </r>
  <r>
    <n v="20421"/>
    <s v="Single"/>
    <s v="Female"/>
    <n v="40000"/>
    <s v="Low Income"/>
    <n v="0"/>
    <s v="Partial High School"/>
    <s v="Clerical"/>
    <s v="Yes"/>
    <n v="2"/>
    <s v="5-10 Miles"/>
    <x v="2"/>
    <n v="26"/>
    <s v="Young Adults"/>
    <s v="No"/>
    <n v="0"/>
    <n v="1"/>
  </r>
  <r>
    <n v="16009"/>
    <s v="Single"/>
    <s v="Male"/>
    <n v="170000"/>
    <s v="High Income"/>
    <n v="1"/>
    <s v="Graduate Degree"/>
    <s v="Management"/>
    <s v="No"/>
    <n v="4"/>
    <s v="0-1 Miles"/>
    <x v="2"/>
    <n v="66"/>
    <s v="Seniors"/>
    <s v="No"/>
    <n v="0"/>
    <n v="1"/>
  </r>
  <r>
    <n v="18411"/>
    <s v="Married"/>
    <s v="Male"/>
    <n v="60000"/>
    <s v="Low Income"/>
    <n v="2"/>
    <s v="High School"/>
    <s v="Professional"/>
    <s v="No"/>
    <n v="2"/>
    <s v="5-10 Miles"/>
    <x v="2"/>
    <n v="51"/>
    <s v="Middle-Aged"/>
    <s v="No"/>
    <n v="0"/>
    <n v="1"/>
  </r>
  <r>
    <n v="19163"/>
    <s v="Married"/>
    <s v="Female"/>
    <n v="70000"/>
    <s v="Medium Income"/>
    <n v="4"/>
    <s v="Bachelors"/>
    <s v="Professional"/>
    <s v="Yes"/>
    <n v="2"/>
    <s v="0-1 Miles"/>
    <x v="2"/>
    <n v="43"/>
    <s v="Middle-Aged"/>
    <s v="Yes"/>
    <n v="1"/>
    <n v="1"/>
  </r>
  <r>
    <n v="18572"/>
    <s v="Married"/>
    <s v="Female"/>
    <n v="60000"/>
    <s v="Low Income"/>
    <n v="0"/>
    <s v="Graduate Degree"/>
    <s v="Professional"/>
    <s v="Yes"/>
    <n v="0"/>
    <s v="0-1 Miles"/>
    <x v="2"/>
    <n v="39"/>
    <s v="Adults"/>
    <s v="No"/>
    <n v="0"/>
    <n v="1"/>
  </r>
  <r>
    <n v="27540"/>
    <s v="Single"/>
    <s v="Female"/>
    <n v="70000"/>
    <s v="Medium Income"/>
    <n v="0"/>
    <s v="Bachelors"/>
    <s v="Professional"/>
    <s v="No"/>
    <n v="1"/>
    <s v="0-1 Miles"/>
    <x v="2"/>
    <n v="37"/>
    <s v="Adults"/>
    <s v="Yes"/>
    <n v="1"/>
    <n v="1"/>
  </r>
  <r>
    <n v="19889"/>
    <s v="Single"/>
    <s v="Female"/>
    <n v="70000"/>
    <s v="Medium Income"/>
    <n v="2"/>
    <s v="Partial High School"/>
    <s v="Skilled Manual"/>
    <s v="No"/>
    <n v="2"/>
    <s v="2-5 Miles"/>
    <x v="2"/>
    <n v="54"/>
    <s v="Middle-Aged"/>
    <s v="Yes"/>
    <n v="1"/>
    <n v="1"/>
  </r>
  <r>
    <n v="12922"/>
    <s v="Single"/>
    <s v="Female"/>
    <n v="60000"/>
    <s v="Low Income"/>
    <n v="3"/>
    <s v="Bachelors"/>
    <s v="Skilled Manual"/>
    <s v="Yes"/>
    <n v="0"/>
    <s v="2-5 Miles"/>
    <x v="2"/>
    <n v="40"/>
    <s v="Middle-Aged"/>
    <s v="Yes"/>
    <n v="1"/>
    <n v="1"/>
  </r>
  <r>
    <n v="18891"/>
    <s v="Married"/>
    <s v="Female"/>
    <n v="40000"/>
    <s v="Low Income"/>
    <n v="0"/>
    <s v="Partial College"/>
    <s v="Skilled Manual"/>
    <s v="Yes"/>
    <n v="2"/>
    <s v="5-10 Miles"/>
    <x v="2"/>
    <n v="28"/>
    <s v="Young Adults"/>
    <s v="No"/>
    <n v="0"/>
    <n v="1"/>
  </r>
  <r>
    <n v="16773"/>
    <s v="Married"/>
    <s v="Male"/>
    <n v="60000"/>
    <s v="Low Income"/>
    <n v="1"/>
    <s v="Graduate Degree"/>
    <s v="Skilled Manual"/>
    <s v="Yes"/>
    <n v="0"/>
    <s v="0-1 Miles"/>
    <x v="2"/>
    <n v="33"/>
    <s v="Adults"/>
    <s v="No"/>
    <n v="0"/>
    <n v="1"/>
  </r>
  <r>
    <n v="19143"/>
    <s v="Single"/>
    <s v="Female"/>
    <n v="80000"/>
    <s v="Medium Income"/>
    <n v="3"/>
    <s v="Bachelors"/>
    <s v="Skilled Manual"/>
    <s v="Yes"/>
    <n v="2"/>
    <s v="2-5 Miles"/>
    <x v="2"/>
    <n v="41"/>
    <s v="Middle-Aged"/>
    <s v="Yes"/>
    <n v="1"/>
    <n v="1"/>
  </r>
  <r>
    <n v="23882"/>
    <s v="Single"/>
    <s v="Female"/>
    <n v="80000"/>
    <s v="Medium Income"/>
    <n v="3"/>
    <s v="Graduate Degree"/>
    <s v="Professional"/>
    <s v="Yes"/>
    <n v="0"/>
    <s v="0-1 Miles"/>
    <x v="2"/>
    <n v="37"/>
    <s v="Adults"/>
    <s v="Yes"/>
    <n v="1"/>
    <n v="1"/>
  </r>
  <r>
    <n v="11233"/>
    <s v="Married"/>
    <s v="Male"/>
    <n v="70000"/>
    <s v="Medium Income"/>
    <n v="4"/>
    <s v="Partial College"/>
    <s v="Professional"/>
    <s v="Yes"/>
    <n v="2"/>
    <s v="More than 10 Miles"/>
    <x v="2"/>
    <n v="53"/>
    <s v="Middle-Aged"/>
    <s v="No"/>
    <n v="0"/>
    <n v="1"/>
  </r>
  <r>
    <n v="12056"/>
    <s v="Married"/>
    <s v="Male"/>
    <n v="120000"/>
    <s v="Medium Income"/>
    <n v="2"/>
    <s v="Graduate Degree"/>
    <s v="Management"/>
    <s v="Yes"/>
    <n v="3"/>
    <s v="5-10 Miles"/>
    <x v="2"/>
    <n v="64"/>
    <s v="Seniors"/>
    <s v="No"/>
    <n v="0"/>
    <n v="1"/>
  </r>
  <r>
    <n v="15555"/>
    <s v="Married"/>
    <s v="Female"/>
    <n v="60000"/>
    <s v="Low Income"/>
    <n v="1"/>
    <s v="Partial College"/>
    <s v="Skilled Manual"/>
    <s v="Yes"/>
    <n v="1"/>
    <s v="2-5 Miles"/>
    <x v="2"/>
    <n v="45"/>
    <s v="Middle-Aged"/>
    <s v="Yes"/>
    <n v="1"/>
    <n v="1"/>
  </r>
  <r>
    <n v="18423"/>
    <s v="Single"/>
    <s v="Male"/>
    <n v="80000"/>
    <s v="Medium Income"/>
    <n v="2"/>
    <s v="Partial High School"/>
    <s v="Skilled Manual"/>
    <s v="No"/>
    <n v="2"/>
    <s v="1-2 Miles"/>
    <x v="2"/>
    <n v="52"/>
    <s v="Middle-Aged"/>
    <s v="No"/>
    <n v="0"/>
    <n v="1"/>
  </r>
  <r>
    <n v="22743"/>
    <s v="Married"/>
    <s v="Female"/>
    <n v="40000"/>
    <s v="Low Income"/>
    <n v="5"/>
    <s v="High School"/>
    <s v="Professional"/>
    <s v="Yes"/>
    <n v="2"/>
    <s v="More than 10 Miles"/>
    <x v="2"/>
    <n v="60"/>
    <s v="Seniors"/>
    <s v="No"/>
    <n v="0"/>
    <n v="1"/>
  </r>
  <r>
    <n v="25343"/>
    <s v="Single"/>
    <s v="Female"/>
    <n v="20000"/>
    <s v="Low Income"/>
    <n v="3"/>
    <s v="Partial High School"/>
    <s v="Clerical"/>
    <s v="Yes"/>
    <n v="2"/>
    <s v="1-2 Miles"/>
    <x v="2"/>
    <n v="50"/>
    <s v="Middle-Aged"/>
    <s v="No"/>
    <n v="0"/>
    <n v="1"/>
  </r>
  <r>
    <n v="13390"/>
    <s v="Married"/>
    <s v="Female"/>
    <n v="70000"/>
    <s v="Medium Income"/>
    <n v="4"/>
    <s v="Partial College"/>
    <s v="Professional"/>
    <s v="No"/>
    <n v="1"/>
    <s v="1-2 Miles"/>
    <x v="2"/>
    <n v="56"/>
    <s v="Middle-Aged"/>
    <s v="No"/>
    <n v="0"/>
    <n v="1"/>
  </r>
  <r>
    <n v="17482"/>
    <s v="Single"/>
    <s v="Female"/>
    <n v="40000"/>
    <s v="Low Income"/>
    <n v="0"/>
    <s v="Partial High School"/>
    <s v="Clerical"/>
    <s v="Yes"/>
    <n v="2"/>
    <s v="5-10 Miles"/>
    <x v="2"/>
    <n v="29"/>
    <s v="Young Adults"/>
    <s v="No"/>
    <n v="0"/>
    <n v="1"/>
  </r>
  <r>
    <n v="13176"/>
    <s v="Single"/>
    <s v="Male"/>
    <n v="130000"/>
    <s v="High Income"/>
    <n v="0"/>
    <s v="Graduate Degree"/>
    <s v="Management"/>
    <s v="No"/>
    <n v="2"/>
    <s v="0-1 Miles"/>
    <x v="2"/>
    <n v="38"/>
    <s v="Adults"/>
    <s v="Yes"/>
    <n v="1"/>
    <n v="1"/>
  </r>
  <r>
    <n v="20504"/>
    <s v="Married"/>
    <s v="Female"/>
    <n v="40000"/>
    <s v="Low Income"/>
    <n v="5"/>
    <s v="High School"/>
    <s v="Professional"/>
    <s v="No"/>
    <n v="2"/>
    <s v="2-5 Miles"/>
    <x v="2"/>
    <n v="60"/>
    <s v="Seniors"/>
    <s v="No"/>
    <n v="0"/>
    <n v="1"/>
  </r>
  <r>
    <n v="12205"/>
    <s v="Single"/>
    <s v="Female"/>
    <n v="130000"/>
    <s v="High Income"/>
    <n v="2"/>
    <s v="Bachelors"/>
    <s v="Management"/>
    <s v="No"/>
    <n v="4"/>
    <s v="0-1 Miles"/>
    <x v="2"/>
    <n v="67"/>
    <s v="Seniors"/>
    <s v="No"/>
    <n v="0"/>
    <n v="1"/>
  </r>
  <r>
    <n v="16751"/>
    <s v="Married"/>
    <s v="Male"/>
    <n v="60000"/>
    <s v="Low Income"/>
    <n v="0"/>
    <s v="Partial College"/>
    <s v="Skilled Manual"/>
    <s v="Yes"/>
    <n v="1"/>
    <s v="5-10 Miles"/>
    <x v="2"/>
    <n v="32"/>
    <s v="Adults"/>
    <s v="Yes"/>
    <n v="1"/>
    <n v="1"/>
  </r>
  <r>
    <n v="21613"/>
    <s v="Single"/>
    <s v="Male"/>
    <n v="50000"/>
    <s v="Low Income"/>
    <n v="2"/>
    <s v="Bachelors"/>
    <s v="Skilled Manual"/>
    <s v="No"/>
    <n v="1"/>
    <s v="0-1 Miles"/>
    <x v="2"/>
    <n v="39"/>
    <s v="Adults"/>
    <s v="Yes"/>
    <n v="1"/>
    <n v="1"/>
  </r>
  <r>
    <n v="24801"/>
    <s v="Single"/>
    <s v="Male"/>
    <n v="60000"/>
    <s v="Low Income"/>
    <n v="1"/>
    <s v="Graduate Degree"/>
    <s v="Professional"/>
    <s v="Yes"/>
    <n v="0"/>
    <s v="2-5 Miles"/>
    <x v="2"/>
    <n v="35"/>
    <s v="Adults"/>
    <s v="Yes"/>
    <n v="1"/>
    <n v="1"/>
  </r>
  <r>
    <n v="17519"/>
    <s v="Married"/>
    <s v="Female"/>
    <n v="60000"/>
    <s v="Low Income"/>
    <n v="0"/>
    <s v="Partial College"/>
    <s v="Professional"/>
    <s v="Yes"/>
    <n v="2"/>
    <s v="5-10 Miles"/>
    <x v="2"/>
    <n v="32"/>
    <s v="Adults"/>
    <s v="No"/>
    <n v="0"/>
    <n v="1"/>
  </r>
  <r>
    <n v="18347"/>
    <s v="Single"/>
    <s v="Female"/>
    <n v="30000"/>
    <s v="Low Income"/>
    <n v="0"/>
    <s v="Partial College"/>
    <s v="Skilled Manual"/>
    <s v="No"/>
    <n v="1"/>
    <s v="1-2 Miles"/>
    <x v="2"/>
    <n v="31"/>
    <s v="Adults"/>
    <s v="No"/>
    <n v="0"/>
    <n v="1"/>
  </r>
  <r>
    <n v="29052"/>
    <s v="Single"/>
    <s v="Male"/>
    <n v="40000"/>
    <s v="Low Income"/>
    <n v="0"/>
    <s v="Partial College"/>
    <s v="Skilled Manual"/>
    <s v="Yes"/>
    <n v="1"/>
    <s v="5-10 Miles"/>
    <x v="2"/>
    <n v="27"/>
    <s v="Young Adults"/>
    <s v="No"/>
    <n v="0"/>
    <n v="1"/>
  </r>
  <r>
    <n v="11745"/>
    <s v="Married"/>
    <s v="Female"/>
    <n v="60000"/>
    <s v="Low Income"/>
    <n v="1"/>
    <s v="Bachelors"/>
    <s v="Professional"/>
    <s v="Yes"/>
    <n v="1"/>
    <s v="0-1 Miles"/>
    <x v="2"/>
    <n v="47"/>
    <s v="Middle-Aged"/>
    <s v="Yes"/>
    <n v="1"/>
    <n v="1"/>
  </r>
  <r>
    <n v="19147"/>
    <s v="Married"/>
    <s v="Male"/>
    <n v="40000"/>
    <s v="Low Income"/>
    <n v="0"/>
    <s v="Bachelors"/>
    <s v="Professional"/>
    <s v="No"/>
    <n v="1"/>
    <s v="0-1 Miles"/>
    <x v="2"/>
    <n v="42"/>
    <s v="Middle-Aged"/>
    <s v="No"/>
    <n v="0"/>
    <n v="1"/>
  </r>
  <r>
    <n v="19217"/>
    <s v="Married"/>
    <s v="Male"/>
    <n v="30000"/>
    <s v="Low Income"/>
    <n v="2"/>
    <s v="High School"/>
    <s v="Skilled Manual"/>
    <s v="Yes"/>
    <n v="2"/>
    <s v="1-2 Miles"/>
    <x v="2"/>
    <n v="49"/>
    <s v="Middle-Aged"/>
    <s v="No"/>
    <n v="0"/>
    <n v="1"/>
  </r>
  <r>
    <n v="15839"/>
    <s v="Single"/>
    <s v="Male"/>
    <n v="30000"/>
    <s v="Low Income"/>
    <n v="0"/>
    <s v="Partial College"/>
    <s v="Skilled Manual"/>
    <s v="Yes"/>
    <n v="1"/>
    <s v="5-10 Miles"/>
    <x v="2"/>
    <n v="32"/>
    <s v="Adults"/>
    <s v="No"/>
    <n v="0"/>
    <n v="1"/>
  </r>
  <r>
    <n v="13714"/>
    <s v="Married"/>
    <s v="Female"/>
    <n v="20000"/>
    <s v="Low Income"/>
    <n v="2"/>
    <s v="High School"/>
    <s v="Manual"/>
    <s v="No"/>
    <n v="2"/>
    <s v="1-2 Miles"/>
    <x v="2"/>
    <n v="53"/>
    <s v="Middle-Aged"/>
    <s v="Yes"/>
    <n v="1"/>
    <n v="1"/>
  </r>
  <r>
    <n v="22330"/>
    <s v="Married"/>
    <s v="Male"/>
    <n v="50000"/>
    <s v="Low Income"/>
    <n v="0"/>
    <s v="Graduate Degree"/>
    <s v="Skilled Manual"/>
    <s v="Yes"/>
    <n v="0"/>
    <s v="1-2 Miles"/>
    <x v="2"/>
    <n v="32"/>
    <s v="Adults"/>
    <s v="Yes"/>
    <n v="1"/>
    <n v="1"/>
  </r>
  <r>
    <n v="18783"/>
    <s v="Single"/>
    <s v="Male"/>
    <n v="80000"/>
    <s v="Medium Income"/>
    <n v="0"/>
    <s v="Bachelors"/>
    <s v="Management"/>
    <s v="No"/>
    <n v="1"/>
    <s v="0-1 Miles"/>
    <x v="2"/>
    <n v="38"/>
    <s v="Adults"/>
    <s v="Yes"/>
    <n v="1"/>
    <n v="1"/>
  </r>
  <r>
    <n v="25041"/>
    <s v="Single"/>
    <s v="Male"/>
    <n v="40000"/>
    <s v="Low Income"/>
    <n v="0"/>
    <s v="High School"/>
    <s v="Skilled Manual"/>
    <s v="Yes"/>
    <n v="2"/>
    <s v="5-10 Miles"/>
    <x v="2"/>
    <n v="31"/>
    <s v="Adults"/>
    <s v="No"/>
    <n v="0"/>
    <n v="1"/>
  </r>
  <r>
    <n v="22046"/>
    <s v="Single"/>
    <s v="Female"/>
    <n v="80000"/>
    <s v="Medium Income"/>
    <n v="0"/>
    <s v="Bachelors"/>
    <s v="Management"/>
    <s v="No"/>
    <n v="1"/>
    <s v="0-1 Miles"/>
    <x v="2"/>
    <n v="38"/>
    <s v="Adults"/>
    <s v="Yes"/>
    <n v="1"/>
    <n v="1"/>
  </r>
  <r>
    <n v="28052"/>
    <s v="Married"/>
    <s v="Male"/>
    <n v="60000"/>
    <s v="Low Income"/>
    <n v="2"/>
    <s v="High School"/>
    <s v="Professional"/>
    <s v="Yes"/>
    <n v="2"/>
    <s v="More than 10 Miles"/>
    <x v="2"/>
    <n v="55"/>
    <s v="Middle-Aged"/>
    <s v="No"/>
    <n v="0"/>
    <n v="1"/>
  </r>
  <r>
    <n v="26693"/>
    <s v="Married"/>
    <s v="Male"/>
    <n v="70000"/>
    <s v="Medium Income"/>
    <n v="3"/>
    <s v="Partial College"/>
    <s v="Professional"/>
    <s v="Yes"/>
    <n v="1"/>
    <s v="5-10 Miles"/>
    <x v="2"/>
    <n v="49"/>
    <s v="Middle-Aged"/>
    <s v="No"/>
    <n v="0"/>
    <n v="1"/>
  </r>
  <r>
    <n v="24955"/>
    <s v="Single"/>
    <s v="Male"/>
    <n v="30000"/>
    <s v="Low Income"/>
    <n v="5"/>
    <s v="Partial High School"/>
    <s v="Skilled Manual"/>
    <s v="Yes"/>
    <n v="3"/>
    <s v="More than 10 Miles"/>
    <x v="2"/>
    <n v="60"/>
    <s v="Seniors"/>
    <s v="Yes"/>
    <n v="1"/>
    <n v="1"/>
  </r>
  <r>
    <n v="26065"/>
    <s v="Single"/>
    <s v="Female"/>
    <n v="110000"/>
    <s v="Medium Income"/>
    <n v="3"/>
    <s v="Bachelors"/>
    <s v="Management"/>
    <s v="No"/>
    <n v="4"/>
    <s v="1-2 Miles"/>
    <x v="2"/>
    <n v="42"/>
    <s v="Middle-Aged"/>
    <s v="No"/>
    <n v="0"/>
    <n v="1"/>
  </r>
  <r>
    <n v="13942"/>
    <s v="Married"/>
    <s v="Male"/>
    <n v="60000"/>
    <s v="Low Income"/>
    <n v="1"/>
    <s v="Partial College"/>
    <s v="Skilled Manual"/>
    <s v="Yes"/>
    <n v="1"/>
    <s v="0-1 Miles"/>
    <x v="2"/>
    <n v="46"/>
    <s v="Middle-Aged"/>
    <s v="No"/>
    <n v="0"/>
    <n v="1"/>
  </r>
  <r>
    <n v="11219"/>
    <s v="Married"/>
    <s v="Male"/>
    <n v="60000"/>
    <s v="Low Income"/>
    <n v="2"/>
    <s v="High School"/>
    <s v="Professional"/>
    <s v="Yes"/>
    <n v="2"/>
    <s v="More than 10 Miles"/>
    <x v="2"/>
    <n v="55"/>
    <s v="Middle-Aged"/>
    <s v="No"/>
    <n v="0"/>
    <n v="1"/>
  </r>
  <r>
    <n v="22118"/>
    <s v="Single"/>
    <s v="Female"/>
    <n v="70000"/>
    <s v="Medium Income"/>
    <n v="3"/>
    <s v="Graduate Degree"/>
    <s v="Management"/>
    <s v="Yes"/>
    <n v="2"/>
    <s v="5-10 Miles"/>
    <x v="2"/>
    <n v="53"/>
    <s v="Middle-Aged"/>
    <s v="Yes"/>
    <n v="1"/>
    <n v="1"/>
  </r>
  <r>
    <n v="23197"/>
    <s v="Married"/>
    <s v="Male"/>
    <n v="50000"/>
    <s v="Low Income"/>
    <n v="3"/>
    <s v="Bachelors"/>
    <s v="Skilled Manual"/>
    <s v="Yes"/>
    <n v="2"/>
    <s v="2-5 Miles"/>
    <x v="2"/>
    <n v="40"/>
    <s v="Middle-Aged"/>
    <s v="No"/>
    <n v="0"/>
    <n v="1"/>
  </r>
  <r>
    <n v="14883"/>
    <s v="Married"/>
    <s v="Female"/>
    <n v="30000"/>
    <s v="Low Income"/>
    <n v="1"/>
    <s v="Bachelors"/>
    <s v="Skilled Manual"/>
    <s v="Yes"/>
    <n v="1"/>
    <s v="5-10 Miles"/>
    <x v="2"/>
    <n v="53"/>
    <s v="Middle-Aged"/>
    <s v="Yes"/>
    <n v="1"/>
    <n v="1"/>
  </r>
  <r>
    <n v="27279"/>
    <s v="Single"/>
    <s v="Female"/>
    <n v="70000"/>
    <s v="Medium Income"/>
    <n v="2"/>
    <s v="Bachelors"/>
    <s v="Skilled Manual"/>
    <s v="Yes"/>
    <n v="0"/>
    <s v="2-5 Miles"/>
    <x v="2"/>
    <n v="38"/>
    <s v="Adults"/>
    <s v="Yes"/>
    <n v="1"/>
    <n v="1"/>
  </r>
  <r>
    <n v="18322"/>
    <s v="Single"/>
    <s v="Male"/>
    <n v="30000"/>
    <s v="Low Income"/>
    <n v="0"/>
    <s v="Partial High School"/>
    <s v="Clerical"/>
    <s v="No"/>
    <n v="2"/>
    <s v="0-1 Miles"/>
    <x v="2"/>
    <n v="26"/>
    <s v="Young Adults"/>
    <s v="No"/>
    <n v="0"/>
    <n v="1"/>
  </r>
  <r>
    <n v="15879"/>
    <s v="Married"/>
    <s v="Male"/>
    <n v="70000"/>
    <s v="Medium Income"/>
    <n v="5"/>
    <s v="Bachelors"/>
    <s v="Management"/>
    <s v="Yes"/>
    <n v="2"/>
    <s v="2-5 Miles"/>
    <x v="2"/>
    <n v="61"/>
    <s v="Seniors"/>
    <s v="No"/>
    <n v="0"/>
    <n v="1"/>
  </r>
  <r>
    <n v="28278"/>
    <s v="Married"/>
    <s v="Male"/>
    <n v="50000"/>
    <s v="Low Income"/>
    <n v="2"/>
    <s v="Graduate Degree"/>
    <s v="Management"/>
    <s v="Yes"/>
    <n v="2"/>
    <s v="5-10 Miles"/>
    <x v="2"/>
    <n v="71"/>
    <s v="Seniors"/>
    <s v="No"/>
    <n v="0"/>
    <n v="1"/>
  </r>
  <r>
    <n v="24416"/>
    <s v="Married"/>
    <s v="Male"/>
    <n v="90000"/>
    <s v="Medium Income"/>
    <n v="4"/>
    <s v="High School"/>
    <s v="Professional"/>
    <s v="Yes"/>
    <n v="2"/>
    <s v="1-2 Miles"/>
    <x v="2"/>
    <n v="45"/>
    <s v="Middle-Aged"/>
    <s v="No"/>
    <n v="0"/>
    <n v="1"/>
  </r>
  <r>
    <n v="28066"/>
    <s v="Married"/>
    <s v="Male"/>
    <n v="80000"/>
    <s v="Medium Income"/>
    <n v="2"/>
    <s v="Graduate Degree"/>
    <s v="Professional"/>
    <s v="Yes"/>
    <n v="0"/>
    <s v="0-1 Miles"/>
    <x v="2"/>
    <n v="37"/>
    <s v="Adults"/>
    <s v="Yes"/>
    <n v="1"/>
    <n v="1"/>
  </r>
  <r>
    <n v="11275"/>
    <s v="Married"/>
    <s v="Female"/>
    <n v="80000"/>
    <s v="Medium Income"/>
    <n v="4"/>
    <s v="Graduate Degree"/>
    <s v="Management"/>
    <s v="Yes"/>
    <n v="2"/>
    <s v="0-1 Miles"/>
    <x v="2"/>
    <n v="72"/>
    <s v="Seniors"/>
    <s v="Yes"/>
    <n v="1"/>
    <n v="1"/>
  </r>
  <r>
    <n v="14872"/>
    <s v="Married"/>
    <s v="Male"/>
    <n v="30000"/>
    <s v="Low Income"/>
    <n v="0"/>
    <s v="Graduate Degree"/>
    <s v="Skilled Manual"/>
    <s v="Yes"/>
    <n v="0"/>
    <s v="0-1 Miles"/>
    <x v="2"/>
    <n v="32"/>
    <s v="Adults"/>
    <s v="No"/>
    <n v="0"/>
    <n v="1"/>
  </r>
  <r>
    <n v="16151"/>
    <s v="Married"/>
    <s v="Female"/>
    <n v="60000"/>
    <s v="Low Income"/>
    <n v="1"/>
    <s v="Bachelors"/>
    <s v="Professional"/>
    <s v="Yes"/>
    <n v="1"/>
    <s v="2-5 Miles"/>
    <x v="2"/>
    <n v="48"/>
    <s v="Middle-Aged"/>
    <s v="Yes"/>
    <n v="1"/>
    <n v="1"/>
  </r>
  <r>
    <n v="19731"/>
    <s v="Married"/>
    <s v="Male"/>
    <n v="80000"/>
    <s v="Medium Income"/>
    <n v="4"/>
    <s v="Graduate Degree"/>
    <s v="Management"/>
    <s v="Yes"/>
    <n v="2"/>
    <s v="5-10 Miles"/>
    <x v="2"/>
    <n v="68"/>
    <s v="Seniors"/>
    <s v="No"/>
    <n v="0"/>
    <n v="1"/>
  </r>
  <r>
    <n v="23801"/>
    <s v="Married"/>
    <s v="Female"/>
    <n v="20000"/>
    <s v="Low Income"/>
    <n v="2"/>
    <s v="Partial High School"/>
    <s v="Clerical"/>
    <s v="Yes"/>
    <n v="2"/>
    <s v="0-1 Miles"/>
    <x v="2"/>
    <n v="49"/>
    <s v="Middle-Aged"/>
    <s v="No"/>
    <n v="0"/>
    <n v="1"/>
  </r>
  <r>
    <n v="11807"/>
    <s v="Married"/>
    <s v="Male"/>
    <n v="70000"/>
    <s v="Medium Income"/>
    <n v="3"/>
    <s v="Graduate Degree"/>
    <s v="Professional"/>
    <s v="Yes"/>
    <n v="0"/>
    <s v="2-5 Miles"/>
    <x v="2"/>
    <n v="34"/>
    <s v="Adults"/>
    <s v="No"/>
    <n v="0"/>
    <n v="1"/>
  </r>
  <r>
    <n v="11622"/>
    <s v="Married"/>
    <s v="Male"/>
    <n v="50000"/>
    <s v="Low Income"/>
    <n v="0"/>
    <s v="Graduate Degree"/>
    <s v="Skilled Manual"/>
    <s v="Yes"/>
    <n v="0"/>
    <s v="0-1 Miles"/>
    <x v="2"/>
    <n v="32"/>
    <s v="Adults"/>
    <s v="No"/>
    <n v="0"/>
    <n v="1"/>
  </r>
  <r>
    <n v="26597"/>
    <s v="Single"/>
    <s v="Female"/>
    <n v="60000"/>
    <s v="Low Income"/>
    <n v="4"/>
    <s v="Bachelors"/>
    <s v="Skilled Manual"/>
    <s v="No"/>
    <n v="2"/>
    <s v="0-1 Miles"/>
    <x v="2"/>
    <n v="42"/>
    <s v="Middle-Aged"/>
    <s v="No"/>
    <n v="0"/>
    <n v="1"/>
  </r>
  <r>
    <n v="27074"/>
    <s v="Married"/>
    <s v="Female"/>
    <n v="70000"/>
    <s v="Medium Income"/>
    <n v="1"/>
    <s v="Graduate Degree"/>
    <s v="Skilled Manual"/>
    <s v="Yes"/>
    <n v="0"/>
    <s v="0-1 Miles"/>
    <x v="2"/>
    <n v="35"/>
    <s v="Adults"/>
    <s v="Yes"/>
    <n v="1"/>
    <n v="1"/>
  </r>
  <r>
    <n v="19228"/>
    <s v="Married"/>
    <s v="Female"/>
    <n v="40000"/>
    <s v="Low Income"/>
    <n v="2"/>
    <s v="Partial College"/>
    <s v="Clerical"/>
    <s v="Yes"/>
    <n v="1"/>
    <s v="0-1 Miles"/>
    <x v="2"/>
    <n v="48"/>
    <s v="Middle-Aged"/>
    <s v="No"/>
    <n v="0"/>
    <n v="1"/>
  </r>
  <r>
    <n v="13415"/>
    <s v="Single"/>
    <s v="Male"/>
    <n v="100000"/>
    <s v="Medium Income"/>
    <n v="1"/>
    <s v="Graduate Degree"/>
    <s v="Management"/>
    <s v="Yes"/>
    <n v="3"/>
    <s v="2-5 Miles"/>
    <x v="2"/>
    <n v="73"/>
    <s v="Seniors"/>
    <s v="Yes"/>
    <n v="1"/>
    <n v="1"/>
  </r>
  <r>
    <n v="17000"/>
    <s v="Single"/>
    <s v="Female"/>
    <n v="70000"/>
    <s v="Medium Income"/>
    <n v="4"/>
    <s v="Bachelors"/>
    <s v="Skilled Manual"/>
    <s v="Yes"/>
    <n v="2"/>
    <s v="2-5 Miles"/>
    <x v="2"/>
    <n v="43"/>
    <s v="Middle-Aged"/>
    <s v="Yes"/>
    <n v="1"/>
    <n v="1"/>
  </r>
  <r>
    <n v="14569"/>
    <s v="Married"/>
    <s v="Male"/>
    <n v="60000"/>
    <s v="Low Income"/>
    <n v="1"/>
    <s v="Graduate Degree"/>
    <s v="Professional"/>
    <s v="Yes"/>
    <n v="0"/>
    <s v="0-1 Miles"/>
    <x v="2"/>
    <n v="35"/>
    <s v="Adults"/>
    <s v="No"/>
    <n v="0"/>
    <n v="1"/>
  </r>
  <r>
    <n v="13873"/>
    <s v="Married"/>
    <s v="Male"/>
    <n v="70000"/>
    <s v="Medium Income"/>
    <n v="3"/>
    <s v="Graduate Degree"/>
    <s v="Professional"/>
    <s v="Yes"/>
    <n v="0"/>
    <s v="0-1 Miles"/>
    <x v="2"/>
    <n v="35"/>
    <s v="Adults"/>
    <s v="Yes"/>
    <n v="1"/>
    <n v="1"/>
  </r>
  <r>
    <n v="20401"/>
    <s v="Married"/>
    <s v="Female"/>
    <n v="50000"/>
    <s v="Low Income"/>
    <n v="4"/>
    <s v="Bachelors"/>
    <s v="Management"/>
    <s v="Yes"/>
    <n v="2"/>
    <s v="1-2 Miles"/>
    <x v="2"/>
    <n v="64"/>
    <s v="Seniors"/>
    <s v="Yes"/>
    <n v="1"/>
    <n v="1"/>
  </r>
  <r>
    <n v="21583"/>
    <s v="Married"/>
    <s v="Female"/>
    <n v="50000"/>
    <s v="Low Income"/>
    <n v="1"/>
    <s v="Bachelors"/>
    <s v="Skilled Manual"/>
    <s v="Yes"/>
    <n v="0"/>
    <s v="0-1 Miles"/>
    <x v="2"/>
    <n v="34"/>
    <s v="Adults"/>
    <s v="Yes"/>
    <n v="1"/>
    <n v="1"/>
  </r>
  <r>
    <n v="12029"/>
    <s v="Married"/>
    <s v="Male"/>
    <n v="30000"/>
    <s v="Low Income"/>
    <n v="0"/>
    <s v="Partial High School"/>
    <s v="Clerical"/>
    <s v="No"/>
    <n v="2"/>
    <s v="0-1 Miles"/>
    <x v="2"/>
    <n v="28"/>
    <s v="Young Adults"/>
    <s v="No"/>
    <n v="0"/>
    <n v="1"/>
  </r>
  <r>
    <n v="18066"/>
    <s v="Single"/>
    <s v="Male"/>
    <n v="70000"/>
    <s v="Medium Income"/>
    <n v="5"/>
    <s v="Bachelors"/>
    <s v="Management"/>
    <s v="Yes"/>
    <n v="3"/>
    <s v="More than 10 Miles"/>
    <x v="2"/>
    <n v="60"/>
    <s v="Seniors"/>
    <s v="Yes"/>
    <n v="1"/>
    <n v="1"/>
  </r>
  <r>
    <n v="28192"/>
    <s v="Married"/>
    <s v="Female"/>
    <n v="70000"/>
    <s v="Medium Income"/>
    <n v="5"/>
    <s v="Graduate Degree"/>
    <s v="Professional"/>
    <s v="Yes"/>
    <n v="3"/>
    <s v="More than 10 Miles"/>
    <x v="2"/>
    <n v="46"/>
    <s v="Middle-Aged"/>
    <s v="No"/>
    <n v="0"/>
    <n v="1"/>
  </r>
  <r>
    <n v="16122"/>
    <s v="Married"/>
    <s v="Male"/>
    <n v="40000"/>
    <s v="Low Income"/>
    <n v="4"/>
    <s v="High School"/>
    <s v="Skilled Manual"/>
    <s v="Yes"/>
    <n v="2"/>
    <s v="0-1 Miles"/>
    <x v="2"/>
    <n v="44"/>
    <s v="Middle-Aged"/>
    <s v="Yes"/>
    <n v="1"/>
    <n v="1"/>
  </r>
  <r>
    <n v="18607"/>
    <s v="Single"/>
    <s v="Female"/>
    <n v="60000"/>
    <s v="Low Income"/>
    <n v="4"/>
    <s v="Bachelors"/>
    <s v="Skilled Manual"/>
    <s v="Yes"/>
    <n v="2"/>
    <s v="2-5 Miles"/>
    <x v="2"/>
    <n v="42"/>
    <s v="Middle-Aged"/>
    <s v="Yes"/>
    <n v="1"/>
    <n v="1"/>
  </r>
  <r>
    <n v="28858"/>
    <s v="Single"/>
    <s v="Male"/>
    <n v="80000"/>
    <s v="Medium Income"/>
    <n v="3"/>
    <s v="Bachelors"/>
    <s v="Skilled Manual"/>
    <s v="Yes"/>
    <n v="0"/>
    <s v="2-5 Miles"/>
    <x v="2"/>
    <n v="40"/>
    <s v="Middle-Aged"/>
    <s v="No"/>
    <n v="0"/>
    <n v="1"/>
  </r>
  <r>
    <n v="14432"/>
    <s v="Single"/>
    <s v="Male"/>
    <n v="90000"/>
    <s v="Medium Income"/>
    <n v="4"/>
    <s v="Graduate Degree"/>
    <s v="Management"/>
    <s v="Yes"/>
    <n v="1"/>
    <s v="5-10 Miles"/>
    <x v="2"/>
    <n v="73"/>
    <s v="Seniors"/>
    <s v="No"/>
    <n v="0"/>
    <n v="1"/>
  </r>
  <r>
    <n v="26305"/>
    <s v="Single"/>
    <s v="Female"/>
    <n v="60000"/>
    <s v="Low Income"/>
    <n v="2"/>
    <s v="Bachelors"/>
    <s v="Skilled Manual"/>
    <s v="No"/>
    <n v="0"/>
    <s v="0-1 Miles"/>
    <x v="2"/>
    <n v="36"/>
    <s v="Adults"/>
    <s v="Yes"/>
    <n v="1"/>
    <n v="1"/>
  </r>
  <r>
    <n v="22050"/>
    <s v="Single"/>
    <s v="Male"/>
    <n v="90000"/>
    <s v="Medium Income"/>
    <n v="4"/>
    <s v="Bachelors"/>
    <s v="Management"/>
    <s v="Yes"/>
    <n v="1"/>
    <s v="1-2 Miles"/>
    <x v="2"/>
    <n v="38"/>
    <s v="Adults"/>
    <s v="Yes"/>
    <n v="1"/>
    <n v="1"/>
  </r>
  <r>
    <n v="25394"/>
    <s v="Married"/>
    <s v="Male"/>
    <n v="60000"/>
    <s v="Low Income"/>
    <n v="1"/>
    <s v="Graduate Degree"/>
    <s v="Professional"/>
    <s v="Yes"/>
    <n v="0"/>
    <s v="2-5 Miles"/>
    <x v="2"/>
    <n v="34"/>
    <s v="Adults"/>
    <s v="Yes"/>
    <n v="1"/>
    <n v="1"/>
  </r>
  <r>
    <n v="19747"/>
    <s v="Married"/>
    <s v="Male"/>
    <n v="50000"/>
    <s v="Low Income"/>
    <n v="4"/>
    <s v="Bachelors"/>
    <s v="Management"/>
    <s v="Yes"/>
    <n v="2"/>
    <s v="More than 10 Miles"/>
    <x v="2"/>
    <n v="63"/>
    <s v="Seniors"/>
    <s v="No"/>
    <n v="0"/>
    <n v="1"/>
  </r>
  <r>
    <n v="23195"/>
    <s v="Single"/>
    <s v="Male"/>
    <n v="50000"/>
    <s v="Low Income"/>
    <n v="3"/>
    <s v="Bachelors"/>
    <s v="Skilled Manual"/>
    <s v="Yes"/>
    <n v="2"/>
    <s v="2-5 Miles"/>
    <x v="2"/>
    <n v="41"/>
    <s v="Middle-Aged"/>
    <s v="Yes"/>
    <n v="1"/>
    <n v="1"/>
  </r>
  <r>
    <n v="21695"/>
    <s v="Married"/>
    <s v="Male"/>
    <n v="60000"/>
    <s v="Low Income"/>
    <n v="0"/>
    <s v="Graduate Degree"/>
    <s v="Skilled Manual"/>
    <s v="Yes"/>
    <n v="0"/>
    <s v="1-2 Miles"/>
    <x v="2"/>
    <n v="39"/>
    <s v="Adults"/>
    <s v="Yes"/>
    <n v="1"/>
    <n v="1"/>
  </r>
  <r>
    <n v="13934"/>
    <s v="Married"/>
    <s v="Male"/>
    <n v="40000"/>
    <s v="Low Income"/>
    <n v="4"/>
    <s v="High School"/>
    <s v="Skilled Manual"/>
    <s v="Yes"/>
    <n v="2"/>
    <s v="2-5 Miles"/>
    <x v="2"/>
    <n v="46"/>
    <s v="Middle-Aged"/>
    <s v="No"/>
    <n v="0"/>
    <n v="1"/>
  </r>
  <r>
    <n v="13337"/>
    <s v="Married"/>
    <s v="Female"/>
    <n v="80000"/>
    <s v="Medium Income"/>
    <n v="5"/>
    <s v="Bachelors"/>
    <s v="Management"/>
    <s v="Yes"/>
    <n v="2"/>
    <s v="5-10 Miles"/>
    <x v="2"/>
    <n v="64"/>
    <s v="Seniors"/>
    <s v="No"/>
    <n v="0"/>
    <n v="1"/>
  </r>
  <r>
    <n v="27190"/>
    <s v="Married"/>
    <s v="Female"/>
    <n v="40000"/>
    <s v="Low Income"/>
    <n v="3"/>
    <s v="Partial College"/>
    <s v="Clerical"/>
    <s v="Yes"/>
    <n v="1"/>
    <s v="1-2 Miles"/>
    <x v="2"/>
    <n v="32"/>
    <s v="Adults"/>
    <s v="No"/>
    <n v="0"/>
    <n v="1"/>
  </r>
  <r>
    <n v="28657"/>
    <s v="Single"/>
    <s v="Male"/>
    <n v="60000"/>
    <s v="Low Income"/>
    <n v="2"/>
    <s v="Bachelors"/>
    <s v="Skilled Manual"/>
    <s v="Yes"/>
    <n v="0"/>
    <s v="2-5 Miles"/>
    <x v="2"/>
    <n v="36"/>
    <s v="Adults"/>
    <s v="Yes"/>
    <n v="1"/>
    <n v="1"/>
  </r>
  <r>
    <n v="21713"/>
    <s v="Single"/>
    <s v="Male"/>
    <n v="80000"/>
    <s v="Medium Income"/>
    <n v="5"/>
    <s v="Graduate Degree"/>
    <s v="Skilled Manual"/>
    <s v="No"/>
    <n v="0"/>
    <s v="0-1 Miles"/>
    <x v="2"/>
    <n v="47"/>
    <s v="Middle-Aged"/>
    <s v="No"/>
    <n v="0"/>
    <n v="1"/>
  </r>
  <r>
    <n v="21752"/>
    <s v="Married"/>
    <s v="Male"/>
    <n v="60000"/>
    <s v="Low Income"/>
    <n v="3"/>
    <s v="Graduate Degree"/>
    <s v="Management"/>
    <s v="Yes"/>
    <n v="2"/>
    <s v="More than 10 Miles"/>
    <x v="2"/>
    <n v="64"/>
    <s v="Seniors"/>
    <s v="No"/>
    <n v="0"/>
    <n v="1"/>
  </r>
  <r>
    <n v="27273"/>
    <s v="Single"/>
    <s v="Male"/>
    <n v="70000"/>
    <s v="Medium Income"/>
    <n v="3"/>
    <s v="Graduate Degree"/>
    <s v="Professional"/>
    <s v="No"/>
    <n v="0"/>
    <s v="0-1 Miles"/>
    <x v="2"/>
    <n v="35"/>
    <s v="Adults"/>
    <s v="Yes"/>
    <n v="1"/>
    <n v="1"/>
  </r>
  <r>
    <n v="22719"/>
    <s v="Single"/>
    <s v="Male"/>
    <n v="110000"/>
    <s v="Medium Income"/>
    <n v="3"/>
    <s v="Bachelors"/>
    <s v="Management"/>
    <s v="Yes"/>
    <n v="4"/>
    <s v="2-5 Miles"/>
    <x v="2"/>
    <n v="40"/>
    <s v="Middle-Aged"/>
    <s v="Yes"/>
    <n v="1"/>
    <n v="1"/>
  </r>
  <r>
    <n v="22042"/>
    <s v="Married"/>
    <s v="Female"/>
    <n v="70000"/>
    <s v="Medium Income"/>
    <n v="0"/>
    <s v="Partial College"/>
    <s v="Skilled Manual"/>
    <s v="Yes"/>
    <n v="2"/>
    <s v="5-10 Miles"/>
    <x v="2"/>
    <n v="34"/>
    <s v="Adults"/>
    <s v="Yes"/>
    <n v="1"/>
    <n v="1"/>
  </r>
  <r>
    <n v="21451"/>
    <s v="Married"/>
    <s v="Female"/>
    <n v="40000"/>
    <s v="Low Income"/>
    <n v="4"/>
    <s v="High School"/>
    <s v="Professional"/>
    <s v="Yes"/>
    <n v="2"/>
    <s v="More than 10 Miles"/>
    <x v="2"/>
    <n v="61"/>
    <s v="Seniors"/>
    <s v="No"/>
    <n v="0"/>
    <n v="1"/>
  </r>
  <r>
    <n v="20754"/>
    <s v="Married"/>
    <s v="Male"/>
    <n v="30000"/>
    <s v="Low Income"/>
    <n v="2"/>
    <s v="High School"/>
    <s v="Skilled Manual"/>
    <s v="Yes"/>
    <n v="2"/>
    <s v="1-2 Miles"/>
    <x v="2"/>
    <n v="51"/>
    <s v="Middle-Aged"/>
    <s v="No"/>
    <n v="0"/>
    <n v="1"/>
  </r>
  <r>
    <n v="12153"/>
    <s v="Single"/>
    <s v="Female"/>
    <n v="70000"/>
    <s v="Medium Income"/>
    <n v="3"/>
    <s v="Partial College"/>
    <s v="Professional"/>
    <s v="Yes"/>
    <n v="1"/>
    <s v="5-10 Miles"/>
    <x v="2"/>
    <n v="49"/>
    <s v="Middle-Aged"/>
    <s v="Yes"/>
    <n v="1"/>
    <n v="1"/>
  </r>
  <r>
    <n v="16895"/>
    <s v="Married"/>
    <s v="Female"/>
    <n v="40000"/>
    <s v="Low Income"/>
    <n v="3"/>
    <s v="Partial College"/>
    <s v="Professional"/>
    <s v="No"/>
    <n v="2"/>
    <s v="1-2 Miles"/>
    <x v="2"/>
    <n v="54"/>
    <s v="Middle-Aged"/>
    <s v="Yes"/>
    <n v="1"/>
    <n v="1"/>
  </r>
  <r>
    <n v="26728"/>
    <s v="Single"/>
    <s v="Male"/>
    <n v="70000"/>
    <s v="Medium Income"/>
    <n v="3"/>
    <s v="Graduate Degree"/>
    <s v="Management"/>
    <s v="No"/>
    <n v="2"/>
    <s v="1-2 Miles"/>
    <x v="2"/>
    <n v="53"/>
    <s v="Middle-Aged"/>
    <s v="Yes"/>
    <n v="1"/>
    <n v="1"/>
  </r>
  <r>
    <n v="11090"/>
    <s v="Single"/>
    <s v="Male"/>
    <n v="90000"/>
    <s v="Medium Income"/>
    <n v="2"/>
    <s v="Partial College"/>
    <s v="Professional"/>
    <s v="Yes"/>
    <n v="1"/>
    <s v="2-5 Miles"/>
    <x v="2"/>
    <n v="48"/>
    <s v="Middle-Aged"/>
    <s v="Yes"/>
    <n v="1"/>
    <n v="1"/>
  </r>
  <r>
    <n v="15862"/>
    <s v="Single"/>
    <s v="Female"/>
    <n v="50000"/>
    <s v="Low Income"/>
    <n v="0"/>
    <s v="Graduate Degree"/>
    <s v="Skilled Manual"/>
    <s v="Yes"/>
    <n v="0"/>
    <s v="1-2 Miles"/>
    <x v="2"/>
    <n v="33"/>
    <s v="Adults"/>
    <s v="Yes"/>
    <n v="1"/>
    <n v="1"/>
  </r>
  <r>
    <n v="26495"/>
    <s v="Single"/>
    <s v="Female"/>
    <n v="40000"/>
    <s v="Low Income"/>
    <n v="2"/>
    <s v="High School"/>
    <s v="Professional"/>
    <s v="Yes"/>
    <n v="2"/>
    <s v="More than 10 Miles"/>
    <x v="2"/>
    <n v="57"/>
    <s v="Middle-Aged"/>
    <s v="No"/>
    <n v="0"/>
    <n v="1"/>
  </r>
  <r>
    <n v="11823"/>
    <s v="Married"/>
    <s v="Female"/>
    <n v="70000"/>
    <s v="Medium Income"/>
    <n v="0"/>
    <s v="Graduate Degree"/>
    <s v="Professional"/>
    <s v="Yes"/>
    <n v="0"/>
    <s v="2-5 Miles"/>
    <x v="2"/>
    <n v="39"/>
    <s v="Adults"/>
    <s v="No"/>
    <n v="0"/>
    <n v="1"/>
  </r>
  <r>
    <n v="23449"/>
    <s v="Married"/>
    <s v="Male"/>
    <n v="60000"/>
    <s v="Low Income"/>
    <n v="2"/>
    <s v="High School"/>
    <s v="Professional"/>
    <s v="Yes"/>
    <n v="2"/>
    <s v="5-10 Miles"/>
    <x v="2"/>
    <n v="48"/>
    <s v="Middle-Aged"/>
    <s v="No"/>
    <n v="0"/>
    <n v="1"/>
  </r>
  <r>
    <n v="23459"/>
    <s v="Married"/>
    <s v="Male"/>
    <n v="60000"/>
    <s v="Low Income"/>
    <n v="2"/>
    <s v="High School"/>
    <s v="Professional"/>
    <s v="Yes"/>
    <n v="2"/>
    <s v="5-10 Miles"/>
    <x v="2"/>
    <n v="50"/>
    <s v="Middle-Aged"/>
    <s v="No"/>
    <n v="0"/>
    <n v="1"/>
  </r>
  <r>
    <n v="19543"/>
    <s v="Married"/>
    <s v="Male"/>
    <n v="70000"/>
    <s v="Medium Income"/>
    <n v="5"/>
    <s v="Graduate Degree"/>
    <s v="Professional"/>
    <s v="No"/>
    <n v="3"/>
    <s v="More than 10 Miles"/>
    <x v="2"/>
    <n v="47"/>
    <s v="Middle-Aged"/>
    <s v="No"/>
    <n v="0"/>
    <n v="1"/>
  </r>
  <r>
    <n v="14914"/>
    <s v="Married"/>
    <s v="Female"/>
    <n v="40000"/>
    <s v="Low Income"/>
    <n v="1"/>
    <s v="Partial College"/>
    <s v="Clerical"/>
    <s v="Yes"/>
    <n v="1"/>
    <s v="1-2 Miles"/>
    <x v="2"/>
    <n v="49"/>
    <s v="Middle-Aged"/>
    <s v="Yes"/>
    <n v="1"/>
    <n v="1"/>
  </r>
  <r>
    <n v="12033"/>
    <s v="Single"/>
    <s v="Female"/>
    <n v="40000"/>
    <s v="Low Income"/>
    <n v="0"/>
    <s v="High School"/>
    <s v="Skilled Manual"/>
    <s v="No"/>
    <n v="2"/>
    <s v="0-1 Miles"/>
    <x v="2"/>
    <n v="27"/>
    <s v="Young Adults"/>
    <s v="Yes"/>
    <n v="1"/>
    <n v="1"/>
  </r>
  <r>
    <n v="11941"/>
    <s v="Single"/>
    <s v="Male"/>
    <n v="60000"/>
    <s v="Low Income"/>
    <n v="0"/>
    <s v="Partial College"/>
    <s v="Skilled Manual"/>
    <s v="Yes"/>
    <n v="0"/>
    <s v="5-10 Miles"/>
    <x v="2"/>
    <n v="29"/>
    <s v="Young Adults"/>
    <s v="No"/>
    <n v="0"/>
    <n v="1"/>
  </r>
  <r>
    <n v="14389"/>
    <s v="Married"/>
    <s v="Male"/>
    <n v="60000"/>
    <s v="Low Income"/>
    <n v="2"/>
    <s v="Bachelors"/>
    <s v="Management"/>
    <s v="Yes"/>
    <n v="0"/>
    <s v="2-5 Miles"/>
    <x v="2"/>
    <n v="59"/>
    <s v="Middle-Aged"/>
    <s v="No"/>
    <n v="0"/>
    <n v="1"/>
  </r>
  <r>
    <n v="18050"/>
    <s v="Married"/>
    <s v="Female"/>
    <n v="60000"/>
    <s v="Low Income"/>
    <n v="1"/>
    <s v="Partial College"/>
    <s v="Skilled Manual"/>
    <s v="Yes"/>
    <n v="1"/>
    <s v="0-1 Miles"/>
    <x v="2"/>
    <n v="45"/>
    <s v="Middle-Aged"/>
    <s v="Yes"/>
    <n v="1"/>
    <n v="1"/>
  </r>
  <r>
    <n v="19856"/>
    <s v="Married"/>
    <s v="Female"/>
    <n v="60000"/>
    <s v="Low Income"/>
    <n v="4"/>
    <s v="Bachelors"/>
    <s v="Management"/>
    <s v="Yes"/>
    <n v="2"/>
    <s v="2-5 Miles"/>
    <x v="2"/>
    <n v="60"/>
    <s v="Seniors"/>
    <s v="No"/>
    <n v="0"/>
    <n v="1"/>
  </r>
  <r>
    <n v="11663"/>
    <s v="Married"/>
    <s v="Male"/>
    <n v="70000"/>
    <s v="Medium Income"/>
    <n v="4"/>
    <s v="Graduate Degree"/>
    <s v="Professional"/>
    <s v="Yes"/>
    <n v="0"/>
    <s v="0-1 Miles"/>
    <x v="2"/>
    <n v="36"/>
    <s v="Adults"/>
    <s v="Yes"/>
    <n v="1"/>
    <n v="1"/>
  </r>
  <r>
    <n v="27740"/>
    <s v="Married"/>
    <s v="Female"/>
    <n v="40000"/>
    <s v="Low Income"/>
    <n v="0"/>
    <s v="High School"/>
    <s v="Skilled Manual"/>
    <s v="Yes"/>
    <n v="2"/>
    <s v="5-10 Miles"/>
    <x v="2"/>
    <n v="27"/>
    <s v="Young Adults"/>
    <s v="No"/>
    <n v="0"/>
    <n v="1"/>
  </r>
  <r>
    <n v="23455"/>
    <s v="Single"/>
    <s v="Male"/>
    <n v="80000"/>
    <s v="Medium Income"/>
    <n v="2"/>
    <s v="Partial High School"/>
    <s v="Skilled Manual"/>
    <s v="No"/>
    <n v="2"/>
    <s v="1-2 Miles"/>
    <x v="2"/>
    <n v="50"/>
    <s v="Middle-Aged"/>
    <s v="No"/>
    <n v="0"/>
    <n v="1"/>
  </r>
  <r>
    <n v="15292"/>
    <s v="Single"/>
    <s v="Female"/>
    <n v="60000"/>
    <s v="Low Income"/>
    <n v="1"/>
    <s v="Graduate Degree"/>
    <s v="Skilled Manual"/>
    <s v="Yes"/>
    <n v="0"/>
    <s v="1-2 Miles"/>
    <x v="2"/>
    <n v="35"/>
    <s v="Adults"/>
    <s v="No"/>
    <n v="0"/>
    <n v="1"/>
  </r>
  <r>
    <n v="21587"/>
    <s v="Married"/>
    <s v="Female"/>
    <n v="60000"/>
    <s v="Low Income"/>
    <n v="1"/>
    <s v="Graduate Degree"/>
    <s v="Skilled Manual"/>
    <s v="Yes"/>
    <n v="0"/>
    <s v="2-5 Miles"/>
    <x v="2"/>
    <n v="34"/>
    <s v="Adults"/>
    <s v="Yes"/>
    <n v="1"/>
    <n v="1"/>
  </r>
  <r>
    <n v="23513"/>
    <s v="Married"/>
    <s v="Female"/>
    <n v="40000"/>
    <s v="Low Income"/>
    <n v="3"/>
    <s v="Partial College"/>
    <s v="Professional"/>
    <s v="Yes"/>
    <n v="2"/>
    <s v="5-10 Miles"/>
    <x v="2"/>
    <n v="54"/>
    <s v="Middle-Aged"/>
    <s v="No"/>
    <n v="0"/>
    <n v="1"/>
  </r>
  <r>
    <n v="24322"/>
    <s v="Married"/>
    <s v="Female"/>
    <n v="60000"/>
    <s v="Low Income"/>
    <n v="4"/>
    <s v="Bachelors"/>
    <s v="Skilled Manual"/>
    <s v="No"/>
    <n v="2"/>
    <s v="0-1 Miles"/>
    <x v="2"/>
    <n v="42"/>
    <s v="Middle-Aged"/>
    <s v="No"/>
    <n v="0"/>
    <n v="1"/>
  </r>
  <r>
    <n v="26298"/>
    <s v="Married"/>
    <s v="Female"/>
    <n v="50000"/>
    <s v="Low Income"/>
    <n v="1"/>
    <s v="Bachelors"/>
    <s v="Skilled Manual"/>
    <s v="Yes"/>
    <n v="0"/>
    <s v="2-5 Miles"/>
    <x v="2"/>
    <n v="34"/>
    <s v="Adults"/>
    <s v="Yes"/>
    <n v="1"/>
    <n v="1"/>
  </r>
  <r>
    <n v="25419"/>
    <s v="Single"/>
    <s v="Male"/>
    <n v="50000"/>
    <s v="Low Income"/>
    <n v="2"/>
    <s v="Bachelors"/>
    <s v="Skilled Manual"/>
    <s v="No"/>
    <n v="1"/>
    <s v="0-1 Miles"/>
    <x v="2"/>
    <n v="38"/>
    <s v="Adults"/>
    <s v="Yes"/>
    <n v="1"/>
    <n v="1"/>
  </r>
  <r>
    <n v="13343"/>
    <s v="Married"/>
    <s v="Female"/>
    <n v="90000"/>
    <s v="Medium Income"/>
    <n v="5"/>
    <s v="Bachelors"/>
    <s v="Management"/>
    <s v="Yes"/>
    <n v="2"/>
    <s v="1-2 Miles"/>
    <x v="2"/>
    <n v="63"/>
    <s v="Seniors"/>
    <s v="Yes"/>
    <n v="1"/>
    <n v="1"/>
  </r>
  <r>
    <n v="11303"/>
    <s v="Single"/>
    <s v="Female"/>
    <n v="90000"/>
    <s v="Medium Income"/>
    <n v="4"/>
    <s v="High School"/>
    <s v="Professional"/>
    <s v="No"/>
    <n v="3"/>
    <s v="1-2 Miles"/>
    <x v="2"/>
    <n v="45"/>
    <s v="Middle-Aged"/>
    <s v="Yes"/>
    <n v="1"/>
    <n v="1"/>
  </r>
  <r>
    <n v="21693"/>
    <s v="Single"/>
    <s v="Female"/>
    <n v="60000"/>
    <s v="Low Income"/>
    <n v="0"/>
    <s v="Graduate Degree"/>
    <s v="Skilled Manual"/>
    <s v="No"/>
    <n v="0"/>
    <s v="0-1 Miles"/>
    <x v="2"/>
    <n v="40"/>
    <s v="Middle-Aged"/>
    <s v="No"/>
    <n v="0"/>
    <n v="1"/>
  </r>
  <r>
    <n v="28056"/>
    <s v="Married"/>
    <s v="Male"/>
    <n v="70000"/>
    <s v="Medium Income"/>
    <n v="2"/>
    <s v="Partial High School"/>
    <s v="Skilled Manual"/>
    <s v="Yes"/>
    <n v="2"/>
    <s v="More than 10 Miles"/>
    <x v="2"/>
    <n v="53"/>
    <s v="Middle-Aged"/>
    <s v="No"/>
    <n v="0"/>
    <n v="1"/>
  </r>
  <r>
    <n v="11788"/>
    <s v="Single"/>
    <s v="Female"/>
    <n v="70000"/>
    <s v="Medium Income"/>
    <n v="1"/>
    <s v="Graduate Degree"/>
    <s v="Professional"/>
    <s v="Yes"/>
    <n v="0"/>
    <s v="2-5 Miles"/>
    <x v="2"/>
    <n v="34"/>
    <s v="Adults"/>
    <s v="No"/>
    <n v="0"/>
    <n v="1"/>
  </r>
  <r>
    <n v="22296"/>
    <s v="Married"/>
    <s v="Male"/>
    <n v="70000"/>
    <s v="Medium Income"/>
    <n v="0"/>
    <s v="Bachelors"/>
    <s v="Professional"/>
    <s v="No"/>
    <n v="1"/>
    <s v="0-1 Miles"/>
    <x v="2"/>
    <n v="38"/>
    <s v="Adults"/>
    <s v="No"/>
    <n v="0"/>
    <n v="1"/>
  </r>
  <r>
    <n v="15319"/>
    <s v="Married"/>
    <s v="Female"/>
    <n v="70000"/>
    <s v="Medium Income"/>
    <n v="4"/>
    <s v="Bachelors"/>
    <s v="Management"/>
    <s v="No"/>
    <n v="1"/>
    <s v="1-2 Miles"/>
    <x v="2"/>
    <n v="59"/>
    <s v="Middle-Aged"/>
    <s v="No"/>
    <n v="0"/>
    <n v="1"/>
  </r>
  <r>
    <n v="17654"/>
    <s v="Single"/>
    <s v="Female"/>
    <n v="40000"/>
    <s v="Low Income"/>
    <n v="3"/>
    <s v="Partial College"/>
    <s v="Clerical"/>
    <s v="Yes"/>
    <n v="1"/>
    <s v="1-2 Miles"/>
    <x v="2"/>
    <n v="30"/>
    <s v="Adults"/>
    <s v="Yes"/>
    <n v="1"/>
    <n v="1"/>
  </r>
  <r>
    <n v="14662"/>
    <s v="Married"/>
    <s v="Male"/>
    <n v="60000"/>
    <s v="Low Income"/>
    <n v="1"/>
    <s v="Bachelors"/>
    <s v="Professional"/>
    <s v="Yes"/>
    <n v="1"/>
    <s v="0-1 Miles"/>
    <x v="2"/>
    <n v="48"/>
    <s v="Middle-Aged"/>
    <s v="Yes"/>
    <n v="1"/>
    <n v="1"/>
  </r>
  <r>
    <n v="17541"/>
    <s v="Married"/>
    <s v="Female"/>
    <n v="40000"/>
    <s v="Low Income"/>
    <n v="4"/>
    <s v="High School"/>
    <s v="Skilled Manual"/>
    <s v="Yes"/>
    <n v="2"/>
    <s v="2-5 Miles"/>
    <x v="2"/>
    <n v="43"/>
    <s v="Middle-Aged"/>
    <s v="No"/>
    <n v="0"/>
    <n v="1"/>
  </r>
  <r>
    <n v="13886"/>
    <s v="Married"/>
    <s v="Female"/>
    <n v="70000"/>
    <s v="Medium Income"/>
    <n v="4"/>
    <s v="Graduate Degree"/>
    <s v="Professional"/>
    <s v="Yes"/>
    <n v="0"/>
    <s v="2-5 Miles"/>
    <x v="2"/>
    <n v="35"/>
    <s v="Adults"/>
    <s v="Yes"/>
    <n v="1"/>
    <n v="1"/>
  </r>
  <r>
    <n v="13073"/>
    <s v="Married"/>
    <s v="Female"/>
    <n v="60000"/>
    <s v="Low Income"/>
    <n v="0"/>
    <s v="Partial College"/>
    <s v="Professional"/>
    <s v="Yes"/>
    <n v="2"/>
    <s v="5-10 Miles"/>
    <x v="2"/>
    <n v="30"/>
    <s v="Adults"/>
    <s v="No"/>
    <n v="0"/>
    <n v="1"/>
  </r>
  <r>
    <n v="21940"/>
    <s v="Married"/>
    <s v="Male"/>
    <n v="90000"/>
    <s v="Medium Income"/>
    <n v="5"/>
    <s v="Graduate Degree"/>
    <s v="Professional"/>
    <s v="Yes"/>
    <n v="0"/>
    <s v="0-1 Miles"/>
    <x v="2"/>
    <n v="47"/>
    <s v="Middle-Aged"/>
    <s v="Yes"/>
    <n v="1"/>
    <n v="1"/>
  </r>
  <r>
    <n v="20196"/>
    <s v="Married"/>
    <s v="Male"/>
    <n v="60000"/>
    <s v="Low Income"/>
    <n v="1"/>
    <s v="Partial College"/>
    <s v="Skilled Manual"/>
    <s v="Yes"/>
    <n v="1"/>
    <s v="2-5 Miles"/>
    <x v="2"/>
    <n v="45"/>
    <s v="Middle-Aged"/>
    <s v="Yes"/>
    <n v="1"/>
    <n v="1"/>
  </r>
  <r>
    <n v="23491"/>
    <s v="Single"/>
    <s v="Male"/>
    <n v="100000"/>
    <s v="Medium Income"/>
    <n v="0"/>
    <s v="Partial College"/>
    <s v="Professional"/>
    <s v="No"/>
    <n v="4"/>
    <s v="1-2 Miles"/>
    <x v="2"/>
    <n v="45"/>
    <s v="Middle-Aged"/>
    <s v="No"/>
    <n v="0"/>
    <n v="1"/>
  </r>
  <r>
    <n v="16651"/>
    <s v="Married"/>
    <s v="Female"/>
    <n v="120000"/>
    <s v="Medium Income"/>
    <n v="2"/>
    <s v="Bachelors"/>
    <s v="Management"/>
    <s v="Yes"/>
    <n v="3"/>
    <s v="5-10 Miles"/>
    <x v="2"/>
    <n v="62"/>
    <s v="Seniors"/>
    <s v="No"/>
    <n v="0"/>
    <n v="1"/>
  </r>
  <r>
    <n v="16813"/>
    <s v="Married"/>
    <s v="Male"/>
    <n v="60000"/>
    <s v="Low Income"/>
    <n v="2"/>
    <s v="Partial College"/>
    <s v="Professional"/>
    <s v="Yes"/>
    <n v="2"/>
    <s v="More than 10 Miles"/>
    <x v="2"/>
    <n v="55"/>
    <s v="Middle-Aged"/>
    <s v="No"/>
    <n v="0"/>
    <n v="1"/>
  </r>
  <r>
    <n v="16007"/>
    <s v="Married"/>
    <s v="Female"/>
    <n v="90000"/>
    <s v="Medium Income"/>
    <n v="5"/>
    <s v="Bachelors"/>
    <s v="Management"/>
    <s v="Yes"/>
    <n v="2"/>
    <s v="1-2 Miles"/>
    <x v="2"/>
    <n v="66"/>
    <s v="Seniors"/>
    <s v="Yes"/>
    <n v="1"/>
    <n v="1"/>
  </r>
  <r>
    <n v="27434"/>
    <s v="Single"/>
    <s v="Male"/>
    <n v="70000"/>
    <s v="Medium Income"/>
    <n v="4"/>
    <s v="Partial College"/>
    <s v="Professional"/>
    <s v="Yes"/>
    <n v="1"/>
    <s v="More than 10 Miles"/>
    <x v="2"/>
    <n v="56"/>
    <s v="Middle-Aged"/>
    <s v="No"/>
    <n v="0"/>
    <n v="1"/>
  </r>
  <r>
    <n v="27756"/>
    <s v="Single"/>
    <s v="Female"/>
    <n v="50000"/>
    <s v="Low Income"/>
    <n v="3"/>
    <s v="Bachelors"/>
    <s v="Skilled Manual"/>
    <s v="No"/>
    <n v="1"/>
    <s v="0-1 Miles"/>
    <x v="2"/>
    <n v="40"/>
    <s v="Middle-Aged"/>
    <s v="No"/>
    <n v="0"/>
    <n v="1"/>
  </r>
  <r>
    <n v="23818"/>
    <s v="Married"/>
    <s v="Female"/>
    <n v="50000"/>
    <s v="Low Income"/>
    <n v="0"/>
    <s v="Graduate Degree"/>
    <s v="Skilled Manual"/>
    <s v="Yes"/>
    <n v="0"/>
    <s v="1-2 Miles"/>
    <x v="2"/>
    <n v="33"/>
    <s v="Adults"/>
    <s v="Yes"/>
    <n v="1"/>
    <n v="1"/>
  </r>
  <r>
    <n v="19012"/>
    <s v="Married"/>
    <s v="Male"/>
    <n v="80000"/>
    <s v="Medium Income"/>
    <n v="3"/>
    <s v="Bachelors"/>
    <s v="Management"/>
    <s v="Yes"/>
    <n v="1"/>
    <s v="1-2 Miles"/>
    <x v="2"/>
    <n v="56"/>
    <s v="Middle-Aged"/>
    <s v="No"/>
    <n v="0"/>
    <n v="1"/>
  </r>
  <r>
    <n v="18329"/>
    <s v="Single"/>
    <s v="Male"/>
    <n v="30000"/>
    <s v="Low Income"/>
    <n v="0"/>
    <s v="Partial High School"/>
    <s v="Clerical"/>
    <s v="No"/>
    <n v="2"/>
    <s v="5-10 Miles"/>
    <x v="2"/>
    <n v="27"/>
    <s v="Young Adults"/>
    <s v="No"/>
    <n v="0"/>
    <n v="1"/>
  </r>
  <r>
    <n v="29037"/>
    <s v="Married"/>
    <s v="Male"/>
    <n v="60000"/>
    <s v="Low Income"/>
    <n v="0"/>
    <s v="Graduate Degree"/>
    <s v="Professional"/>
    <s v="No"/>
    <n v="0"/>
    <s v="0-1 Miles"/>
    <x v="2"/>
    <n v="39"/>
    <s v="Adults"/>
    <s v="No"/>
    <n v="0"/>
    <n v="1"/>
  </r>
  <r>
    <n v="26576"/>
    <s v="Married"/>
    <s v="Female"/>
    <n v="60000"/>
    <s v="Low Income"/>
    <n v="0"/>
    <s v="Partial College"/>
    <s v="Skilled Manual"/>
    <s v="Yes"/>
    <n v="2"/>
    <s v="5-10 Miles"/>
    <x v="2"/>
    <n v="31"/>
    <s v="Adults"/>
    <s v="No"/>
    <n v="0"/>
    <n v="1"/>
  </r>
  <r>
    <n v="12192"/>
    <s v="Single"/>
    <s v="Female"/>
    <n v="60000"/>
    <s v="Low Income"/>
    <n v="2"/>
    <s v="Partial High School"/>
    <s v="Skilled Manual"/>
    <s v="No"/>
    <n v="2"/>
    <s v="1-2 Miles"/>
    <x v="2"/>
    <n v="51"/>
    <s v="Middle-Aged"/>
    <s v="No"/>
    <n v="0"/>
    <n v="1"/>
  </r>
  <r>
    <n v="14887"/>
    <s v="Married"/>
    <s v="Female"/>
    <n v="30000"/>
    <s v="Low Income"/>
    <n v="1"/>
    <s v="High School"/>
    <s v="Clerical"/>
    <s v="Yes"/>
    <n v="1"/>
    <s v="5-10 Miles"/>
    <x v="2"/>
    <n v="52"/>
    <s v="Middle-Aged"/>
    <s v="No"/>
    <n v="0"/>
    <n v="1"/>
  </r>
  <r>
    <n v="11734"/>
    <s v="Married"/>
    <s v="Male"/>
    <n v="60000"/>
    <s v="Low Income"/>
    <n v="1"/>
    <s v="Partial College"/>
    <s v="Skilled Manual"/>
    <s v="No"/>
    <n v="1"/>
    <s v="0-1 Miles"/>
    <x v="2"/>
    <n v="47"/>
    <s v="Middle-Aged"/>
    <s v="No"/>
    <n v="0"/>
    <n v="1"/>
  </r>
  <r>
    <n v="17462"/>
    <s v="Married"/>
    <s v="Male"/>
    <n v="70000"/>
    <s v="Medium Income"/>
    <n v="3"/>
    <s v="Graduate Degree"/>
    <s v="Management"/>
    <s v="Yes"/>
    <n v="2"/>
    <s v="5-10 Miles"/>
    <x v="2"/>
    <n v="53"/>
    <s v="Middle-Aged"/>
    <s v="Yes"/>
    <n v="1"/>
    <n v="1"/>
  </r>
  <r>
    <n v="20659"/>
    <s v="Married"/>
    <s v="Male"/>
    <n v="70000"/>
    <s v="Medium Income"/>
    <n v="3"/>
    <s v="Graduate Degree"/>
    <s v="Professional"/>
    <s v="Yes"/>
    <n v="0"/>
    <s v="0-1 Miles"/>
    <x v="2"/>
    <n v="35"/>
    <s v="Adults"/>
    <s v="Yes"/>
    <n v="1"/>
    <n v="1"/>
  </r>
  <r>
    <n v="28004"/>
    <s v="Married"/>
    <s v="Female"/>
    <n v="60000"/>
    <s v="Low Income"/>
    <n v="3"/>
    <s v="Bachelors"/>
    <s v="Management"/>
    <s v="Yes"/>
    <n v="2"/>
    <s v="More than 10 Miles"/>
    <x v="2"/>
    <n v="66"/>
    <s v="Seniors"/>
    <s v="No"/>
    <n v="0"/>
    <n v="1"/>
  </r>
  <r>
    <n v="19741"/>
    <s v="Single"/>
    <s v="Female"/>
    <n v="80000"/>
    <s v="Medium Income"/>
    <n v="4"/>
    <s v="Graduate Degree"/>
    <s v="Management"/>
    <s v="Yes"/>
    <n v="2"/>
    <s v="5-10 Miles"/>
    <x v="2"/>
    <n v="65"/>
    <s v="Seniors"/>
    <s v="No"/>
    <n v="0"/>
    <n v="1"/>
  </r>
  <r>
    <n v="17450"/>
    <s v="Married"/>
    <s v="Male"/>
    <n v="80000"/>
    <s v="Medium Income"/>
    <n v="5"/>
    <s v="Partial College"/>
    <s v="Professional"/>
    <s v="Yes"/>
    <n v="3"/>
    <s v="5-10 Miles"/>
    <x v="2"/>
    <n v="45"/>
    <s v="Middle-Aged"/>
    <s v="No"/>
    <n v="0"/>
    <n v="1"/>
  </r>
  <r>
    <n v="17337"/>
    <s v="Single"/>
    <s v="Male"/>
    <n v="40000"/>
    <s v="Low Income"/>
    <n v="0"/>
    <s v="High School"/>
    <s v="Skilled Manual"/>
    <s v="Yes"/>
    <n v="1"/>
    <s v="5-10 Miles"/>
    <x v="2"/>
    <n v="31"/>
    <s v="Adults"/>
    <s v="No"/>
    <n v="0"/>
    <n v="1"/>
  </r>
  <r>
    <n v="18594"/>
    <s v="Single"/>
    <s v="Female"/>
    <n v="80000"/>
    <s v="Medium Income"/>
    <n v="3"/>
    <s v="Bachelors"/>
    <s v="Skilled Manual"/>
    <s v="Yes"/>
    <n v="3"/>
    <s v="More than 10 Miles"/>
    <x v="2"/>
    <n v="40"/>
    <s v="Middle-Aged"/>
    <s v="Yes"/>
    <n v="1"/>
    <n v="1"/>
  </r>
  <r>
    <n v="15982"/>
    <s v="Married"/>
    <s v="Male"/>
    <n v="110000"/>
    <s v="Medium Income"/>
    <n v="5"/>
    <s v="Partial College"/>
    <s v="Professional"/>
    <s v="Yes"/>
    <n v="4"/>
    <s v="2-5 Miles"/>
    <x v="2"/>
    <n v="46"/>
    <s v="Middle-Aged"/>
    <s v="No"/>
    <n v="0"/>
    <n v="1"/>
  </r>
  <r>
    <n v="28625"/>
    <s v="Single"/>
    <s v="Male"/>
    <n v="40000"/>
    <s v="Low Income"/>
    <n v="2"/>
    <s v="Partial College"/>
    <s v="Clerical"/>
    <s v="No"/>
    <n v="1"/>
    <s v="1-2 Miles"/>
    <x v="2"/>
    <n v="47"/>
    <s v="Middle-Aged"/>
    <s v="Yes"/>
    <n v="1"/>
    <n v="1"/>
  </r>
  <r>
    <n v="11269"/>
    <s v="Married"/>
    <s v="Male"/>
    <n v="130000"/>
    <s v="High Income"/>
    <n v="2"/>
    <s v="Graduate Degree"/>
    <s v="Management"/>
    <s v="Yes"/>
    <n v="2"/>
    <s v="0-1 Miles"/>
    <x v="2"/>
    <n v="41"/>
    <s v="Middle-Aged"/>
    <s v="No"/>
    <n v="0"/>
    <n v="1"/>
  </r>
  <r>
    <n v="25148"/>
    <s v="Married"/>
    <s v="Male"/>
    <n v="60000"/>
    <s v="Low Income"/>
    <n v="2"/>
    <s v="High School"/>
    <s v="Professional"/>
    <s v="No"/>
    <n v="2"/>
    <s v="1-2 Miles"/>
    <x v="2"/>
    <n v="48"/>
    <s v="Middle-Aged"/>
    <s v="Yes"/>
    <n v="1"/>
    <n v="1"/>
  </r>
  <r>
    <n v="13920"/>
    <s v="Single"/>
    <s v="Female"/>
    <n v="50000"/>
    <s v="Low Income"/>
    <n v="4"/>
    <s v="Bachelors"/>
    <s v="Skilled Manual"/>
    <s v="Yes"/>
    <n v="2"/>
    <s v="0-1 Miles"/>
    <x v="2"/>
    <n v="42"/>
    <s v="Middle-Aged"/>
    <s v="No"/>
    <n v="0"/>
    <n v="1"/>
  </r>
  <r>
    <n v="23704"/>
    <s v="Single"/>
    <s v="Male"/>
    <n v="40000"/>
    <s v="Low Income"/>
    <n v="5"/>
    <s v="High School"/>
    <s v="Professional"/>
    <s v="Yes"/>
    <n v="4"/>
    <s v="More than 10 Miles"/>
    <x v="2"/>
    <n v="60"/>
    <s v="Seniors"/>
    <s v="Yes"/>
    <n v="1"/>
    <n v="1"/>
  </r>
  <r>
    <n v="28972"/>
    <s v="Single"/>
    <s v="Female"/>
    <n v="60000"/>
    <s v="Low Income"/>
    <n v="3"/>
    <s v="Graduate Degree"/>
    <s v="Management"/>
    <s v="Yes"/>
    <n v="2"/>
    <s v="More than 10 Miles"/>
    <x v="2"/>
    <n v="66"/>
    <s v="Seniors"/>
    <s v="No"/>
    <n v="0"/>
    <n v="1"/>
  </r>
  <r>
    <n v="22730"/>
    <s v="Married"/>
    <s v="Male"/>
    <n v="70000"/>
    <s v="Medium Income"/>
    <n v="5"/>
    <s v="Bachelors"/>
    <s v="Management"/>
    <s v="Yes"/>
    <n v="2"/>
    <s v="More than 10 Miles"/>
    <x v="2"/>
    <n v="63"/>
    <s v="Seniors"/>
    <s v="No"/>
    <n v="0"/>
    <n v="1"/>
  </r>
  <r>
    <n v="29134"/>
    <s v="Married"/>
    <s v="Male"/>
    <n v="60000"/>
    <s v="Low Income"/>
    <n v="4"/>
    <s v="Bachelors"/>
    <s v="Skilled Manual"/>
    <s v="No"/>
    <n v="3"/>
    <s v="More than 10 Miles"/>
    <x v="2"/>
    <n v="42"/>
    <s v="Middle-Aged"/>
    <s v="No"/>
    <n v="0"/>
    <n v="1"/>
  </r>
  <r>
    <n v="14332"/>
    <s v="Single"/>
    <s v="Female"/>
    <n v="30000"/>
    <s v="Low Income"/>
    <n v="0"/>
    <s v="High School"/>
    <s v="Skilled Manual"/>
    <s v="No"/>
    <n v="2"/>
    <s v="5-10 Miles"/>
    <x v="2"/>
    <n v="26"/>
    <s v="Young Adults"/>
    <s v="No"/>
    <n v="0"/>
    <n v="1"/>
  </r>
  <r>
    <n v="19117"/>
    <s v="Single"/>
    <s v="Female"/>
    <n v="60000"/>
    <s v="Low Income"/>
    <n v="1"/>
    <s v="Graduate Degree"/>
    <s v="Professional"/>
    <s v="Yes"/>
    <n v="0"/>
    <s v="2-5 Miles"/>
    <x v="2"/>
    <n v="36"/>
    <s v="Adults"/>
    <s v="Yes"/>
    <n v="1"/>
    <n v="1"/>
  </r>
  <r>
    <n v="22864"/>
    <s v="Married"/>
    <s v="Male"/>
    <n v="90000"/>
    <s v="Medium Income"/>
    <n v="2"/>
    <s v="Partial College"/>
    <s v="Professional"/>
    <s v="No"/>
    <n v="0"/>
    <s v="5-10 Miles"/>
    <x v="2"/>
    <n v="49"/>
    <s v="Middle-Aged"/>
    <s v="Yes"/>
    <n v="1"/>
    <n v="1"/>
  </r>
  <r>
    <n v="11292"/>
    <s v="Single"/>
    <s v="Male"/>
    <n v="150000"/>
    <s v="High Income"/>
    <n v="1"/>
    <s v="Partial College"/>
    <s v="Professional"/>
    <s v="No"/>
    <n v="3"/>
    <s v="0-1 Miles"/>
    <x v="2"/>
    <n v="44"/>
    <s v="Middle-Aged"/>
    <s v="Yes"/>
    <n v="1"/>
    <n v="1"/>
  </r>
  <r>
    <n v="13466"/>
    <s v="Married"/>
    <s v="Male"/>
    <n v="80000"/>
    <s v="Medium Income"/>
    <n v="5"/>
    <s v="Partial College"/>
    <s v="Professional"/>
    <s v="Yes"/>
    <n v="3"/>
    <s v="1-2 Miles"/>
    <x v="2"/>
    <n v="46"/>
    <s v="Middle-Aged"/>
    <s v="No"/>
    <n v="0"/>
    <n v="1"/>
  </r>
  <r>
    <n v="23731"/>
    <s v="Married"/>
    <s v="Male"/>
    <n v="60000"/>
    <s v="Low Income"/>
    <n v="2"/>
    <s v="High School"/>
    <s v="Professional"/>
    <s v="Yes"/>
    <n v="2"/>
    <s v="2-5 Miles"/>
    <x v="2"/>
    <n v="54"/>
    <s v="Middle-Aged"/>
    <s v="Yes"/>
    <n v="1"/>
    <n v="1"/>
  </r>
  <r>
    <n v="28672"/>
    <s v="Single"/>
    <s v="Male"/>
    <n v="70000"/>
    <s v="Medium Income"/>
    <n v="4"/>
    <s v="Graduate Degree"/>
    <s v="Professional"/>
    <s v="Yes"/>
    <n v="0"/>
    <s v="2-5 Miles"/>
    <x v="2"/>
    <n v="35"/>
    <s v="Adults"/>
    <s v="Yes"/>
    <n v="1"/>
    <n v="1"/>
  </r>
  <r>
    <n v="11809"/>
    <s v="Married"/>
    <s v="Male"/>
    <n v="60000"/>
    <s v="Low Income"/>
    <n v="2"/>
    <s v="Bachelors"/>
    <s v="Skilled Manual"/>
    <s v="Yes"/>
    <n v="0"/>
    <s v="0-1 Miles"/>
    <x v="2"/>
    <n v="38"/>
    <s v="Adults"/>
    <s v="Yes"/>
    <n v="1"/>
    <n v="1"/>
  </r>
  <r>
    <n v="19664"/>
    <s v="Single"/>
    <s v="Male"/>
    <n v="100000"/>
    <s v="Medium Income"/>
    <n v="3"/>
    <s v="Bachelors"/>
    <s v="Management"/>
    <s v="No"/>
    <n v="3"/>
    <s v="1-2 Miles"/>
    <x v="2"/>
    <n v="38"/>
    <s v="Adults"/>
    <s v="No"/>
    <n v="0"/>
    <n v="1"/>
  </r>
  <r>
    <n v="12121"/>
    <s v="Single"/>
    <s v="Male"/>
    <n v="60000"/>
    <s v="Low Income"/>
    <n v="3"/>
    <s v="High School"/>
    <s v="Professional"/>
    <s v="Yes"/>
    <n v="2"/>
    <s v="More than 10 Miles"/>
    <x v="2"/>
    <n v="53"/>
    <s v="Middle-Aged"/>
    <s v="Yes"/>
    <n v="1"/>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x v="0"/>
    <x v="0"/>
    <s v="Yes"/>
    <n v="0"/>
    <x v="0"/>
    <x v="0"/>
    <n v="42"/>
    <x v="0"/>
    <x v="0"/>
    <x v="0"/>
    <n v="1"/>
    <n v="0"/>
  </r>
  <r>
    <n v="24107"/>
    <x v="0"/>
    <x v="1"/>
    <n v="30000"/>
    <x v="0"/>
    <n v="3"/>
    <x v="1"/>
    <x v="1"/>
    <s v="Yes"/>
    <n v="1"/>
    <x v="0"/>
    <x v="0"/>
    <n v="43"/>
    <x v="0"/>
    <x v="0"/>
    <x v="0"/>
    <n v="1"/>
    <n v="0"/>
  </r>
  <r>
    <n v="14177"/>
    <x v="0"/>
    <x v="1"/>
    <n v="80000"/>
    <x v="1"/>
    <n v="5"/>
    <x v="1"/>
    <x v="2"/>
    <s v="No"/>
    <n v="2"/>
    <x v="1"/>
    <x v="0"/>
    <n v="60"/>
    <x v="1"/>
    <x v="0"/>
    <x v="0"/>
    <n v="1"/>
    <n v="0"/>
  </r>
  <r>
    <n v="24381"/>
    <x v="1"/>
    <x v="1"/>
    <n v="70000"/>
    <x v="1"/>
    <n v="0"/>
    <x v="0"/>
    <x v="2"/>
    <s v="Yes"/>
    <n v="1"/>
    <x v="2"/>
    <x v="1"/>
    <n v="41"/>
    <x v="0"/>
    <x v="1"/>
    <x v="1"/>
    <n v="1"/>
    <n v="70000"/>
  </r>
  <r>
    <n v="25597"/>
    <x v="1"/>
    <x v="1"/>
    <n v="30000"/>
    <x v="0"/>
    <n v="0"/>
    <x v="0"/>
    <x v="1"/>
    <s v="No"/>
    <n v="0"/>
    <x v="0"/>
    <x v="0"/>
    <n v="36"/>
    <x v="2"/>
    <x v="1"/>
    <x v="1"/>
    <n v="1"/>
    <n v="30000"/>
  </r>
  <r>
    <n v="13507"/>
    <x v="0"/>
    <x v="0"/>
    <n v="10000"/>
    <x v="0"/>
    <n v="2"/>
    <x v="1"/>
    <x v="3"/>
    <s v="Yes"/>
    <n v="0"/>
    <x v="3"/>
    <x v="0"/>
    <n v="50"/>
    <x v="0"/>
    <x v="0"/>
    <x v="0"/>
    <n v="1"/>
    <n v="0"/>
  </r>
  <r>
    <n v="27974"/>
    <x v="1"/>
    <x v="1"/>
    <n v="160000"/>
    <x v="2"/>
    <n v="2"/>
    <x v="2"/>
    <x v="4"/>
    <s v="Yes"/>
    <n v="4"/>
    <x v="0"/>
    <x v="1"/>
    <n v="33"/>
    <x v="2"/>
    <x v="1"/>
    <x v="1"/>
    <n v="1"/>
    <n v="160000"/>
  </r>
  <r>
    <n v="19364"/>
    <x v="0"/>
    <x v="1"/>
    <n v="40000"/>
    <x v="0"/>
    <n v="1"/>
    <x v="0"/>
    <x v="0"/>
    <s v="Yes"/>
    <n v="0"/>
    <x v="0"/>
    <x v="0"/>
    <n v="43"/>
    <x v="0"/>
    <x v="1"/>
    <x v="1"/>
    <n v="1"/>
    <n v="40000"/>
  </r>
  <r>
    <n v="22155"/>
    <x v="0"/>
    <x v="1"/>
    <n v="20000"/>
    <x v="0"/>
    <n v="2"/>
    <x v="3"/>
    <x v="1"/>
    <s v="Yes"/>
    <n v="2"/>
    <x v="2"/>
    <x v="1"/>
    <n v="58"/>
    <x v="0"/>
    <x v="0"/>
    <x v="0"/>
    <n v="1"/>
    <n v="0"/>
  </r>
  <r>
    <n v="19280"/>
    <x v="0"/>
    <x v="1"/>
    <n v="120000"/>
    <x v="1"/>
    <n v="2"/>
    <x v="1"/>
    <x v="3"/>
    <s v="Yes"/>
    <n v="1"/>
    <x v="0"/>
    <x v="0"/>
    <n v="40"/>
    <x v="0"/>
    <x v="1"/>
    <x v="1"/>
    <n v="1"/>
    <n v="120000"/>
  </r>
  <r>
    <n v="22173"/>
    <x v="0"/>
    <x v="0"/>
    <n v="30000"/>
    <x v="0"/>
    <n v="3"/>
    <x v="2"/>
    <x v="0"/>
    <s v="No"/>
    <n v="2"/>
    <x v="3"/>
    <x v="1"/>
    <n v="54"/>
    <x v="0"/>
    <x v="1"/>
    <x v="1"/>
    <n v="1"/>
    <n v="30000"/>
  </r>
  <r>
    <n v="12697"/>
    <x v="1"/>
    <x v="0"/>
    <n v="90000"/>
    <x v="1"/>
    <n v="0"/>
    <x v="0"/>
    <x v="2"/>
    <s v="No"/>
    <n v="4"/>
    <x v="4"/>
    <x v="1"/>
    <n v="36"/>
    <x v="2"/>
    <x v="0"/>
    <x v="0"/>
    <n v="1"/>
    <n v="0"/>
  </r>
  <r>
    <n v="11434"/>
    <x v="0"/>
    <x v="1"/>
    <n v="170000"/>
    <x v="2"/>
    <n v="5"/>
    <x v="1"/>
    <x v="2"/>
    <s v="Yes"/>
    <n v="0"/>
    <x v="0"/>
    <x v="0"/>
    <n v="55"/>
    <x v="0"/>
    <x v="0"/>
    <x v="0"/>
    <n v="1"/>
    <n v="0"/>
  </r>
  <r>
    <n v="25323"/>
    <x v="0"/>
    <x v="1"/>
    <n v="40000"/>
    <x v="0"/>
    <n v="2"/>
    <x v="1"/>
    <x v="1"/>
    <s v="Yes"/>
    <n v="1"/>
    <x v="3"/>
    <x v="0"/>
    <n v="35"/>
    <x v="2"/>
    <x v="1"/>
    <x v="1"/>
    <n v="1"/>
    <n v="40000"/>
  </r>
  <r>
    <n v="23542"/>
    <x v="1"/>
    <x v="1"/>
    <n v="60000"/>
    <x v="0"/>
    <n v="1"/>
    <x v="1"/>
    <x v="0"/>
    <s v="No"/>
    <n v="1"/>
    <x v="0"/>
    <x v="1"/>
    <n v="45"/>
    <x v="0"/>
    <x v="1"/>
    <x v="1"/>
    <n v="1"/>
    <n v="60000"/>
  </r>
  <r>
    <n v="20870"/>
    <x v="1"/>
    <x v="0"/>
    <n v="10000"/>
    <x v="0"/>
    <n v="2"/>
    <x v="2"/>
    <x v="3"/>
    <s v="Yes"/>
    <n v="1"/>
    <x v="0"/>
    <x v="0"/>
    <n v="38"/>
    <x v="2"/>
    <x v="1"/>
    <x v="1"/>
    <n v="1"/>
    <n v="10000"/>
  </r>
  <r>
    <n v="23316"/>
    <x v="1"/>
    <x v="1"/>
    <n v="30000"/>
    <x v="0"/>
    <n v="3"/>
    <x v="1"/>
    <x v="1"/>
    <s v="No"/>
    <n v="2"/>
    <x v="3"/>
    <x v="1"/>
    <n v="59"/>
    <x v="0"/>
    <x v="1"/>
    <x v="1"/>
    <n v="1"/>
    <n v="30000"/>
  </r>
  <r>
    <n v="12610"/>
    <x v="0"/>
    <x v="0"/>
    <n v="30000"/>
    <x v="0"/>
    <n v="1"/>
    <x v="0"/>
    <x v="1"/>
    <s v="Yes"/>
    <n v="0"/>
    <x v="0"/>
    <x v="0"/>
    <n v="47"/>
    <x v="0"/>
    <x v="0"/>
    <x v="0"/>
    <n v="1"/>
    <n v="0"/>
  </r>
  <r>
    <n v="27183"/>
    <x v="1"/>
    <x v="1"/>
    <n v="40000"/>
    <x v="0"/>
    <n v="2"/>
    <x v="1"/>
    <x v="1"/>
    <s v="Yes"/>
    <n v="1"/>
    <x v="3"/>
    <x v="0"/>
    <n v="35"/>
    <x v="2"/>
    <x v="1"/>
    <x v="1"/>
    <n v="1"/>
    <n v="40000"/>
  </r>
  <r>
    <n v="25940"/>
    <x v="1"/>
    <x v="1"/>
    <n v="20000"/>
    <x v="0"/>
    <n v="2"/>
    <x v="3"/>
    <x v="1"/>
    <s v="Yes"/>
    <n v="2"/>
    <x v="2"/>
    <x v="1"/>
    <n v="55"/>
    <x v="0"/>
    <x v="1"/>
    <x v="1"/>
    <n v="1"/>
    <n v="20000"/>
  </r>
  <r>
    <n v="25598"/>
    <x v="0"/>
    <x v="0"/>
    <n v="40000"/>
    <x v="0"/>
    <n v="0"/>
    <x v="4"/>
    <x v="1"/>
    <s v="Yes"/>
    <n v="0"/>
    <x v="0"/>
    <x v="0"/>
    <n v="36"/>
    <x v="2"/>
    <x v="1"/>
    <x v="1"/>
    <n v="1"/>
    <n v="40000"/>
  </r>
  <r>
    <n v="21564"/>
    <x v="1"/>
    <x v="0"/>
    <n v="80000"/>
    <x v="1"/>
    <n v="0"/>
    <x v="0"/>
    <x v="2"/>
    <s v="Yes"/>
    <n v="4"/>
    <x v="4"/>
    <x v="1"/>
    <n v="35"/>
    <x v="2"/>
    <x v="0"/>
    <x v="0"/>
    <n v="1"/>
    <n v="0"/>
  </r>
  <r>
    <n v="19193"/>
    <x v="1"/>
    <x v="1"/>
    <n v="40000"/>
    <x v="0"/>
    <n v="2"/>
    <x v="1"/>
    <x v="1"/>
    <s v="Yes"/>
    <n v="0"/>
    <x v="3"/>
    <x v="0"/>
    <n v="35"/>
    <x v="2"/>
    <x v="1"/>
    <x v="1"/>
    <n v="1"/>
    <n v="40000"/>
  </r>
  <r>
    <n v="26412"/>
    <x v="0"/>
    <x v="0"/>
    <n v="80000"/>
    <x v="1"/>
    <n v="5"/>
    <x v="2"/>
    <x v="4"/>
    <s v="No"/>
    <n v="3"/>
    <x v="2"/>
    <x v="0"/>
    <n v="56"/>
    <x v="0"/>
    <x v="0"/>
    <x v="0"/>
    <n v="1"/>
    <n v="0"/>
  </r>
  <r>
    <n v="27184"/>
    <x v="1"/>
    <x v="1"/>
    <n v="40000"/>
    <x v="0"/>
    <n v="2"/>
    <x v="1"/>
    <x v="1"/>
    <s v="No"/>
    <n v="1"/>
    <x v="0"/>
    <x v="0"/>
    <n v="34"/>
    <x v="2"/>
    <x v="0"/>
    <x v="0"/>
    <n v="1"/>
    <n v="0"/>
  </r>
  <r>
    <n v="12590"/>
    <x v="1"/>
    <x v="1"/>
    <n v="30000"/>
    <x v="0"/>
    <n v="1"/>
    <x v="0"/>
    <x v="1"/>
    <s v="Yes"/>
    <n v="0"/>
    <x v="0"/>
    <x v="0"/>
    <n v="63"/>
    <x v="1"/>
    <x v="0"/>
    <x v="0"/>
    <n v="1"/>
    <n v="0"/>
  </r>
  <r>
    <n v="17841"/>
    <x v="1"/>
    <x v="1"/>
    <n v="30000"/>
    <x v="0"/>
    <n v="0"/>
    <x v="1"/>
    <x v="1"/>
    <s v="No"/>
    <n v="1"/>
    <x v="0"/>
    <x v="0"/>
    <n v="29"/>
    <x v="3"/>
    <x v="1"/>
    <x v="1"/>
    <n v="1"/>
    <n v="30000"/>
  </r>
  <r>
    <n v="18283"/>
    <x v="1"/>
    <x v="0"/>
    <n v="100000"/>
    <x v="1"/>
    <n v="0"/>
    <x v="0"/>
    <x v="2"/>
    <s v="No"/>
    <n v="1"/>
    <x v="2"/>
    <x v="1"/>
    <n v="40"/>
    <x v="0"/>
    <x v="0"/>
    <x v="0"/>
    <n v="1"/>
    <n v="0"/>
  </r>
  <r>
    <n v="18299"/>
    <x v="0"/>
    <x v="1"/>
    <n v="70000"/>
    <x v="1"/>
    <n v="5"/>
    <x v="1"/>
    <x v="0"/>
    <s v="Yes"/>
    <n v="2"/>
    <x v="2"/>
    <x v="1"/>
    <n v="44"/>
    <x v="0"/>
    <x v="0"/>
    <x v="0"/>
    <n v="1"/>
    <n v="0"/>
  </r>
  <r>
    <n v="16466"/>
    <x v="1"/>
    <x v="0"/>
    <n v="20000"/>
    <x v="0"/>
    <n v="0"/>
    <x v="3"/>
    <x v="3"/>
    <s v="No"/>
    <n v="2"/>
    <x v="0"/>
    <x v="0"/>
    <n v="32"/>
    <x v="2"/>
    <x v="1"/>
    <x v="1"/>
    <n v="1"/>
    <n v="20000"/>
  </r>
  <r>
    <n v="19273"/>
    <x v="0"/>
    <x v="0"/>
    <n v="20000"/>
    <x v="0"/>
    <n v="2"/>
    <x v="1"/>
    <x v="3"/>
    <s v="Yes"/>
    <n v="0"/>
    <x v="0"/>
    <x v="0"/>
    <n v="63"/>
    <x v="1"/>
    <x v="0"/>
    <x v="0"/>
    <n v="1"/>
    <n v="0"/>
  </r>
  <r>
    <n v="22400"/>
    <x v="0"/>
    <x v="1"/>
    <n v="10000"/>
    <x v="0"/>
    <n v="0"/>
    <x v="1"/>
    <x v="3"/>
    <s v="No"/>
    <n v="1"/>
    <x v="0"/>
    <x v="1"/>
    <n v="26"/>
    <x v="3"/>
    <x v="1"/>
    <x v="1"/>
    <n v="1"/>
    <n v="10000"/>
  </r>
  <r>
    <n v="20942"/>
    <x v="1"/>
    <x v="0"/>
    <n v="20000"/>
    <x v="0"/>
    <n v="0"/>
    <x v="2"/>
    <x v="3"/>
    <s v="No"/>
    <n v="1"/>
    <x v="2"/>
    <x v="0"/>
    <n v="31"/>
    <x v="2"/>
    <x v="0"/>
    <x v="0"/>
    <n v="1"/>
    <n v="0"/>
  </r>
  <r>
    <n v="18484"/>
    <x v="1"/>
    <x v="1"/>
    <n v="80000"/>
    <x v="1"/>
    <n v="2"/>
    <x v="2"/>
    <x v="0"/>
    <s v="No"/>
    <n v="2"/>
    <x v="3"/>
    <x v="1"/>
    <n v="50"/>
    <x v="0"/>
    <x v="1"/>
    <x v="1"/>
    <n v="1"/>
    <n v="80000"/>
  </r>
  <r>
    <n v="12291"/>
    <x v="1"/>
    <x v="1"/>
    <n v="90000"/>
    <x v="1"/>
    <n v="5"/>
    <x v="1"/>
    <x v="2"/>
    <s v="No"/>
    <n v="2"/>
    <x v="1"/>
    <x v="0"/>
    <n v="62"/>
    <x v="1"/>
    <x v="1"/>
    <x v="1"/>
    <n v="1"/>
    <n v="90000"/>
  </r>
  <r>
    <n v="28380"/>
    <x v="1"/>
    <x v="0"/>
    <n v="10000"/>
    <x v="0"/>
    <n v="5"/>
    <x v="3"/>
    <x v="3"/>
    <s v="No"/>
    <n v="2"/>
    <x v="0"/>
    <x v="0"/>
    <n v="41"/>
    <x v="0"/>
    <x v="0"/>
    <x v="0"/>
    <n v="1"/>
    <n v="0"/>
  </r>
  <r>
    <n v="17891"/>
    <x v="0"/>
    <x v="0"/>
    <n v="10000"/>
    <x v="0"/>
    <n v="2"/>
    <x v="1"/>
    <x v="3"/>
    <s v="Yes"/>
    <n v="1"/>
    <x v="0"/>
    <x v="0"/>
    <n v="50"/>
    <x v="0"/>
    <x v="1"/>
    <x v="1"/>
    <n v="1"/>
    <n v="10000"/>
  </r>
  <r>
    <n v="27832"/>
    <x v="1"/>
    <x v="0"/>
    <n v="30000"/>
    <x v="0"/>
    <n v="0"/>
    <x v="1"/>
    <x v="1"/>
    <s v="No"/>
    <n v="1"/>
    <x v="1"/>
    <x v="0"/>
    <n v="30"/>
    <x v="2"/>
    <x v="0"/>
    <x v="0"/>
    <n v="1"/>
    <n v="0"/>
  </r>
  <r>
    <n v="26863"/>
    <x v="1"/>
    <x v="1"/>
    <n v="20000"/>
    <x v="0"/>
    <n v="0"/>
    <x v="2"/>
    <x v="3"/>
    <s v="No"/>
    <n v="1"/>
    <x v="1"/>
    <x v="0"/>
    <n v="28"/>
    <x v="3"/>
    <x v="0"/>
    <x v="0"/>
    <n v="1"/>
    <n v="0"/>
  </r>
  <r>
    <n v="16259"/>
    <x v="1"/>
    <x v="0"/>
    <n v="10000"/>
    <x v="0"/>
    <n v="4"/>
    <x v="3"/>
    <x v="3"/>
    <s v="Yes"/>
    <n v="2"/>
    <x v="0"/>
    <x v="0"/>
    <n v="40"/>
    <x v="0"/>
    <x v="1"/>
    <x v="1"/>
    <n v="1"/>
    <n v="10000"/>
  </r>
  <r>
    <n v="27803"/>
    <x v="1"/>
    <x v="0"/>
    <n v="30000"/>
    <x v="0"/>
    <n v="2"/>
    <x v="1"/>
    <x v="1"/>
    <s v="No"/>
    <n v="0"/>
    <x v="0"/>
    <x v="0"/>
    <n v="43"/>
    <x v="0"/>
    <x v="0"/>
    <x v="0"/>
    <n v="1"/>
    <n v="0"/>
  </r>
  <r>
    <n v="14347"/>
    <x v="1"/>
    <x v="0"/>
    <n v="40000"/>
    <x v="0"/>
    <n v="2"/>
    <x v="0"/>
    <x v="4"/>
    <s v="Yes"/>
    <n v="2"/>
    <x v="2"/>
    <x v="1"/>
    <n v="65"/>
    <x v="1"/>
    <x v="1"/>
    <x v="1"/>
    <n v="1"/>
    <n v="40000"/>
  </r>
  <r>
    <n v="17703"/>
    <x v="0"/>
    <x v="0"/>
    <n v="10000"/>
    <x v="0"/>
    <n v="1"/>
    <x v="4"/>
    <x v="3"/>
    <s v="Yes"/>
    <n v="0"/>
    <x v="0"/>
    <x v="0"/>
    <n v="40"/>
    <x v="0"/>
    <x v="0"/>
    <x v="0"/>
    <n v="1"/>
    <n v="0"/>
  </r>
  <r>
    <n v="17185"/>
    <x v="0"/>
    <x v="0"/>
    <n v="170000"/>
    <x v="2"/>
    <n v="4"/>
    <x v="1"/>
    <x v="2"/>
    <s v="No"/>
    <n v="3"/>
    <x v="2"/>
    <x v="0"/>
    <n v="48"/>
    <x v="0"/>
    <x v="1"/>
    <x v="1"/>
    <n v="1"/>
    <n v="170000"/>
  </r>
  <r>
    <n v="29380"/>
    <x v="0"/>
    <x v="0"/>
    <n v="20000"/>
    <x v="0"/>
    <n v="3"/>
    <x v="2"/>
    <x v="3"/>
    <s v="Yes"/>
    <n v="0"/>
    <x v="0"/>
    <x v="0"/>
    <n v="41"/>
    <x v="0"/>
    <x v="1"/>
    <x v="1"/>
    <n v="1"/>
    <n v="20000"/>
  </r>
  <r>
    <n v="23986"/>
    <x v="0"/>
    <x v="0"/>
    <n v="20000"/>
    <x v="0"/>
    <n v="1"/>
    <x v="0"/>
    <x v="1"/>
    <s v="Yes"/>
    <n v="0"/>
    <x v="0"/>
    <x v="0"/>
    <n v="66"/>
    <x v="1"/>
    <x v="1"/>
    <x v="1"/>
    <n v="1"/>
    <n v="20000"/>
  </r>
  <r>
    <n v="24466"/>
    <x v="0"/>
    <x v="0"/>
    <n v="60000"/>
    <x v="0"/>
    <n v="1"/>
    <x v="1"/>
    <x v="0"/>
    <s v="Yes"/>
    <n v="1"/>
    <x v="2"/>
    <x v="1"/>
    <n v="46"/>
    <x v="0"/>
    <x v="1"/>
    <x v="1"/>
    <n v="1"/>
    <n v="60000"/>
  </r>
  <r>
    <n v="29097"/>
    <x v="1"/>
    <x v="0"/>
    <n v="40000"/>
    <x v="0"/>
    <n v="2"/>
    <x v="1"/>
    <x v="0"/>
    <s v="Yes"/>
    <n v="2"/>
    <x v="2"/>
    <x v="1"/>
    <n v="52"/>
    <x v="0"/>
    <x v="1"/>
    <x v="1"/>
    <n v="1"/>
    <n v="40000"/>
  </r>
  <r>
    <n v="19487"/>
    <x v="0"/>
    <x v="1"/>
    <n v="30000"/>
    <x v="0"/>
    <n v="2"/>
    <x v="1"/>
    <x v="1"/>
    <s v="No"/>
    <n v="2"/>
    <x v="0"/>
    <x v="0"/>
    <n v="42"/>
    <x v="0"/>
    <x v="0"/>
    <x v="0"/>
    <n v="1"/>
    <n v="0"/>
  </r>
  <r>
    <n v="14939"/>
    <x v="1"/>
    <x v="1"/>
    <n v="40000"/>
    <x v="0"/>
    <n v="0"/>
    <x v="0"/>
    <x v="1"/>
    <s v="Yes"/>
    <n v="0"/>
    <x v="0"/>
    <x v="0"/>
    <n v="39"/>
    <x v="2"/>
    <x v="1"/>
    <x v="1"/>
    <n v="1"/>
    <n v="40000"/>
  </r>
  <r>
    <n v="13826"/>
    <x v="1"/>
    <x v="0"/>
    <n v="30000"/>
    <x v="0"/>
    <n v="0"/>
    <x v="1"/>
    <x v="1"/>
    <s v="No"/>
    <n v="1"/>
    <x v="0"/>
    <x v="0"/>
    <n v="28"/>
    <x v="3"/>
    <x v="0"/>
    <x v="0"/>
    <n v="1"/>
    <n v="0"/>
  </r>
  <r>
    <n v="20619"/>
    <x v="1"/>
    <x v="1"/>
    <n v="80000"/>
    <x v="1"/>
    <n v="0"/>
    <x v="0"/>
    <x v="2"/>
    <s v="No"/>
    <n v="4"/>
    <x v="4"/>
    <x v="1"/>
    <n v="35"/>
    <x v="2"/>
    <x v="0"/>
    <x v="0"/>
    <n v="1"/>
    <n v="0"/>
  </r>
  <r>
    <n v="12558"/>
    <x v="0"/>
    <x v="0"/>
    <n v="20000"/>
    <x v="0"/>
    <n v="1"/>
    <x v="0"/>
    <x v="1"/>
    <s v="Yes"/>
    <n v="0"/>
    <x v="0"/>
    <x v="0"/>
    <n v="65"/>
    <x v="1"/>
    <x v="0"/>
    <x v="0"/>
    <n v="1"/>
    <n v="0"/>
  </r>
  <r>
    <n v="24871"/>
    <x v="1"/>
    <x v="0"/>
    <n v="90000"/>
    <x v="1"/>
    <n v="4"/>
    <x v="2"/>
    <x v="4"/>
    <s v="No"/>
    <n v="3"/>
    <x v="2"/>
    <x v="0"/>
    <n v="56"/>
    <x v="0"/>
    <x v="0"/>
    <x v="0"/>
    <n v="1"/>
    <n v="0"/>
  </r>
  <r>
    <n v="17319"/>
    <x v="1"/>
    <x v="0"/>
    <n v="70000"/>
    <x v="1"/>
    <n v="0"/>
    <x v="0"/>
    <x v="2"/>
    <s v="No"/>
    <n v="1"/>
    <x v="2"/>
    <x v="1"/>
    <n v="42"/>
    <x v="0"/>
    <x v="0"/>
    <x v="0"/>
    <n v="1"/>
    <n v="0"/>
  </r>
  <r>
    <n v="28906"/>
    <x v="0"/>
    <x v="1"/>
    <n v="80000"/>
    <x v="1"/>
    <n v="4"/>
    <x v="2"/>
    <x v="2"/>
    <s v="Yes"/>
    <n v="2"/>
    <x v="4"/>
    <x v="0"/>
    <n v="54"/>
    <x v="0"/>
    <x v="0"/>
    <x v="0"/>
    <n v="1"/>
    <n v="0"/>
  </r>
  <r>
    <n v="12808"/>
    <x v="0"/>
    <x v="1"/>
    <n v="40000"/>
    <x v="0"/>
    <n v="0"/>
    <x v="0"/>
    <x v="1"/>
    <s v="Yes"/>
    <n v="0"/>
    <x v="0"/>
    <x v="0"/>
    <n v="38"/>
    <x v="2"/>
    <x v="1"/>
    <x v="1"/>
    <n v="1"/>
    <n v="40000"/>
  </r>
  <r>
    <n v="20567"/>
    <x v="0"/>
    <x v="1"/>
    <n v="130000"/>
    <x v="2"/>
    <n v="4"/>
    <x v="1"/>
    <x v="2"/>
    <s v="No"/>
    <n v="4"/>
    <x v="2"/>
    <x v="0"/>
    <n v="61"/>
    <x v="1"/>
    <x v="1"/>
    <x v="1"/>
    <n v="1"/>
    <n v="130000"/>
  </r>
  <r>
    <n v="25502"/>
    <x v="0"/>
    <x v="0"/>
    <n v="40000"/>
    <x v="0"/>
    <n v="1"/>
    <x v="0"/>
    <x v="0"/>
    <s v="Yes"/>
    <n v="0"/>
    <x v="0"/>
    <x v="0"/>
    <n v="43"/>
    <x v="0"/>
    <x v="1"/>
    <x v="1"/>
    <n v="1"/>
    <n v="40000"/>
  </r>
  <r>
    <n v="15580"/>
    <x v="0"/>
    <x v="1"/>
    <n v="60000"/>
    <x v="0"/>
    <n v="2"/>
    <x v="0"/>
    <x v="2"/>
    <s v="Yes"/>
    <n v="1"/>
    <x v="1"/>
    <x v="1"/>
    <n v="38"/>
    <x v="2"/>
    <x v="1"/>
    <x v="1"/>
    <n v="1"/>
    <n v="60000"/>
  </r>
  <r>
    <n v="24185"/>
    <x v="1"/>
    <x v="0"/>
    <n v="10000"/>
    <x v="0"/>
    <n v="1"/>
    <x v="2"/>
    <x v="3"/>
    <s v="No"/>
    <n v="1"/>
    <x v="3"/>
    <x v="0"/>
    <n v="45"/>
    <x v="0"/>
    <x v="0"/>
    <x v="0"/>
    <n v="1"/>
    <n v="0"/>
  </r>
  <r>
    <n v="19291"/>
    <x v="1"/>
    <x v="0"/>
    <n v="10000"/>
    <x v="0"/>
    <n v="2"/>
    <x v="2"/>
    <x v="3"/>
    <s v="Yes"/>
    <n v="0"/>
    <x v="0"/>
    <x v="0"/>
    <n v="35"/>
    <x v="2"/>
    <x v="0"/>
    <x v="0"/>
    <n v="1"/>
    <n v="0"/>
  </r>
  <r>
    <n v="16713"/>
    <x v="0"/>
    <x v="1"/>
    <n v="40000"/>
    <x v="0"/>
    <n v="2"/>
    <x v="0"/>
    <x v="4"/>
    <s v="Yes"/>
    <n v="1"/>
    <x v="0"/>
    <x v="1"/>
    <n v="52"/>
    <x v="0"/>
    <x v="1"/>
    <x v="1"/>
    <n v="1"/>
    <n v="40000"/>
  </r>
  <r>
    <n v="16185"/>
    <x v="1"/>
    <x v="1"/>
    <n v="60000"/>
    <x v="0"/>
    <n v="4"/>
    <x v="0"/>
    <x v="2"/>
    <s v="Yes"/>
    <n v="3"/>
    <x v="4"/>
    <x v="1"/>
    <n v="41"/>
    <x v="0"/>
    <x v="0"/>
    <x v="0"/>
    <n v="1"/>
    <n v="0"/>
  </r>
  <r>
    <n v="14927"/>
    <x v="0"/>
    <x v="0"/>
    <n v="30000"/>
    <x v="0"/>
    <n v="1"/>
    <x v="0"/>
    <x v="1"/>
    <s v="Yes"/>
    <n v="0"/>
    <x v="0"/>
    <x v="0"/>
    <n v="37"/>
    <x v="2"/>
    <x v="1"/>
    <x v="1"/>
    <n v="1"/>
    <n v="30000"/>
  </r>
  <r>
    <n v="29337"/>
    <x v="1"/>
    <x v="1"/>
    <n v="30000"/>
    <x v="0"/>
    <n v="2"/>
    <x v="1"/>
    <x v="1"/>
    <s v="Yes"/>
    <n v="2"/>
    <x v="2"/>
    <x v="1"/>
    <n v="68"/>
    <x v="1"/>
    <x v="0"/>
    <x v="0"/>
    <n v="1"/>
    <n v="0"/>
  </r>
  <r>
    <n v="29355"/>
    <x v="0"/>
    <x v="0"/>
    <n v="40000"/>
    <x v="0"/>
    <n v="0"/>
    <x v="4"/>
    <x v="1"/>
    <s v="Yes"/>
    <n v="0"/>
    <x v="0"/>
    <x v="0"/>
    <n v="37"/>
    <x v="2"/>
    <x v="1"/>
    <x v="1"/>
    <n v="1"/>
    <n v="40000"/>
  </r>
  <r>
    <n v="25303"/>
    <x v="1"/>
    <x v="1"/>
    <n v="30000"/>
    <x v="0"/>
    <n v="0"/>
    <x v="2"/>
    <x v="3"/>
    <s v="Yes"/>
    <n v="1"/>
    <x v="1"/>
    <x v="0"/>
    <n v="33"/>
    <x v="2"/>
    <x v="1"/>
    <x v="1"/>
    <n v="1"/>
    <n v="30000"/>
  </r>
  <r>
    <n v="14813"/>
    <x v="1"/>
    <x v="0"/>
    <n v="20000"/>
    <x v="0"/>
    <n v="4"/>
    <x v="2"/>
    <x v="3"/>
    <s v="Yes"/>
    <n v="1"/>
    <x v="0"/>
    <x v="0"/>
    <n v="43"/>
    <x v="0"/>
    <x v="1"/>
    <x v="1"/>
    <n v="1"/>
    <n v="20000"/>
  </r>
  <r>
    <n v="16438"/>
    <x v="0"/>
    <x v="0"/>
    <n v="10000"/>
    <x v="0"/>
    <n v="0"/>
    <x v="3"/>
    <x v="3"/>
    <s v="No"/>
    <n v="2"/>
    <x v="0"/>
    <x v="0"/>
    <n v="30"/>
    <x v="2"/>
    <x v="0"/>
    <x v="0"/>
    <n v="1"/>
    <n v="0"/>
  </r>
  <r>
    <n v="14238"/>
    <x v="0"/>
    <x v="1"/>
    <n v="120000"/>
    <x v="1"/>
    <n v="0"/>
    <x v="3"/>
    <x v="2"/>
    <s v="Yes"/>
    <n v="4"/>
    <x v="4"/>
    <x v="1"/>
    <n v="36"/>
    <x v="2"/>
    <x v="1"/>
    <x v="1"/>
    <n v="1"/>
    <n v="120000"/>
  </r>
  <r>
    <n v="16200"/>
    <x v="1"/>
    <x v="0"/>
    <n v="10000"/>
    <x v="0"/>
    <n v="0"/>
    <x v="3"/>
    <x v="3"/>
    <s v="No"/>
    <n v="2"/>
    <x v="0"/>
    <x v="0"/>
    <n v="35"/>
    <x v="2"/>
    <x v="0"/>
    <x v="0"/>
    <n v="1"/>
    <n v="0"/>
  </r>
  <r>
    <n v="24857"/>
    <x v="0"/>
    <x v="0"/>
    <n v="130000"/>
    <x v="2"/>
    <n v="3"/>
    <x v="2"/>
    <x v="2"/>
    <s v="Yes"/>
    <n v="4"/>
    <x v="0"/>
    <x v="0"/>
    <n v="52"/>
    <x v="0"/>
    <x v="0"/>
    <x v="0"/>
    <n v="1"/>
    <n v="0"/>
  </r>
  <r>
    <n v="26956"/>
    <x v="1"/>
    <x v="0"/>
    <n v="20000"/>
    <x v="0"/>
    <n v="0"/>
    <x v="1"/>
    <x v="3"/>
    <s v="No"/>
    <n v="1"/>
    <x v="1"/>
    <x v="0"/>
    <n v="36"/>
    <x v="2"/>
    <x v="1"/>
    <x v="1"/>
    <n v="1"/>
    <n v="20000"/>
  </r>
  <r>
    <n v="14517"/>
    <x v="0"/>
    <x v="0"/>
    <n v="20000"/>
    <x v="0"/>
    <n v="3"/>
    <x v="2"/>
    <x v="0"/>
    <s v="No"/>
    <n v="2"/>
    <x v="3"/>
    <x v="1"/>
    <n v="62"/>
    <x v="1"/>
    <x v="0"/>
    <x v="0"/>
    <n v="1"/>
    <n v="0"/>
  </r>
  <r>
    <n v="12678"/>
    <x v="1"/>
    <x v="0"/>
    <n v="130000"/>
    <x v="2"/>
    <n v="4"/>
    <x v="2"/>
    <x v="4"/>
    <s v="Yes"/>
    <n v="4"/>
    <x v="0"/>
    <x v="1"/>
    <n v="31"/>
    <x v="2"/>
    <x v="0"/>
    <x v="0"/>
    <n v="1"/>
    <n v="0"/>
  </r>
  <r>
    <n v="16188"/>
    <x v="1"/>
    <x v="0"/>
    <n v="20000"/>
    <x v="0"/>
    <n v="0"/>
    <x v="3"/>
    <x v="3"/>
    <s v="No"/>
    <n v="2"/>
    <x v="3"/>
    <x v="0"/>
    <n v="26"/>
    <x v="3"/>
    <x v="0"/>
    <x v="0"/>
    <n v="1"/>
    <n v="0"/>
  </r>
  <r>
    <n v="27969"/>
    <x v="0"/>
    <x v="1"/>
    <n v="80000"/>
    <x v="1"/>
    <n v="0"/>
    <x v="0"/>
    <x v="2"/>
    <s v="Yes"/>
    <n v="2"/>
    <x v="4"/>
    <x v="1"/>
    <n v="29"/>
    <x v="3"/>
    <x v="1"/>
    <x v="1"/>
    <n v="1"/>
    <n v="80000"/>
  </r>
  <r>
    <n v="15752"/>
    <x v="0"/>
    <x v="1"/>
    <n v="80000"/>
    <x v="1"/>
    <n v="2"/>
    <x v="2"/>
    <x v="0"/>
    <s v="No"/>
    <n v="2"/>
    <x v="3"/>
    <x v="1"/>
    <n v="50"/>
    <x v="0"/>
    <x v="1"/>
    <x v="1"/>
    <n v="1"/>
    <n v="80000"/>
  </r>
  <r>
    <n v="27745"/>
    <x v="1"/>
    <x v="1"/>
    <n v="40000"/>
    <x v="0"/>
    <n v="2"/>
    <x v="0"/>
    <x v="4"/>
    <s v="Yes"/>
    <n v="2"/>
    <x v="2"/>
    <x v="1"/>
    <n v="63"/>
    <x v="1"/>
    <x v="1"/>
    <x v="1"/>
    <n v="1"/>
    <n v="40000"/>
  </r>
  <r>
    <n v="20828"/>
    <x v="0"/>
    <x v="0"/>
    <n v="30000"/>
    <x v="0"/>
    <n v="4"/>
    <x v="4"/>
    <x v="1"/>
    <s v="Yes"/>
    <n v="0"/>
    <x v="0"/>
    <x v="0"/>
    <n v="45"/>
    <x v="0"/>
    <x v="1"/>
    <x v="1"/>
    <n v="1"/>
    <n v="30000"/>
  </r>
  <r>
    <n v="19461"/>
    <x v="1"/>
    <x v="0"/>
    <n v="10000"/>
    <x v="0"/>
    <n v="4"/>
    <x v="3"/>
    <x v="3"/>
    <s v="Yes"/>
    <n v="2"/>
    <x v="0"/>
    <x v="0"/>
    <n v="40"/>
    <x v="0"/>
    <x v="0"/>
    <x v="0"/>
    <n v="1"/>
    <n v="0"/>
  </r>
  <r>
    <n v="26941"/>
    <x v="0"/>
    <x v="1"/>
    <n v="30000"/>
    <x v="0"/>
    <n v="0"/>
    <x v="0"/>
    <x v="1"/>
    <s v="Yes"/>
    <n v="0"/>
    <x v="0"/>
    <x v="0"/>
    <n v="47"/>
    <x v="0"/>
    <x v="1"/>
    <x v="1"/>
    <n v="1"/>
    <n v="30000"/>
  </r>
  <r>
    <n v="28412"/>
    <x v="1"/>
    <x v="1"/>
    <n v="20000"/>
    <x v="0"/>
    <n v="0"/>
    <x v="2"/>
    <x v="3"/>
    <s v="No"/>
    <n v="1"/>
    <x v="1"/>
    <x v="0"/>
    <n v="29"/>
    <x v="3"/>
    <x v="0"/>
    <x v="0"/>
    <n v="1"/>
    <n v="0"/>
  </r>
  <r>
    <n v="24485"/>
    <x v="1"/>
    <x v="1"/>
    <n v="40000"/>
    <x v="0"/>
    <n v="2"/>
    <x v="0"/>
    <x v="4"/>
    <s v="No"/>
    <n v="1"/>
    <x v="2"/>
    <x v="1"/>
    <n v="52"/>
    <x v="0"/>
    <x v="1"/>
    <x v="1"/>
    <n v="1"/>
    <n v="40000"/>
  </r>
  <r>
    <n v="16514"/>
    <x v="1"/>
    <x v="1"/>
    <n v="10000"/>
    <x v="0"/>
    <n v="0"/>
    <x v="1"/>
    <x v="3"/>
    <s v="Yes"/>
    <n v="1"/>
    <x v="3"/>
    <x v="1"/>
    <n v="26"/>
    <x v="3"/>
    <x v="1"/>
    <x v="1"/>
    <n v="1"/>
    <n v="10000"/>
  </r>
  <r>
    <n v="17191"/>
    <x v="1"/>
    <x v="1"/>
    <n v="130000"/>
    <x v="2"/>
    <n v="3"/>
    <x v="1"/>
    <x v="2"/>
    <s v="No"/>
    <n v="3"/>
    <x v="0"/>
    <x v="0"/>
    <n v="51"/>
    <x v="0"/>
    <x v="1"/>
    <x v="1"/>
    <n v="1"/>
    <n v="130000"/>
  </r>
  <r>
    <n v="19608"/>
    <x v="0"/>
    <x v="1"/>
    <n v="80000"/>
    <x v="1"/>
    <n v="5"/>
    <x v="0"/>
    <x v="2"/>
    <s v="Yes"/>
    <n v="4"/>
    <x v="3"/>
    <x v="1"/>
    <n v="40"/>
    <x v="0"/>
    <x v="0"/>
    <x v="0"/>
    <n v="1"/>
    <n v="0"/>
  </r>
  <r>
    <n v="24119"/>
    <x v="1"/>
    <x v="1"/>
    <n v="30000"/>
    <x v="0"/>
    <n v="0"/>
    <x v="1"/>
    <x v="1"/>
    <s v="No"/>
    <n v="1"/>
    <x v="1"/>
    <x v="0"/>
    <n v="29"/>
    <x v="3"/>
    <x v="0"/>
    <x v="0"/>
    <n v="1"/>
    <n v="0"/>
  </r>
  <r>
    <n v="25458"/>
    <x v="0"/>
    <x v="1"/>
    <n v="20000"/>
    <x v="0"/>
    <n v="1"/>
    <x v="2"/>
    <x v="3"/>
    <s v="No"/>
    <n v="1"/>
    <x v="3"/>
    <x v="0"/>
    <n v="40"/>
    <x v="0"/>
    <x v="1"/>
    <x v="1"/>
    <n v="1"/>
    <n v="20000"/>
  </r>
  <r>
    <n v="26886"/>
    <x v="1"/>
    <x v="0"/>
    <n v="30000"/>
    <x v="0"/>
    <n v="0"/>
    <x v="1"/>
    <x v="1"/>
    <s v="No"/>
    <n v="1"/>
    <x v="0"/>
    <x v="0"/>
    <n v="29"/>
    <x v="3"/>
    <x v="1"/>
    <x v="1"/>
    <n v="1"/>
    <n v="30000"/>
  </r>
  <r>
    <n v="28436"/>
    <x v="1"/>
    <x v="1"/>
    <n v="30000"/>
    <x v="0"/>
    <n v="0"/>
    <x v="1"/>
    <x v="1"/>
    <s v="No"/>
    <n v="1"/>
    <x v="0"/>
    <x v="0"/>
    <n v="30"/>
    <x v="2"/>
    <x v="1"/>
    <x v="1"/>
    <n v="1"/>
    <n v="30000"/>
  </r>
  <r>
    <n v="19562"/>
    <x v="1"/>
    <x v="0"/>
    <n v="60000"/>
    <x v="0"/>
    <n v="2"/>
    <x v="0"/>
    <x v="2"/>
    <s v="Yes"/>
    <n v="1"/>
    <x v="1"/>
    <x v="1"/>
    <n v="37"/>
    <x v="2"/>
    <x v="1"/>
    <x v="1"/>
    <n v="1"/>
    <n v="60000"/>
  </r>
  <r>
    <n v="15608"/>
    <x v="1"/>
    <x v="0"/>
    <n v="30000"/>
    <x v="0"/>
    <n v="0"/>
    <x v="1"/>
    <x v="1"/>
    <s v="No"/>
    <n v="1"/>
    <x v="1"/>
    <x v="0"/>
    <n v="33"/>
    <x v="2"/>
    <x v="0"/>
    <x v="0"/>
    <n v="1"/>
    <n v="0"/>
  </r>
  <r>
    <n v="16487"/>
    <x v="1"/>
    <x v="0"/>
    <n v="30000"/>
    <x v="0"/>
    <n v="3"/>
    <x v="2"/>
    <x v="0"/>
    <s v="Yes"/>
    <n v="2"/>
    <x v="2"/>
    <x v="1"/>
    <n v="55"/>
    <x v="0"/>
    <x v="0"/>
    <x v="0"/>
    <n v="1"/>
    <n v="0"/>
  </r>
  <r>
    <n v="17197"/>
    <x v="1"/>
    <x v="0"/>
    <n v="90000"/>
    <x v="1"/>
    <n v="5"/>
    <x v="1"/>
    <x v="2"/>
    <s v="Yes"/>
    <n v="2"/>
    <x v="4"/>
    <x v="0"/>
    <n v="62"/>
    <x v="1"/>
    <x v="0"/>
    <x v="0"/>
    <n v="1"/>
    <n v="0"/>
  </r>
  <r>
    <n v="12507"/>
    <x v="0"/>
    <x v="1"/>
    <n v="30000"/>
    <x v="0"/>
    <n v="1"/>
    <x v="1"/>
    <x v="1"/>
    <s v="Yes"/>
    <n v="1"/>
    <x v="0"/>
    <x v="0"/>
    <n v="43"/>
    <x v="0"/>
    <x v="0"/>
    <x v="0"/>
    <n v="1"/>
    <n v="0"/>
  </r>
  <r>
    <n v="23940"/>
    <x v="0"/>
    <x v="1"/>
    <n v="40000"/>
    <x v="0"/>
    <n v="1"/>
    <x v="0"/>
    <x v="0"/>
    <s v="Yes"/>
    <n v="1"/>
    <x v="0"/>
    <x v="0"/>
    <n v="44"/>
    <x v="0"/>
    <x v="1"/>
    <x v="1"/>
    <n v="1"/>
    <n v="40000"/>
  </r>
  <r>
    <n v="19441"/>
    <x v="0"/>
    <x v="1"/>
    <n v="40000"/>
    <x v="0"/>
    <n v="0"/>
    <x v="4"/>
    <x v="1"/>
    <s v="Yes"/>
    <n v="0"/>
    <x v="0"/>
    <x v="0"/>
    <n v="25"/>
    <x v="3"/>
    <x v="1"/>
    <x v="1"/>
    <n v="1"/>
    <n v="40000"/>
  </r>
  <r>
    <n v="26852"/>
    <x v="0"/>
    <x v="0"/>
    <n v="20000"/>
    <x v="0"/>
    <n v="3"/>
    <x v="2"/>
    <x v="3"/>
    <s v="Yes"/>
    <n v="2"/>
    <x v="0"/>
    <x v="0"/>
    <n v="43"/>
    <x v="0"/>
    <x v="0"/>
    <x v="0"/>
    <n v="1"/>
    <n v="0"/>
  </r>
  <r>
    <n v="12274"/>
    <x v="1"/>
    <x v="1"/>
    <n v="10000"/>
    <x v="0"/>
    <n v="2"/>
    <x v="2"/>
    <x v="3"/>
    <s v="Yes"/>
    <n v="0"/>
    <x v="0"/>
    <x v="0"/>
    <n v="35"/>
    <x v="2"/>
    <x v="0"/>
    <x v="0"/>
    <n v="1"/>
    <n v="0"/>
  </r>
  <r>
    <n v="20236"/>
    <x v="1"/>
    <x v="1"/>
    <n v="60000"/>
    <x v="0"/>
    <n v="3"/>
    <x v="0"/>
    <x v="2"/>
    <s v="No"/>
    <n v="2"/>
    <x v="0"/>
    <x v="1"/>
    <n v="43"/>
    <x v="0"/>
    <x v="1"/>
    <x v="1"/>
    <n v="1"/>
    <n v="60000"/>
  </r>
  <r>
    <n v="24149"/>
    <x v="0"/>
    <x v="1"/>
    <n v="10000"/>
    <x v="0"/>
    <n v="2"/>
    <x v="1"/>
    <x v="3"/>
    <s v="Yes"/>
    <n v="0"/>
    <x v="3"/>
    <x v="0"/>
    <n v="49"/>
    <x v="0"/>
    <x v="0"/>
    <x v="0"/>
    <n v="1"/>
    <n v="0"/>
  </r>
  <r>
    <n v="26139"/>
    <x v="1"/>
    <x v="1"/>
    <n v="60000"/>
    <x v="0"/>
    <n v="1"/>
    <x v="1"/>
    <x v="0"/>
    <s v="Yes"/>
    <n v="1"/>
    <x v="2"/>
    <x v="1"/>
    <n v="45"/>
    <x v="0"/>
    <x v="0"/>
    <x v="0"/>
    <n v="1"/>
    <n v="0"/>
  </r>
  <r>
    <n v="18491"/>
    <x v="1"/>
    <x v="0"/>
    <n v="70000"/>
    <x v="1"/>
    <n v="2"/>
    <x v="2"/>
    <x v="2"/>
    <s v="Yes"/>
    <n v="2"/>
    <x v="2"/>
    <x v="1"/>
    <n v="49"/>
    <x v="0"/>
    <x v="1"/>
    <x v="1"/>
    <n v="1"/>
    <n v="70000"/>
  </r>
  <r>
    <n v="22707"/>
    <x v="1"/>
    <x v="0"/>
    <n v="30000"/>
    <x v="0"/>
    <n v="0"/>
    <x v="1"/>
    <x v="1"/>
    <s v="No"/>
    <n v="1"/>
    <x v="1"/>
    <x v="0"/>
    <n v="30"/>
    <x v="2"/>
    <x v="0"/>
    <x v="0"/>
    <n v="1"/>
    <n v="0"/>
  </r>
  <r>
    <n v="20430"/>
    <x v="0"/>
    <x v="1"/>
    <n v="70000"/>
    <x v="1"/>
    <n v="2"/>
    <x v="1"/>
    <x v="0"/>
    <s v="Yes"/>
    <n v="2"/>
    <x v="2"/>
    <x v="1"/>
    <n v="52"/>
    <x v="0"/>
    <x v="1"/>
    <x v="1"/>
    <n v="1"/>
    <n v="70000"/>
  </r>
  <r>
    <n v="27494"/>
    <x v="1"/>
    <x v="0"/>
    <n v="40000"/>
    <x v="0"/>
    <n v="2"/>
    <x v="1"/>
    <x v="0"/>
    <s v="No"/>
    <n v="2"/>
    <x v="3"/>
    <x v="1"/>
    <n v="53"/>
    <x v="0"/>
    <x v="1"/>
    <x v="1"/>
    <n v="1"/>
    <n v="40000"/>
  </r>
  <r>
    <n v="26829"/>
    <x v="0"/>
    <x v="0"/>
    <n v="40000"/>
    <x v="0"/>
    <n v="0"/>
    <x v="0"/>
    <x v="1"/>
    <s v="Yes"/>
    <n v="0"/>
    <x v="0"/>
    <x v="0"/>
    <n v="38"/>
    <x v="2"/>
    <x v="1"/>
    <x v="1"/>
    <n v="1"/>
    <n v="40000"/>
  </r>
  <r>
    <n v="28395"/>
    <x v="1"/>
    <x v="1"/>
    <n v="40000"/>
    <x v="0"/>
    <n v="0"/>
    <x v="0"/>
    <x v="2"/>
    <s v="No"/>
    <n v="0"/>
    <x v="0"/>
    <x v="0"/>
    <n v="39"/>
    <x v="2"/>
    <x v="1"/>
    <x v="1"/>
    <n v="1"/>
    <n v="40000"/>
  </r>
  <r>
    <n v="21006"/>
    <x v="1"/>
    <x v="0"/>
    <n v="30000"/>
    <x v="0"/>
    <n v="1"/>
    <x v="1"/>
    <x v="3"/>
    <s v="No"/>
    <n v="0"/>
    <x v="0"/>
    <x v="0"/>
    <n v="46"/>
    <x v="0"/>
    <x v="1"/>
    <x v="1"/>
    <n v="1"/>
    <n v="30000"/>
  </r>
  <r>
    <n v="14682"/>
    <x v="1"/>
    <x v="0"/>
    <n v="70000"/>
    <x v="1"/>
    <n v="0"/>
    <x v="0"/>
    <x v="2"/>
    <s v="No"/>
    <n v="1"/>
    <x v="2"/>
    <x v="1"/>
    <n v="38"/>
    <x v="2"/>
    <x v="0"/>
    <x v="0"/>
    <n v="1"/>
    <n v="0"/>
  </r>
  <r>
    <n v="17650"/>
    <x v="1"/>
    <x v="0"/>
    <n v="40000"/>
    <x v="0"/>
    <n v="2"/>
    <x v="1"/>
    <x v="1"/>
    <s v="Yes"/>
    <n v="2"/>
    <x v="3"/>
    <x v="0"/>
    <n v="35"/>
    <x v="2"/>
    <x v="0"/>
    <x v="0"/>
    <n v="1"/>
    <n v="0"/>
  </r>
  <r>
    <n v="29191"/>
    <x v="1"/>
    <x v="0"/>
    <n v="130000"/>
    <x v="2"/>
    <n v="1"/>
    <x v="4"/>
    <x v="4"/>
    <s v="No"/>
    <n v="1"/>
    <x v="0"/>
    <x v="1"/>
    <n v="36"/>
    <x v="2"/>
    <x v="1"/>
    <x v="1"/>
    <n v="1"/>
    <n v="130000"/>
  </r>
  <r>
    <n v="15030"/>
    <x v="0"/>
    <x v="1"/>
    <n v="20000"/>
    <x v="0"/>
    <n v="0"/>
    <x v="0"/>
    <x v="1"/>
    <s v="Yes"/>
    <n v="0"/>
    <x v="0"/>
    <x v="1"/>
    <n v="26"/>
    <x v="3"/>
    <x v="1"/>
    <x v="1"/>
    <n v="1"/>
    <n v="20000"/>
  </r>
  <r>
    <n v="24140"/>
    <x v="1"/>
    <x v="1"/>
    <n v="10000"/>
    <x v="0"/>
    <n v="0"/>
    <x v="4"/>
    <x v="3"/>
    <s v="No"/>
    <n v="0"/>
    <x v="0"/>
    <x v="0"/>
    <n v="30"/>
    <x v="2"/>
    <x v="1"/>
    <x v="1"/>
    <n v="1"/>
    <n v="10000"/>
  </r>
  <r>
    <n v="22496"/>
    <x v="0"/>
    <x v="0"/>
    <n v="30000"/>
    <x v="0"/>
    <n v="1"/>
    <x v="0"/>
    <x v="0"/>
    <s v="Yes"/>
    <n v="2"/>
    <x v="0"/>
    <x v="0"/>
    <n v="42"/>
    <x v="0"/>
    <x v="0"/>
    <x v="0"/>
    <n v="1"/>
    <n v="0"/>
  </r>
  <r>
    <n v="24065"/>
    <x v="1"/>
    <x v="0"/>
    <n v="20000"/>
    <x v="0"/>
    <n v="0"/>
    <x v="2"/>
    <x v="3"/>
    <s v="Yes"/>
    <n v="0"/>
    <x v="0"/>
    <x v="0"/>
    <n v="40"/>
    <x v="0"/>
    <x v="1"/>
    <x v="1"/>
    <n v="1"/>
    <n v="20000"/>
  </r>
  <r>
    <n v="19914"/>
    <x v="0"/>
    <x v="1"/>
    <n v="80000"/>
    <x v="1"/>
    <n v="5"/>
    <x v="0"/>
    <x v="4"/>
    <s v="Yes"/>
    <n v="2"/>
    <x v="1"/>
    <x v="0"/>
    <n v="62"/>
    <x v="1"/>
    <x v="0"/>
    <x v="0"/>
    <n v="1"/>
    <n v="0"/>
  </r>
  <r>
    <n v="12871"/>
    <x v="1"/>
    <x v="0"/>
    <n v="30000"/>
    <x v="0"/>
    <n v="0"/>
    <x v="1"/>
    <x v="1"/>
    <s v="No"/>
    <n v="1"/>
    <x v="1"/>
    <x v="0"/>
    <n v="29"/>
    <x v="3"/>
    <x v="0"/>
    <x v="0"/>
    <n v="1"/>
    <n v="0"/>
  </r>
  <r>
    <n v="22988"/>
    <x v="0"/>
    <x v="0"/>
    <n v="40000"/>
    <x v="0"/>
    <n v="2"/>
    <x v="0"/>
    <x v="4"/>
    <s v="Yes"/>
    <n v="2"/>
    <x v="2"/>
    <x v="1"/>
    <n v="66"/>
    <x v="1"/>
    <x v="1"/>
    <x v="1"/>
    <n v="1"/>
    <n v="40000"/>
  </r>
  <r>
    <n v="15922"/>
    <x v="0"/>
    <x v="1"/>
    <n v="150000"/>
    <x v="2"/>
    <n v="2"/>
    <x v="2"/>
    <x v="2"/>
    <s v="Yes"/>
    <n v="4"/>
    <x v="0"/>
    <x v="0"/>
    <n v="48"/>
    <x v="0"/>
    <x v="0"/>
    <x v="0"/>
    <n v="1"/>
    <n v="0"/>
  </r>
  <r>
    <n v="12344"/>
    <x v="1"/>
    <x v="0"/>
    <n v="80000"/>
    <x v="1"/>
    <n v="0"/>
    <x v="0"/>
    <x v="2"/>
    <s v="No"/>
    <n v="3"/>
    <x v="4"/>
    <x v="1"/>
    <n v="31"/>
    <x v="2"/>
    <x v="0"/>
    <x v="0"/>
    <n v="1"/>
    <n v="0"/>
  </r>
  <r>
    <n v="23627"/>
    <x v="1"/>
    <x v="0"/>
    <n v="100000"/>
    <x v="1"/>
    <n v="3"/>
    <x v="1"/>
    <x v="4"/>
    <s v="No"/>
    <n v="4"/>
    <x v="2"/>
    <x v="0"/>
    <n v="56"/>
    <x v="0"/>
    <x v="0"/>
    <x v="0"/>
    <n v="1"/>
    <n v="0"/>
  </r>
  <r>
    <n v="27775"/>
    <x v="1"/>
    <x v="0"/>
    <n v="40000"/>
    <x v="0"/>
    <n v="0"/>
    <x v="0"/>
    <x v="1"/>
    <s v="No"/>
    <n v="0"/>
    <x v="0"/>
    <x v="0"/>
    <n v="38"/>
    <x v="2"/>
    <x v="1"/>
    <x v="1"/>
    <n v="1"/>
    <n v="40000"/>
  </r>
  <r>
    <n v="29301"/>
    <x v="0"/>
    <x v="1"/>
    <n v="80000"/>
    <x v="1"/>
    <n v="5"/>
    <x v="0"/>
    <x v="2"/>
    <s v="Yes"/>
    <n v="4"/>
    <x v="3"/>
    <x v="1"/>
    <n v="40"/>
    <x v="0"/>
    <x v="0"/>
    <x v="0"/>
    <n v="1"/>
    <n v="0"/>
  </r>
  <r>
    <n v="12716"/>
    <x v="1"/>
    <x v="1"/>
    <n v="30000"/>
    <x v="0"/>
    <n v="0"/>
    <x v="1"/>
    <x v="1"/>
    <s v="Yes"/>
    <n v="1"/>
    <x v="1"/>
    <x v="0"/>
    <n v="32"/>
    <x v="2"/>
    <x v="0"/>
    <x v="0"/>
    <n v="1"/>
    <n v="0"/>
  </r>
  <r>
    <n v="12472"/>
    <x v="0"/>
    <x v="1"/>
    <n v="30000"/>
    <x v="0"/>
    <n v="1"/>
    <x v="0"/>
    <x v="1"/>
    <s v="Yes"/>
    <n v="1"/>
    <x v="1"/>
    <x v="0"/>
    <n v="39"/>
    <x v="2"/>
    <x v="0"/>
    <x v="0"/>
    <n v="1"/>
    <n v="0"/>
  </r>
  <r>
    <n v="20970"/>
    <x v="1"/>
    <x v="1"/>
    <n v="10000"/>
    <x v="0"/>
    <n v="2"/>
    <x v="1"/>
    <x v="3"/>
    <s v="Yes"/>
    <n v="1"/>
    <x v="0"/>
    <x v="0"/>
    <n v="52"/>
    <x v="0"/>
    <x v="1"/>
    <x v="1"/>
    <n v="1"/>
    <n v="10000"/>
  </r>
  <r>
    <n v="26818"/>
    <x v="1"/>
    <x v="1"/>
    <n v="10000"/>
    <x v="0"/>
    <n v="3"/>
    <x v="2"/>
    <x v="3"/>
    <s v="Yes"/>
    <n v="1"/>
    <x v="0"/>
    <x v="0"/>
    <n v="39"/>
    <x v="2"/>
    <x v="1"/>
    <x v="1"/>
    <n v="1"/>
    <n v="10000"/>
  </r>
  <r>
    <n v="12993"/>
    <x v="0"/>
    <x v="1"/>
    <n v="60000"/>
    <x v="0"/>
    <n v="2"/>
    <x v="0"/>
    <x v="2"/>
    <s v="Yes"/>
    <n v="1"/>
    <x v="1"/>
    <x v="1"/>
    <n v="37"/>
    <x v="2"/>
    <x v="0"/>
    <x v="0"/>
    <n v="1"/>
    <n v="0"/>
  </r>
  <r>
    <n v="14192"/>
    <x v="0"/>
    <x v="1"/>
    <n v="90000"/>
    <x v="1"/>
    <n v="4"/>
    <x v="2"/>
    <x v="4"/>
    <s v="Yes"/>
    <n v="3"/>
    <x v="2"/>
    <x v="0"/>
    <n v="56"/>
    <x v="0"/>
    <x v="1"/>
    <x v="1"/>
    <n v="1"/>
    <n v="90000"/>
  </r>
  <r>
    <n v="19477"/>
    <x v="0"/>
    <x v="1"/>
    <n v="40000"/>
    <x v="0"/>
    <n v="0"/>
    <x v="0"/>
    <x v="2"/>
    <s v="Yes"/>
    <n v="0"/>
    <x v="0"/>
    <x v="0"/>
    <n v="40"/>
    <x v="0"/>
    <x v="1"/>
    <x v="1"/>
    <n v="1"/>
    <n v="40000"/>
  </r>
  <r>
    <n v="26796"/>
    <x v="1"/>
    <x v="1"/>
    <n v="40000"/>
    <x v="0"/>
    <n v="2"/>
    <x v="0"/>
    <x v="4"/>
    <s v="Yes"/>
    <n v="2"/>
    <x v="2"/>
    <x v="1"/>
    <n v="65"/>
    <x v="1"/>
    <x v="1"/>
    <x v="1"/>
    <n v="1"/>
    <n v="40000"/>
  </r>
  <r>
    <n v="21094"/>
    <x v="1"/>
    <x v="0"/>
    <n v="30000"/>
    <x v="0"/>
    <n v="2"/>
    <x v="1"/>
    <x v="1"/>
    <s v="Yes"/>
    <n v="2"/>
    <x v="0"/>
    <x v="0"/>
    <n v="42"/>
    <x v="0"/>
    <x v="0"/>
    <x v="0"/>
    <n v="1"/>
    <n v="0"/>
  </r>
  <r>
    <n v="12234"/>
    <x v="0"/>
    <x v="1"/>
    <n v="10000"/>
    <x v="0"/>
    <n v="2"/>
    <x v="1"/>
    <x v="3"/>
    <s v="Yes"/>
    <n v="1"/>
    <x v="1"/>
    <x v="0"/>
    <n v="52"/>
    <x v="0"/>
    <x v="0"/>
    <x v="0"/>
    <n v="1"/>
    <n v="0"/>
  </r>
  <r>
    <n v="28683"/>
    <x v="1"/>
    <x v="0"/>
    <n v="10000"/>
    <x v="0"/>
    <n v="1"/>
    <x v="2"/>
    <x v="3"/>
    <s v="No"/>
    <n v="1"/>
    <x v="2"/>
    <x v="0"/>
    <n v="35"/>
    <x v="2"/>
    <x v="1"/>
    <x v="1"/>
    <n v="1"/>
    <n v="10000"/>
  </r>
  <r>
    <n v="17994"/>
    <x v="1"/>
    <x v="1"/>
    <n v="20000"/>
    <x v="0"/>
    <n v="2"/>
    <x v="2"/>
    <x v="3"/>
    <s v="Yes"/>
    <n v="2"/>
    <x v="0"/>
    <x v="0"/>
    <n v="42"/>
    <x v="0"/>
    <x v="0"/>
    <x v="0"/>
    <n v="1"/>
    <n v="0"/>
  </r>
  <r>
    <n v="24273"/>
    <x v="0"/>
    <x v="0"/>
    <n v="20000"/>
    <x v="0"/>
    <n v="2"/>
    <x v="3"/>
    <x v="1"/>
    <s v="Yes"/>
    <n v="2"/>
    <x v="2"/>
    <x v="1"/>
    <n v="55"/>
    <x v="0"/>
    <x v="1"/>
    <x v="1"/>
    <n v="1"/>
    <n v="20000"/>
  </r>
  <r>
    <n v="26547"/>
    <x v="1"/>
    <x v="0"/>
    <n v="30000"/>
    <x v="0"/>
    <n v="2"/>
    <x v="1"/>
    <x v="1"/>
    <s v="No"/>
    <n v="2"/>
    <x v="2"/>
    <x v="1"/>
    <n v="60"/>
    <x v="1"/>
    <x v="1"/>
    <x v="1"/>
    <n v="1"/>
    <n v="30000"/>
  </r>
  <r>
    <n v="22500"/>
    <x v="1"/>
    <x v="1"/>
    <n v="40000"/>
    <x v="0"/>
    <n v="0"/>
    <x v="0"/>
    <x v="2"/>
    <s v="No"/>
    <n v="0"/>
    <x v="0"/>
    <x v="0"/>
    <n v="40"/>
    <x v="0"/>
    <x v="1"/>
    <x v="1"/>
    <n v="1"/>
    <n v="40000"/>
  </r>
  <r>
    <n v="23993"/>
    <x v="1"/>
    <x v="0"/>
    <n v="10000"/>
    <x v="0"/>
    <n v="0"/>
    <x v="1"/>
    <x v="3"/>
    <s v="No"/>
    <n v="1"/>
    <x v="0"/>
    <x v="1"/>
    <n v="26"/>
    <x v="3"/>
    <x v="1"/>
    <x v="1"/>
    <n v="1"/>
    <n v="10000"/>
  </r>
  <r>
    <n v="14832"/>
    <x v="0"/>
    <x v="1"/>
    <n v="40000"/>
    <x v="0"/>
    <n v="1"/>
    <x v="0"/>
    <x v="0"/>
    <s v="Yes"/>
    <n v="0"/>
    <x v="0"/>
    <x v="0"/>
    <n v="42"/>
    <x v="0"/>
    <x v="1"/>
    <x v="1"/>
    <n v="1"/>
    <n v="40000"/>
  </r>
  <r>
    <n v="16614"/>
    <x v="0"/>
    <x v="0"/>
    <n v="80000"/>
    <x v="1"/>
    <n v="0"/>
    <x v="0"/>
    <x v="2"/>
    <s v="Yes"/>
    <n v="3"/>
    <x v="4"/>
    <x v="1"/>
    <n v="32"/>
    <x v="2"/>
    <x v="0"/>
    <x v="0"/>
    <n v="1"/>
    <n v="0"/>
  </r>
  <r>
    <n v="20877"/>
    <x v="1"/>
    <x v="1"/>
    <n v="30000"/>
    <x v="0"/>
    <n v="1"/>
    <x v="0"/>
    <x v="1"/>
    <s v="Yes"/>
    <n v="0"/>
    <x v="3"/>
    <x v="0"/>
    <n v="37"/>
    <x v="2"/>
    <x v="1"/>
    <x v="1"/>
    <n v="1"/>
    <n v="30000"/>
  </r>
  <r>
    <n v="20729"/>
    <x v="0"/>
    <x v="0"/>
    <n v="40000"/>
    <x v="0"/>
    <n v="2"/>
    <x v="1"/>
    <x v="1"/>
    <s v="No"/>
    <n v="1"/>
    <x v="0"/>
    <x v="0"/>
    <n v="34"/>
    <x v="2"/>
    <x v="0"/>
    <x v="0"/>
    <n v="1"/>
    <n v="0"/>
  </r>
  <r>
    <n v="22464"/>
    <x v="0"/>
    <x v="1"/>
    <n v="40000"/>
    <x v="0"/>
    <n v="0"/>
    <x v="4"/>
    <x v="1"/>
    <s v="Yes"/>
    <n v="0"/>
    <x v="0"/>
    <x v="0"/>
    <n v="37"/>
    <x v="2"/>
    <x v="1"/>
    <x v="1"/>
    <n v="1"/>
    <n v="40000"/>
  </r>
  <r>
    <n v="19475"/>
    <x v="0"/>
    <x v="0"/>
    <n v="40000"/>
    <x v="0"/>
    <n v="0"/>
    <x v="0"/>
    <x v="2"/>
    <s v="No"/>
    <n v="0"/>
    <x v="0"/>
    <x v="0"/>
    <n v="40"/>
    <x v="0"/>
    <x v="1"/>
    <x v="1"/>
    <n v="1"/>
    <n v="40000"/>
  </r>
  <r>
    <n v="19675"/>
    <x v="0"/>
    <x v="1"/>
    <n v="20000"/>
    <x v="0"/>
    <n v="4"/>
    <x v="2"/>
    <x v="0"/>
    <s v="Yes"/>
    <n v="2"/>
    <x v="2"/>
    <x v="1"/>
    <n v="60"/>
    <x v="1"/>
    <x v="0"/>
    <x v="0"/>
    <n v="1"/>
    <n v="0"/>
  </r>
  <r>
    <n v="12728"/>
    <x v="1"/>
    <x v="1"/>
    <n v="30000"/>
    <x v="0"/>
    <n v="0"/>
    <x v="1"/>
    <x v="1"/>
    <s v="No"/>
    <n v="1"/>
    <x v="3"/>
    <x v="0"/>
    <n v="27"/>
    <x v="3"/>
    <x v="0"/>
    <x v="0"/>
    <n v="1"/>
    <n v="0"/>
  </r>
  <r>
    <n v="26154"/>
    <x v="0"/>
    <x v="1"/>
    <n v="60000"/>
    <x v="0"/>
    <n v="1"/>
    <x v="1"/>
    <x v="0"/>
    <s v="Yes"/>
    <n v="1"/>
    <x v="2"/>
    <x v="1"/>
    <n v="43"/>
    <x v="0"/>
    <x v="1"/>
    <x v="1"/>
    <n v="1"/>
    <n v="60000"/>
  </r>
  <r>
    <n v="29117"/>
    <x v="1"/>
    <x v="1"/>
    <n v="100000"/>
    <x v="1"/>
    <n v="1"/>
    <x v="0"/>
    <x v="4"/>
    <s v="No"/>
    <n v="3"/>
    <x v="0"/>
    <x v="1"/>
    <n v="48"/>
    <x v="0"/>
    <x v="0"/>
    <x v="0"/>
    <n v="1"/>
    <n v="0"/>
  </r>
  <r>
    <n v="17845"/>
    <x v="1"/>
    <x v="0"/>
    <n v="20000"/>
    <x v="0"/>
    <n v="0"/>
    <x v="3"/>
    <x v="3"/>
    <s v="No"/>
    <n v="2"/>
    <x v="3"/>
    <x v="0"/>
    <n v="32"/>
    <x v="2"/>
    <x v="0"/>
    <x v="0"/>
    <n v="1"/>
    <n v="0"/>
  </r>
  <r>
    <n v="25058"/>
    <x v="0"/>
    <x v="1"/>
    <n v="100000"/>
    <x v="1"/>
    <n v="1"/>
    <x v="0"/>
    <x v="4"/>
    <s v="Yes"/>
    <n v="3"/>
    <x v="1"/>
    <x v="1"/>
    <n v="47"/>
    <x v="0"/>
    <x v="0"/>
    <x v="0"/>
    <n v="1"/>
    <n v="0"/>
  </r>
  <r>
    <n v="23426"/>
    <x v="1"/>
    <x v="1"/>
    <n v="80000"/>
    <x v="1"/>
    <n v="5"/>
    <x v="4"/>
    <x v="4"/>
    <s v="Yes"/>
    <n v="3"/>
    <x v="0"/>
    <x v="1"/>
    <n v="40"/>
    <x v="0"/>
    <x v="0"/>
    <x v="0"/>
    <n v="1"/>
    <n v="0"/>
  </r>
  <r>
    <n v="14798"/>
    <x v="1"/>
    <x v="0"/>
    <n v="10000"/>
    <x v="0"/>
    <n v="4"/>
    <x v="3"/>
    <x v="3"/>
    <s v="Yes"/>
    <n v="2"/>
    <x v="0"/>
    <x v="0"/>
    <n v="41"/>
    <x v="0"/>
    <x v="1"/>
    <x v="1"/>
    <n v="1"/>
    <n v="10000"/>
  </r>
  <r>
    <n v="12664"/>
    <x v="0"/>
    <x v="0"/>
    <n v="130000"/>
    <x v="2"/>
    <n v="5"/>
    <x v="1"/>
    <x v="2"/>
    <s v="Yes"/>
    <n v="4"/>
    <x v="0"/>
    <x v="0"/>
    <n v="59"/>
    <x v="0"/>
    <x v="0"/>
    <x v="0"/>
    <n v="1"/>
    <n v="0"/>
  </r>
  <r>
    <n v="23979"/>
    <x v="1"/>
    <x v="1"/>
    <n v="10000"/>
    <x v="0"/>
    <n v="2"/>
    <x v="1"/>
    <x v="3"/>
    <s v="No"/>
    <n v="0"/>
    <x v="0"/>
    <x v="0"/>
    <n v="50"/>
    <x v="0"/>
    <x v="0"/>
    <x v="0"/>
    <n v="1"/>
    <n v="0"/>
  </r>
  <r>
    <n v="25605"/>
    <x v="1"/>
    <x v="0"/>
    <n v="20000"/>
    <x v="0"/>
    <n v="2"/>
    <x v="1"/>
    <x v="3"/>
    <s v="No"/>
    <n v="1"/>
    <x v="0"/>
    <x v="0"/>
    <n v="54"/>
    <x v="0"/>
    <x v="1"/>
    <x v="1"/>
    <n v="1"/>
    <n v="20000"/>
  </r>
  <r>
    <n v="20797"/>
    <x v="0"/>
    <x v="0"/>
    <n v="10000"/>
    <x v="0"/>
    <n v="1"/>
    <x v="0"/>
    <x v="3"/>
    <s v="Yes"/>
    <n v="0"/>
    <x v="0"/>
    <x v="0"/>
    <n v="48"/>
    <x v="0"/>
    <x v="0"/>
    <x v="0"/>
    <n v="1"/>
    <n v="0"/>
  </r>
  <r>
    <n v="21980"/>
    <x v="1"/>
    <x v="0"/>
    <n v="60000"/>
    <x v="0"/>
    <n v="1"/>
    <x v="0"/>
    <x v="2"/>
    <s v="Yes"/>
    <n v="1"/>
    <x v="2"/>
    <x v="1"/>
    <n v="44"/>
    <x v="0"/>
    <x v="1"/>
    <x v="1"/>
    <n v="1"/>
    <n v="60000"/>
  </r>
  <r>
    <n v="25460"/>
    <x v="0"/>
    <x v="0"/>
    <n v="20000"/>
    <x v="0"/>
    <n v="2"/>
    <x v="2"/>
    <x v="3"/>
    <s v="Yes"/>
    <n v="0"/>
    <x v="0"/>
    <x v="0"/>
    <n v="40"/>
    <x v="0"/>
    <x v="1"/>
    <x v="1"/>
    <n v="1"/>
    <n v="20000"/>
  </r>
  <r>
    <n v="29181"/>
    <x v="1"/>
    <x v="0"/>
    <n v="60000"/>
    <x v="0"/>
    <n v="2"/>
    <x v="0"/>
    <x v="2"/>
    <s v="No"/>
    <n v="1"/>
    <x v="0"/>
    <x v="1"/>
    <n v="38"/>
    <x v="2"/>
    <x v="1"/>
    <x v="1"/>
    <n v="1"/>
    <n v="60000"/>
  </r>
  <r>
    <n v="24279"/>
    <x v="1"/>
    <x v="1"/>
    <n v="40000"/>
    <x v="0"/>
    <n v="2"/>
    <x v="1"/>
    <x v="0"/>
    <s v="No"/>
    <n v="2"/>
    <x v="3"/>
    <x v="1"/>
    <n v="52"/>
    <x v="0"/>
    <x v="0"/>
    <x v="0"/>
    <n v="1"/>
    <n v="0"/>
  </r>
  <r>
    <n v="22402"/>
    <x v="0"/>
    <x v="1"/>
    <n v="10000"/>
    <x v="0"/>
    <n v="0"/>
    <x v="1"/>
    <x v="3"/>
    <s v="Yes"/>
    <n v="1"/>
    <x v="1"/>
    <x v="1"/>
    <n v="25"/>
    <x v="3"/>
    <x v="1"/>
    <x v="1"/>
    <n v="1"/>
    <n v="10000"/>
  </r>
  <r>
    <n v="15465"/>
    <x v="0"/>
    <x v="0"/>
    <n v="10000"/>
    <x v="0"/>
    <n v="0"/>
    <x v="1"/>
    <x v="3"/>
    <s v="No"/>
    <n v="1"/>
    <x v="0"/>
    <x v="1"/>
    <n v="25"/>
    <x v="3"/>
    <x v="0"/>
    <x v="0"/>
    <n v="1"/>
    <n v="0"/>
  </r>
  <r>
    <n v="26757"/>
    <x v="1"/>
    <x v="1"/>
    <n v="90000"/>
    <x v="1"/>
    <n v="1"/>
    <x v="0"/>
    <x v="2"/>
    <s v="Yes"/>
    <n v="1"/>
    <x v="1"/>
    <x v="1"/>
    <n v="47"/>
    <x v="0"/>
    <x v="1"/>
    <x v="1"/>
    <n v="1"/>
    <n v="90000"/>
  </r>
  <r>
    <n v="14233"/>
    <x v="1"/>
    <x v="1"/>
    <n v="100000"/>
    <x v="1"/>
    <n v="0"/>
    <x v="2"/>
    <x v="4"/>
    <s v="Yes"/>
    <n v="3"/>
    <x v="4"/>
    <x v="1"/>
    <n v="35"/>
    <x v="2"/>
    <x v="0"/>
    <x v="0"/>
    <n v="1"/>
    <n v="0"/>
  </r>
  <r>
    <n v="14058"/>
    <x v="1"/>
    <x v="1"/>
    <n v="70000"/>
    <x v="1"/>
    <n v="0"/>
    <x v="0"/>
    <x v="2"/>
    <s v="No"/>
    <n v="1"/>
    <x v="2"/>
    <x v="1"/>
    <n v="41"/>
    <x v="0"/>
    <x v="1"/>
    <x v="1"/>
    <n v="1"/>
    <n v="70000"/>
  </r>
  <r>
    <n v="12273"/>
    <x v="0"/>
    <x v="1"/>
    <n v="30000"/>
    <x v="0"/>
    <n v="1"/>
    <x v="0"/>
    <x v="1"/>
    <s v="Yes"/>
    <n v="0"/>
    <x v="0"/>
    <x v="0"/>
    <n v="47"/>
    <x v="0"/>
    <x v="0"/>
    <x v="0"/>
    <n v="1"/>
    <n v="0"/>
  </r>
  <r>
    <n v="17203"/>
    <x v="0"/>
    <x v="0"/>
    <n v="130000"/>
    <x v="2"/>
    <n v="4"/>
    <x v="1"/>
    <x v="2"/>
    <s v="Yes"/>
    <n v="4"/>
    <x v="2"/>
    <x v="0"/>
    <n v="61"/>
    <x v="1"/>
    <x v="1"/>
    <x v="1"/>
    <n v="1"/>
    <n v="130000"/>
  </r>
  <r>
    <n v="18144"/>
    <x v="0"/>
    <x v="0"/>
    <n v="80000"/>
    <x v="1"/>
    <n v="5"/>
    <x v="0"/>
    <x v="4"/>
    <s v="Yes"/>
    <n v="2"/>
    <x v="1"/>
    <x v="0"/>
    <n v="61"/>
    <x v="1"/>
    <x v="0"/>
    <x v="0"/>
    <n v="1"/>
    <n v="0"/>
  </r>
  <r>
    <n v="23963"/>
    <x v="0"/>
    <x v="1"/>
    <n v="10000"/>
    <x v="0"/>
    <n v="0"/>
    <x v="3"/>
    <x v="3"/>
    <s v="No"/>
    <n v="2"/>
    <x v="0"/>
    <x v="0"/>
    <n v="33"/>
    <x v="2"/>
    <x v="0"/>
    <x v="0"/>
    <n v="1"/>
    <n v="0"/>
  </r>
  <r>
    <n v="17907"/>
    <x v="0"/>
    <x v="0"/>
    <n v="10000"/>
    <x v="0"/>
    <n v="0"/>
    <x v="1"/>
    <x v="3"/>
    <s v="Yes"/>
    <n v="1"/>
    <x v="1"/>
    <x v="1"/>
    <n v="27"/>
    <x v="3"/>
    <x v="0"/>
    <x v="0"/>
    <n v="1"/>
    <n v="0"/>
  </r>
  <r>
    <n v="19442"/>
    <x v="1"/>
    <x v="1"/>
    <n v="50000"/>
    <x v="0"/>
    <n v="0"/>
    <x v="4"/>
    <x v="0"/>
    <s v="Yes"/>
    <n v="0"/>
    <x v="0"/>
    <x v="0"/>
    <n v="37"/>
    <x v="2"/>
    <x v="1"/>
    <x v="1"/>
    <n v="1"/>
    <n v="50000"/>
  </r>
  <r>
    <n v="17504"/>
    <x v="1"/>
    <x v="0"/>
    <n v="80000"/>
    <x v="1"/>
    <n v="2"/>
    <x v="1"/>
    <x v="0"/>
    <s v="Yes"/>
    <n v="2"/>
    <x v="2"/>
    <x v="1"/>
    <n v="52"/>
    <x v="0"/>
    <x v="1"/>
    <x v="1"/>
    <n v="1"/>
    <n v="80000"/>
  </r>
  <r>
    <n v="12253"/>
    <x v="1"/>
    <x v="0"/>
    <n v="20000"/>
    <x v="0"/>
    <n v="0"/>
    <x v="1"/>
    <x v="3"/>
    <s v="Yes"/>
    <n v="0"/>
    <x v="0"/>
    <x v="1"/>
    <n v="29"/>
    <x v="3"/>
    <x v="1"/>
    <x v="1"/>
    <n v="1"/>
    <n v="20000"/>
  </r>
  <r>
    <n v="27304"/>
    <x v="1"/>
    <x v="0"/>
    <n v="110000"/>
    <x v="1"/>
    <n v="2"/>
    <x v="1"/>
    <x v="2"/>
    <s v="No"/>
    <n v="3"/>
    <x v="2"/>
    <x v="0"/>
    <n v="48"/>
    <x v="0"/>
    <x v="0"/>
    <x v="0"/>
    <n v="1"/>
    <n v="0"/>
  </r>
  <r>
    <n v="14191"/>
    <x v="0"/>
    <x v="1"/>
    <n v="160000"/>
    <x v="2"/>
    <n v="4"/>
    <x v="1"/>
    <x v="2"/>
    <s v="No"/>
    <n v="2"/>
    <x v="4"/>
    <x v="0"/>
    <n v="55"/>
    <x v="0"/>
    <x v="1"/>
    <x v="1"/>
    <n v="1"/>
    <n v="160000"/>
  </r>
  <r>
    <n v="12212"/>
    <x v="0"/>
    <x v="0"/>
    <n v="10000"/>
    <x v="0"/>
    <n v="0"/>
    <x v="4"/>
    <x v="3"/>
    <s v="Yes"/>
    <n v="0"/>
    <x v="0"/>
    <x v="0"/>
    <n v="37"/>
    <x v="2"/>
    <x v="1"/>
    <x v="1"/>
    <n v="1"/>
    <n v="10000"/>
  </r>
  <r>
    <n v="25529"/>
    <x v="1"/>
    <x v="1"/>
    <n v="10000"/>
    <x v="0"/>
    <n v="1"/>
    <x v="4"/>
    <x v="3"/>
    <s v="Yes"/>
    <n v="0"/>
    <x v="0"/>
    <x v="0"/>
    <n v="44"/>
    <x v="0"/>
    <x v="0"/>
    <x v="0"/>
    <n v="1"/>
    <n v="0"/>
  </r>
  <r>
    <n v="22170"/>
    <x v="0"/>
    <x v="0"/>
    <n v="30000"/>
    <x v="0"/>
    <n v="3"/>
    <x v="1"/>
    <x v="1"/>
    <s v="No"/>
    <n v="2"/>
    <x v="3"/>
    <x v="1"/>
    <n v="55"/>
    <x v="0"/>
    <x v="1"/>
    <x v="1"/>
    <n v="1"/>
    <n v="30000"/>
  </r>
  <r>
    <n v="19445"/>
    <x v="0"/>
    <x v="0"/>
    <n v="10000"/>
    <x v="0"/>
    <n v="2"/>
    <x v="2"/>
    <x v="3"/>
    <s v="No"/>
    <n v="1"/>
    <x v="0"/>
    <x v="0"/>
    <n v="38"/>
    <x v="2"/>
    <x v="0"/>
    <x v="0"/>
    <n v="1"/>
    <n v="0"/>
  </r>
  <r>
    <n v="15265"/>
    <x v="1"/>
    <x v="1"/>
    <n v="40000"/>
    <x v="0"/>
    <n v="2"/>
    <x v="0"/>
    <x v="4"/>
    <s v="Yes"/>
    <n v="2"/>
    <x v="2"/>
    <x v="1"/>
    <n v="66"/>
    <x v="1"/>
    <x v="1"/>
    <x v="1"/>
    <n v="1"/>
    <n v="40000"/>
  </r>
  <r>
    <n v="28918"/>
    <x v="0"/>
    <x v="0"/>
    <n v="130000"/>
    <x v="2"/>
    <n v="4"/>
    <x v="2"/>
    <x v="4"/>
    <s v="No"/>
    <n v="4"/>
    <x v="4"/>
    <x v="0"/>
    <n v="58"/>
    <x v="0"/>
    <x v="0"/>
    <x v="0"/>
    <n v="1"/>
    <n v="0"/>
  </r>
  <r>
    <n v="15799"/>
    <x v="0"/>
    <x v="0"/>
    <n v="90000"/>
    <x v="1"/>
    <n v="1"/>
    <x v="0"/>
    <x v="2"/>
    <s v="Yes"/>
    <n v="1"/>
    <x v="1"/>
    <x v="1"/>
    <n v="47"/>
    <x v="0"/>
    <x v="1"/>
    <x v="1"/>
    <n v="1"/>
    <n v="90000"/>
  </r>
  <r>
    <n v="11047"/>
    <x v="0"/>
    <x v="0"/>
    <n v="30000"/>
    <x v="0"/>
    <n v="3"/>
    <x v="2"/>
    <x v="0"/>
    <s v="No"/>
    <n v="2"/>
    <x v="3"/>
    <x v="1"/>
    <n v="56"/>
    <x v="0"/>
    <x v="1"/>
    <x v="1"/>
    <n v="1"/>
    <n v="30000"/>
  </r>
  <r>
    <n v="18151"/>
    <x v="1"/>
    <x v="1"/>
    <n v="80000"/>
    <x v="1"/>
    <n v="5"/>
    <x v="1"/>
    <x v="2"/>
    <s v="No"/>
    <n v="2"/>
    <x v="4"/>
    <x v="0"/>
    <n v="59"/>
    <x v="0"/>
    <x v="0"/>
    <x v="0"/>
    <n v="1"/>
    <n v="0"/>
  </r>
  <r>
    <n v="20606"/>
    <x v="0"/>
    <x v="0"/>
    <n v="70000"/>
    <x v="1"/>
    <n v="0"/>
    <x v="0"/>
    <x v="2"/>
    <s v="Yes"/>
    <n v="4"/>
    <x v="4"/>
    <x v="1"/>
    <n v="32"/>
    <x v="2"/>
    <x v="1"/>
    <x v="1"/>
    <n v="1"/>
    <n v="70000"/>
  </r>
  <r>
    <n v="19482"/>
    <x v="0"/>
    <x v="1"/>
    <n v="30000"/>
    <x v="0"/>
    <n v="1"/>
    <x v="1"/>
    <x v="1"/>
    <s v="Yes"/>
    <n v="1"/>
    <x v="0"/>
    <x v="0"/>
    <n v="44"/>
    <x v="0"/>
    <x v="1"/>
    <x v="1"/>
    <n v="1"/>
    <n v="30000"/>
  </r>
  <r>
    <n v="16489"/>
    <x v="0"/>
    <x v="1"/>
    <n v="30000"/>
    <x v="0"/>
    <n v="3"/>
    <x v="2"/>
    <x v="0"/>
    <s v="Yes"/>
    <n v="2"/>
    <x v="2"/>
    <x v="1"/>
    <n v="55"/>
    <x v="0"/>
    <x v="0"/>
    <x v="0"/>
    <n v="1"/>
    <n v="0"/>
  </r>
  <r>
    <n v="26944"/>
    <x v="1"/>
    <x v="1"/>
    <n v="90000"/>
    <x v="1"/>
    <n v="2"/>
    <x v="2"/>
    <x v="3"/>
    <s v="Yes"/>
    <n v="0"/>
    <x v="0"/>
    <x v="0"/>
    <n v="36"/>
    <x v="2"/>
    <x v="1"/>
    <x v="1"/>
    <n v="1"/>
    <n v="90000"/>
  </r>
  <r>
    <n v="15682"/>
    <x v="1"/>
    <x v="0"/>
    <n v="80000"/>
    <x v="1"/>
    <n v="5"/>
    <x v="0"/>
    <x v="4"/>
    <s v="Yes"/>
    <n v="2"/>
    <x v="4"/>
    <x v="0"/>
    <n v="62"/>
    <x v="1"/>
    <x v="0"/>
    <x v="0"/>
    <n v="1"/>
    <n v="0"/>
  </r>
  <r>
    <n v="26032"/>
    <x v="0"/>
    <x v="0"/>
    <n v="70000"/>
    <x v="1"/>
    <n v="5"/>
    <x v="0"/>
    <x v="2"/>
    <s v="Yes"/>
    <n v="4"/>
    <x v="4"/>
    <x v="1"/>
    <n v="41"/>
    <x v="0"/>
    <x v="0"/>
    <x v="0"/>
    <n v="1"/>
    <n v="0"/>
  </r>
  <r>
    <n v="17843"/>
    <x v="1"/>
    <x v="0"/>
    <n v="10000"/>
    <x v="0"/>
    <n v="0"/>
    <x v="3"/>
    <x v="3"/>
    <s v="No"/>
    <n v="2"/>
    <x v="0"/>
    <x v="0"/>
    <n v="32"/>
    <x v="2"/>
    <x v="0"/>
    <x v="0"/>
    <n v="1"/>
    <n v="0"/>
  </r>
  <r>
    <n v="25559"/>
    <x v="1"/>
    <x v="1"/>
    <n v="20000"/>
    <x v="0"/>
    <n v="0"/>
    <x v="0"/>
    <x v="1"/>
    <s v="Yes"/>
    <n v="0"/>
    <x v="0"/>
    <x v="1"/>
    <n v="25"/>
    <x v="3"/>
    <x v="1"/>
    <x v="1"/>
    <n v="1"/>
    <n v="20000"/>
  </r>
  <r>
    <n v="16209"/>
    <x v="1"/>
    <x v="0"/>
    <n v="50000"/>
    <x v="0"/>
    <n v="0"/>
    <x v="4"/>
    <x v="0"/>
    <s v="Yes"/>
    <n v="0"/>
    <x v="3"/>
    <x v="0"/>
    <n v="36"/>
    <x v="2"/>
    <x v="0"/>
    <x v="0"/>
    <n v="1"/>
    <n v="0"/>
  </r>
  <r>
    <n v="11147"/>
    <x v="0"/>
    <x v="1"/>
    <n v="60000"/>
    <x v="0"/>
    <n v="2"/>
    <x v="4"/>
    <x v="4"/>
    <s v="Yes"/>
    <n v="1"/>
    <x v="0"/>
    <x v="1"/>
    <n v="67"/>
    <x v="1"/>
    <x v="1"/>
    <x v="1"/>
    <n v="1"/>
    <n v="60000"/>
  </r>
  <r>
    <n v="15214"/>
    <x v="1"/>
    <x v="0"/>
    <n v="100000"/>
    <x v="1"/>
    <n v="0"/>
    <x v="4"/>
    <x v="4"/>
    <s v="No"/>
    <n v="1"/>
    <x v="3"/>
    <x v="1"/>
    <n v="39"/>
    <x v="2"/>
    <x v="1"/>
    <x v="1"/>
    <n v="1"/>
    <n v="100000"/>
  </r>
  <r>
    <n v="11453"/>
    <x v="1"/>
    <x v="1"/>
    <n v="80000"/>
    <x v="1"/>
    <n v="0"/>
    <x v="0"/>
    <x v="2"/>
    <s v="No"/>
    <n v="3"/>
    <x v="4"/>
    <x v="1"/>
    <n v="33"/>
    <x v="2"/>
    <x v="1"/>
    <x v="1"/>
    <n v="1"/>
    <n v="80000"/>
  </r>
  <r>
    <n v="24584"/>
    <x v="1"/>
    <x v="1"/>
    <n v="60000"/>
    <x v="0"/>
    <n v="0"/>
    <x v="0"/>
    <x v="2"/>
    <s v="No"/>
    <n v="3"/>
    <x v="1"/>
    <x v="1"/>
    <n v="31"/>
    <x v="2"/>
    <x v="0"/>
    <x v="0"/>
    <n v="1"/>
    <n v="0"/>
  </r>
  <r>
    <n v="12585"/>
    <x v="0"/>
    <x v="1"/>
    <n v="10000"/>
    <x v="0"/>
    <n v="1"/>
    <x v="2"/>
    <x v="3"/>
    <s v="Yes"/>
    <n v="0"/>
    <x v="1"/>
    <x v="1"/>
    <n v="27"/>
    <x v="3"/>
    <x v="1"/>
    <x v="1"/>
    <n v="1"/>
    <n v="10000"/>
  </r>
  <r>
    <n v="18626"/>
    <x v="1"/>
    <x v="1"/>
    <n v="40000"/>
    <x v="0"/>
    <n v="2"/>
    <x v="1"/>
    <x v="1"/>
    <s v="Yes"/>
    <n v="0"/>
    <x v="3"/>
    <x v="0"/>
    <n v="33"/>
    <x v="2"/>
    <x v="1"/>
    <x v="1"/>
    <n v="1"/>
    <n v="40000"/>
  </r>
  <r>
    <n v="29298"/>
    <x v="1"/>
    <x v="0"/>
    <n v="60000"/>
    <x v="0"/>
    <n v="1"/>
    <x v="1"/>
    <x v="0"/>
    <s v="Yes"/>
    <n v="1"/>
    <x v="2"/>
    <x v="1"/>
    <n v="46"/>
    <x v="0"/>
    <x v="1"/>
    <x v="1"/>
    <n v="1"/>
    <n v="60000"/>
  </r>
  <r>
    <n v="24842"/>
    <x v="1"/>
    <x v="0"/>
    <n v="90000"/>
    <x v="1"/>
    <n v="3"/>
    <x v="2"/>
    <x v="2"/>
    <s v="No"/>
    <n v="1"/>
    <x v="1"/>
    <x v="0"/>
    <n v="51"/>
    <x v="0"/>
    <x v="0"/>
    <x v="0"/>
    <n v="1"/>
    <n v="0"/>
  </r>
  <r>
    <n v="15657"/>
    <x v="0"/>
    <x v="1"/>
    <n v="30000"/>
    <x v="0"/>
    <n v="3"/>
    <x v="4"/>
    <x v="1"/>
    <s v="Yes"/>
    <n v="0"/>
    <x v="0"/>
    <x v="0"/>
    <n v="46"/>
    <x v="0"/>
    <x v="1"/>
    <x v="1"/>
    <n v="1"/>
    <n v="30000"/>
  </r>
  <r>
    <n v="11415"/>
    <x v="1"/>
    <x v="1"/>
    <n v="90000"/>
    <x v="1"/>
    <n v="5"/>
    <x v="1"/>
    <x v="2"/>
    <s v="No"/>
    <n v="2"/>
    <x v="4"/>
    <x v="0"/>
    <n v="62"/>
    <x v="1"/>
    <x v="0"/>
    <x v="0"/>
    <n v="1"/>
    <n v="0"/>
  </r>
  <r>
    <n v="28729"/>
    <x v="1"/>
    <x v="0"/>
    <n v="20000"/>
    <x v="0"/>
    <n v="0"/>
    <x v="3"/>
    <x v="3"/>
    <s v="Yes"/>
    <n v="2"/>
    <x v="3"/>
    <x v="0"/>
    <n v="26"/>
    <x v="3"/>
    <x v="1"/>
    <x v="1"/>
    <n v="1"/>
    <n v="20000"/>
  </r>
  <r>
    <n v="22633"/>
    <x v="1"/>
    <x v="0"/>
    <n v="40000"/>
    <x v="0"/>
    <n v="0"/>
    <x v="4"/>
    <x v="1"/>
    <s v="Yes"/>
    <n v="0"/>
    <x v="0"/>
    <x v="0"/>
    <n v="37"/>
    <x v="2"/>
    <x v="1"/>
    <x v="1"/>
    <n v="1"/>
    <n v="40000"/>
  </r>
  <r>
    <n v="25649"/>
    <x v="1"/>
    <x v="0"/>
    <n v="30000"/>
    <x v="0"/>
    <n v="3"/>
    <x v="1"/>
    <x v="1"/>
    <s v="Yes"/>
    <n v="0"/>
    <x v="0"/>
    <x v="0"/>
    <n v="42"/>
    <x v="0"/>
    <x v="1"/>
    <x v="1"/>
    <n v="1"/>
    <n v="30000"/>
  </r>
  <r>
    <n v="14669"/>
    <x v="0"/>
    <x v="0"/>
    <n v="80000"/>
    <x v="1"/>
    <n v="4"/>
    <x v="4"/>
    <x v="4"/>
    <s v="Yes"/>
    <n v="1"/>
    <x v="0"/>
    <x v="1"/>
    <n v="36"/>
    <x v="2"/>
    <x v="0"/>
    <x v="0"/>
    <n v="1"/>
    <n v="0"/>
  </r>
  <r>
    <n v="19299"/>
    <x v="0"/>
    <x v="0"/>
    <n v="50000"/>
    <x v="0"/>
    <n v="0"/>
    <x v="4"/>
    <x v="0"/>
    <s v="Yes"/>
    <n v="0"/>
    <x v="0"/>
    <x v="0"/>
    <n v="36"/>
    <x v="2"/>
    <x v="1"/>
    <x v="1"/>
    <n v="1"/>
    <n v="50000"/>
  </r>
  <r>
    <n v="20946"/>
    <x v="1"/>
    <x v="0"/>
    <n v="30000"/>
    <x v="0"/>
    <n v="0"/>
    <x v="1"/>
    <x v="1"/>
    <s v="No"/>
    <n v="1"/>
    <x v="1"/>
    <x v="0"/>
    <n v="30"/>
    <x v="2"/>
    <x v="0"/>
    <x v="0"/>
    <n v="1"/>
    <n v="0"/>
  </r>
  <r>
    <n v="11451"/>
    <x v="1"/>
    <x v="1"/>
    <n v="70000"/>
    <x v="1"/>
    <n v="0"/>
    <x v="0"/>
    <x v="2"/>
    <s v="No"/>
    <n v="4"/>
    <x v="4"/>
    <x v="1"/>
    <n v="31"/>
    <x v="2"/>
    <x v="1"/>
    <x v="1"/>
    <n v="1"/>
    <n v="70000"/>
  </r>
  <r>
    <n v="25553"/>
    <x v="0"/>
    <x v="1"/>
    <n v="30000"/>
    <x v="0"/>
    <n v="1"/>
    <x v="0"/>
    <x v="1"/>
    <s v="Yes"/>
    <n v="0"/>
    <x v="0"/>
    <x v="0"/>
    <n v="65"/>
    <x v="1"/>
    <x v="1"/>
    <x v="1"/>
    <n v="1"/>
    <n v="30000"/>
  </r>
  <r>
    <n v="27951"/>
    <x v="1"/>
    <x v="1"/>
    <n v="80000"/>
    <x v="1"/>
    <n v="4"/>
    <x v="1"/>
    <x v="2"/>
    <s v="No"/>
    <n v="2"/>
    <x v="1"/>
    <x v="0"/>
    <n v="54"/>
    <x v="0"/>
    <x v="1"/>
    <x v="1"/>
    <n v="1"/>
    <n v="80000"/>
  </r>
  <r>
    <n v="25026"/>
    <x v="0"/>
    <x v="1"/>
    <n v="20000"/>
    <x v="0"/>
    <n v="2"/>
    <x v="3"/>
    <x v="1"/>
    <s v="Yes"/>
    <n v="3"/>
    <x v="2"/>
    <x v="1"/>
    <n v="54"/>
    <x v="0"/>
    <x v="0"/>
    <x v="0"/>
    <n v="1"/>
    <n v="0"/>
  </r>
  <r>
    <n v="13673"/>
    <x v="1"/>
    <x v="0"/>
    <n v="20000"/>
    <x v="0"/>
    <n v="0"/>
    <x v="3"/>
    <x v="3"/>
    <s v="No"/>
    <n v="2"/>
    <x v="0"/>
    <x v="0"/>
    <n v="25"/>
    <x v="3"/>
    <x v="0"/>
    <x v="0"/>
    <n v="1"/>
    <n v="0"/>
  </r>
  <r>
    <n v="16043"/>
    <x v="1"/>
    <x v="1"/>
    <n v="10000"/>
    <x v="0"/>
    <n v="1"/>
    <x v="0"/>
    <x v="3"/>
    <s v="Yes"/>
    <n v="0"/>
    <x v="0"/>
    <x v="0"/>
    <n v="48"/>
    <x v="0"/>
    <x v="0"/>
    <x v="0"/>
    <n v="1"/>
    <n v="0"/>
  </r>
  <r>
    <n v="22399"/>
    <x v="1"/>
    <x v="1"/>
    <n v="10000"/>
    <x v="0"/>
    <n v="0"/>
    <x v="1"/>
    <x v="3"/>
    <s v="Yes"/>
    <n v="1"/>
    <x v="3"/>
    <x v="1"/>
    <n v="26"/>
    <x v="3"/>
    <x v="1"/>
    <x v="1"/>
    <n v="1"/>
    <n v="10000"/>
  </r>
  <r>
    <n v="27696"/>
    <x v="0"/>
    <x v="1"/>
    <n v="60000"/>
    <x v="0"/>
    <n v="1"/>
    <x v="0"/>
    <x v="2"/>
    <s v="Yes"/>
    <n v="1"/>
    <x v="2"/>
    <x v="1"/>
    <n v="43"/>
    <x v="0"/>
    <x v="1"/>
    <x v="1"/>
    <n v="1"/>
    <n v="60000"/>
  </r>
  <r>
    <n v="25313"/>
    <x v="1"/>
    <x v="1"/>
    <n v="10000"/>
    <x v="0"/>
    <n v="0"/>
    <x v="3"/>
    <x v="3"/>
    <s v="No"/>
    <n v="2"/>
    <x v="3"/>
    <x v="0"/>
    <n v="35"/>
    <x v="2"/>
    <x v="0"/>
    <x v="0"/>
    <n v="1"/>
    <n v="0"/>
  </r>
  <r>
    <n v="13813"/>
    <x v="0"/>
    <x v="0"/>
    <n v="30000"/>
    <x v="0"/>
    <n v="3"/>
    <x v="1"/>
    <x v="1"/>
    <s v="No"/>
    <n v="0"/>
    <x v="0"/>
    <x v="0"/>
    <n v="42"/>
    <x v="0"/>
    <x v="0"/>
    <x v="0"/>
    <n v="1"/>
    <n v="0"/>
  </r>
  <r>
    <n v="18711"/>
    <x v="1"/>
    <x v="0"/>
    <n v="70000"/>
    <x v="1"/>
    <n v="5"/>
    <x v="0"/>
    <x v="2"/>
    <s v="Yes"/>
    <n v="4"/>
    <x v="4"/>
    <x v="1"/>
    <n v="39"/>
    <x v="2"/>
    <x v="0"/>
    <x v="0"/>
    <n v="1"/>
    <n v="0"/>
  </r>
  <r>
    <n v="19650"/>
    <x v="0"/>
    <x v="0"/>
    <n v="30000"/>
    <x v="0"/>
    <n v="2"/>
    <x v="1"/>
    <x v="1"/>
    <s v="No"/>
    <n v="2"/>
    <x v="0"/>
    <x v="1"/>
    <n v="67"/>
    <x v="1"/>
    <x v="0"/>
    <x v="0"/>
    <n v="1"/>
    <n v="0"/>
  </r>
  <r>
    <n v="14135"/>
    <x v="0"/>
    <x v="1"/>
    <n v="20000"/>
    <x v="0"/>
    <n v="1"/>
    <x v="1"/>
    <x v="3"/>
    <s v="Yes"/>
    <n v="0"/>
    <x v="3"/>
    <x v="0"/>
    <n v="35"/>
    <x v="2"/>
    <x v="0"/>
    <x v="0"/>
    <n v="1"/>
    <n v="0"/>
  </r>
  <r>
    <n v="12833"/>
    <x v="1"/>
    <x v="0"/>
    <n v="20000"/>
    <x v="0"/>
    <n v="3"/>
    <x v="2"/>
    <x v="3"/>
    <s v="Yes"/>
    <n v="1"/>
    <x v="0"/>
    <x v="0"/>
    <n v="42"/>
    <x v="0"/>
    <x v="1"/>
    <x v="1"/>
    <n v="1"/>
    <n v="20000"/>
  </r>
  <r>
    <n v="26849"/>
    <x v="0"/>
    <x v="1"/>
    <n v="10000"/>
    <x v="0"/>
    <n v="3"/>
    <x v="3"/>
    <x v="3"/>
    <s v="Yes"/>
    <n v="2"/>
    <x v="0"/>
    <x v="0"/>
    <n v="43"/>
    <x v="0"/>
    <x v="0"/>
    <x v="0"/>
    <n v="1"/>
    <n v="0"/>
  </r>
  <r>
    <n v="20962"/>
    <x v="0"/>
    <x v="0"/>
    <n v="20000"/>
    <x v="0"/>
    <n v="1"/>
    <x v="4"/>
    <x v="1"/>
    <s v="Yes"/>
    <n v="0"/>
    <x v="0"/>
    <x v="0"/>
    <n v="45"/>
    <x v="0"/>
    <x v="0"/>
    <x v="0"/>
    <n v="1"/>
    <n v="0"/>
  </r>
  <r>
    <n v="28915"/>
    <x v="1"/>
    <x v="1"/>
    <n v="80000"/>
    <x v="1"/>
    <n v="5"/>
    <x v="2"/>
    <x v="4"/>
    <s v="Yes"/>
    <n v="3"/>
    <x v="4"/>
    <x v="0"/>
    <n v="57"/>
    <x v="0"/>
    <x v="0"/>
    <x v="0"/>
    <n v="1"/>
    <n v="0"/>
  </r>
  <r>
    <n v="22830"/>
    <x v="0"/>
    <x v="1"/>
    <n v="120000"/>
    <x v="1"/>
    <n v="4"/>
    <x v="1"/>
    <x v="4"/>
    <s v="Yes"/>
    <n v="3"/>
    <x v="4"/>
    <x v="0"/>
    <n v="56"/>
    <x v="0"/>
    <x v="0"/>
    <x v="0"/>
    <n v="1"/>
    <n v="0"/>
  </r>
  <r>
    <n v="14777"/>
    <x v="0"/>
    <x v="0"/>
    <n v="40000"/>
    <x v="0"/>
    <n v="0"/>
    <x v="0"/>
    <x v="1"/>
    <s v="Yes"/>
    <n v="0"/>
    <x v="0"/>
    <x v="0"/>
    <n v="38"/>
    <x v="2"/>
    <x v="1"/>
    <x v="1"/>
    <n v="1"/>
    <n v="40000"/>
  </r>
  <r>
    <n v="12591"/>
    <x v="0"/>
    <x v="0"/>
    <n v="30000"/>
    <x v="0"/>
    <n v="4"/>
    <x v="4"/>
    <x v="1"/>
    <s v="Yes"/>
    <n v="0"/>
    <x v="0"/>
    <x v="0"/>
    <n v="45"/>
    <x v="0"/>
    <x v="0"/>
    <x v="0"/>
    <n v="1"/>
    <n v="0"/>
  </r>
  <r>
    <n v="24174"/>
    <x v="0"/>
    <x v="1"/>
    <n v="20000"/>
    <x v="0"/>
    <n v="0"/>
    <x v="0"/>
    <x v="1"/>
    <s v="Yes"/>
    <n v="0"/>
    <x v="0"/>
    <x v="1"/>
    <n v="27"/>
    <x v="3"/>
    <x v="1"/>
    <x v="1"/>
    <n v="1"/>
    <n v="20000"/>
  </r>
  <r>
    <n v="24611"/>
    <x v="1"/>
    <x v="1"/>
    <n v="90000"/>
    <x v="1"/>
    <n v="0"/>
    <x v="0"/>
    <x v="2"/>
    <s v="No"/>
    <n v="4"/>
    <x v="4"/>
    <x v="1"/>
    <n v="35"/>
    <x v="2"/>
    <x v="1"/>
    <x v="1"/>
    <n v="1"/>
    <n v="90000"/>
  </r>
  <r>
    <n v="11340"/>
    <x v="0"/>
    <x v="0"/>
    <n v="10000"/>
    <x v="0"/>
    <n v="1"/>
    <x v="4"/>
    <x v="1"/>
    <s v="Yes"/>
    <n v="0"/>
    <x v="0"/>
    <x v="0"/>
    <n v="70"/>
    <x v="1"/>
    <x v="1"/>
    <x v="1"/>
    <n v="1"/>
    <n v="10000"/>
  </r>
  <r>
    <n v="25693"/>
    <x v="1"/>
    <x v="0"/>
    <n v="30000"/>
    <x v="0"/>
    <n v="5"/>
    <x v="4"/>
    <x v="1"/>
    <s v="Yes"/>
    <n v="0"/>
    <x v="0"/>
    <x v="0"/>
    <n v="44"/>
    <x v="0"/>
    <x v="1"/>
    <x v="1"/>
    <n v="1"/>
    <n v="30000"/>
  </r>
  <r>
    <n v="25555"/>
    <x v="0"/>
    <x v="0"/>
    <n v="10000"/>
    <x v="0"/>
    <n v="0"/>
    <x v="1"/>
    <x v="3"/>
    <s v="No"/>
    <n v="1"/>
    <x v="0"/>
    <x v="1"/>
    <n v="26"/>
    <x v="3"/>
    <x v="1"/>
    <x v="1"/>
    <n v="1"/>
    <n v="10000"/>
  </r>
  <r>
    <n v="22006"/>
    <x v="0"/>
    <x v="1"/>
    <n v="70000"/>
    <x v="1"/>
    <n v="5"/>
    <x v="1"/>
    <x v="0"/>
    <s v="Yes"/>
    <n v="3"/>
    <x v="2"/>
    <x v="1"/>
    <n v="46"/>
    <x v="0"/>
    <x v="0"/>
    <x v="0"/>
    <n v="1"/>
    <n v="0"/>
  </r>
  <r>
    <n v="20060"/>
    <x v="1"/>
    <x v="0"/>
    <n v="30000"/>
    <x v="0"/>
    <n v="0"/>
    <x v="2"/>
    <x v="3"/>
    <s v="No"/>
    <n v="1"/>
    <x v="1"/>
    <x v="0"/>
    <n v="34"/>
    <x v="2"/>
    <x v="1"/>
    <x v="1"/>
    <n v="1"/>
    <n v="30000"/>
  </r>
  <r>
    <n v="17702"/>
    <x v="0"/>
    <x v="1"/>
    <n v="10000"/>
    <x v="0"/>
    <n v="1"/>
    <x v="4"/>
    <x v="3"/>
    <s v="Yes"/>
    <n v="0"/>
    <x v="0"/>
    <x v="0"/>
    <n v="37"/>
    <x v="2"/>
    <x v="0"/>
    <x v="0"/>
    <n v="1"/>
    <n v="0"/>
  </r>
  <r>
    <n v="12503"/>
    <x v="1"/>
    <x v="0"/>
    <n v="30000"/>
    <x v="0"/>
    <n v="3"/>
    <x v="1"/>
    <x v="1"/>
    <s v="Yes"/>
    <n v="2"/>
    <x v="0"/>
    <x v="0"/>
    <n v="27"/>
    <x v="3"/>
    <x v="0"/>
    <x v="0"/>
    <n v="1"/>
    <n v="0"/>
  </r>
  <r>
    <n v="23908"/>
    <x v="1"/>
    <x v="1"/>
    <n v="30000"/>
    <x v="0"/>
    <n v="1"/>
    <x v="0"/>
    <x v="1"/>
    <s v="No"/>
    <n v="1"/>
    <x v="0"/>
    <x v="0"/>
    <n v="39"/>
    <x v="2"/>
    <x v="1"/>
    <x v="1"/>
    <n v="1"/>
    <n v="30000"/>
  </r>
  <r>
    <n v="22527"/>
    <x v="1"/>
    <x v="0"/>
    <n v="20000"/>
    <x v="0"/>
    <n v="0"/>
    <x v="2"/>
    <x v="3"/>
    <s v="No"/>
    <n v="1"/>
    <x v="1"/>
    <x v="0"/>
    <n v="29"/>
    <x v="3"/>
    <x v="0"/>
    <x v="0"/>
    <n v="1"/>
    <n v="0"/>
  </r>
  <r>
    <n v="19057"/>
    <x v="0"/>
    <x v="0"/>
    <n v="120000"/>
    <x v="1"/>
    <n v="3"/>
    <x v="0"/>
    <x v="4"/>
    <s v="No"/>
    <n v="2"/>
    <x v="4"/>
    <x v="0"/>
    <n v="52"/>
    <x v="0"/>
    <x v="1"/>
    <x v="1"/>
    <n v="1"/>
    <n v="120000"/>
  </r>
  <r>
    <n v="18494"/>
    <x v="0"/>
    <x v="1"/>
    <n v="110000"/>
    <x v="1"/>
    <n v="5"/>
    <x v="0"/>
    <x v="4"/>
    <s v="Yes"/>
    <n v="4"/>
    <x v="1"/>
    <x v="1"/>
    <n v="48"/>
    <x v="0"/>
    <x v="1"/>
    <x v="1"/>
    <n v="1"/>
    <n v="110000"/>
  </r>
  <r>
    <n v="11249"/>
    <x v="0"/>
    <x v="0"/>
    <n v="130000"/>
    <x v="2"/>
    <n v="3"/>
    <x v="1"/>
    <x v="2"/>
    <s v="Yes"/>
    <n v="3"/>
    <x v="0"/>
    <x v="0"/>
    <n v="51"/>
    <x v="0"/>
    <x v="1"/>
    <x v="1"/>
    <n v="1"/>
    <n v="130000"/>
  </r>
  <r>
    <n v="21568"/>
    <x v="0"/>
    <x v="0"/>
    <n v="100000"/>
    <x v="1"/>
    <n v="0"/>
    <x v="2"/>
    <x v="4"/>
    <s v="Yes"/>
    <n v="4"/>
    <x v="4"/>
    <x v="1"/>
    <n v="34"/>
    <x v="2"/>
    <x v="1"/>
    <x v="1"/>
    <n v="1"/>
    <n v="100000"/>
  </r>
  <r>
    <n v="13981"/>
    <x v="0"/>
    <x v="0"/>
    <n v="10000"/>
    <x v="0"/>
    <n v="5"/>
    <x v="2"/>
    <x v="0"/>
    <s v="No"/>
    <n v="3"/>
    <x v="3"/>
    <x v="1"/>
    <n v="62"/>
    <x v="1"/>
    <x v="0"/>
    <x v="0"/>
    <n v="1"/>
    <n v="0"/>
  </r>
  <r>
    <n v="23432"/>
    <x v="1"/>
    <x v="1"/>
    <n v="70000"/>
    <x v="1"/>
    <n v="0"/>
    <x v="0"/>
    <x v="2"/>
    <s v="Yes"/>
    <n v="1"/>
    <x v="2"/>
    <x v="1"/>
    <n v="37"/>
    <x v="2"/>
    <x v="1"/>
    <x v="1"/>
    <n v="1"/>
    <n v="70000"/>
  </r>
  <r>
    <n v="22931"/>
    <x v="0"/>
    <x v="1"/>
    <n v="100000"/>
    <x v="1"/>
    <n v="5"/>
    <x v="4"/>
    <x v="4"/>
    <s v="No"/>
    <n v="1"/>
    <x v="3"/>
    <x v="1"/>
    <n v="78"/>
    <x v="1"/>
    <x v="1"/>
    <x v="1"/>
    <n v="1"/>
    <n v="100000"/>
  </r>
  <r>
    <n v="18172"/>
    <x v="0"/>
    <x v="1"/>
    <n v="130000"/>
    <x v="2"/>
    <n v="4"/>
    <x v="2"/>
    <x v="2"/>
    <s v="Yes"/>
    <n v="3"/>
    <x v="0"/>
    <x v="0"/>
    <n v="55"/>
    <x v="0"/>
    <x v="0"/>
    <x v="0"/>
    <n v="1"/>
    <n v="0"/>
  </r>
  <r>
    <n v="12666"/>
    <x v="1"/>
    <x v="1"/>
    <n v="60000"/>
    <x v="0"/>
    <n v="0"/>
    <x v="0"/>
    <x v="2"/>
    <s v="No"/>
    <n v="4"/>
    <x v="1"/>
    <x v="1"/>
    <n v="31"/>
    <x v="2"/>
    <x v="0"/>
    <x v="0"/>
    <n v="1"/>
    <n v="0"/>
  </r>
  <r>
    <n v="20598"/>
    <x v="0"/>
    <x v="1"/>
    <n v="100000"/>
    <x v="1"/>
    <n v="3"/>
    <x v="3"/>
    <x v="2"/>
    <s v="Yes"/>
    <n v="0"/>
    <x v="4"/>
    <x v="0"/>
    <n v="59"/>
    <x v="0"/>
    <x v="1"/>
    <x v="1"/>
    <n v="1"/>
    <n v="100000"/>
  </r>
  <r>
    <n v="21375"/>
    <x v="1"/>
    <x v="1"/>
    <n v="20000"/>
    <x v="0"/>
    <n v="2"/>
    <x v="3"/>
    <x v="1"/>
    <s v="Yes"/>
    <n v="2"/>
    <x v="2"/>
    <x v="1"/>
    <n v="57"/>
    <x v="0"/>
    <x v="0"/>
    <x v="0"/>
    <n v="1"/>
    <n v="0"/>
  </r>
  <r>
    <n v="20839"/>
    <x v="1"/>
    <x v="0"/>
    <n v="30000"/>
    <x v="0"/>
    <n v="3"/>
    <x v="4"/>
    <x v="1"/>
    <s v="Yes"/>
    <n v="0"/>
    <x v="0"/>
    <x v="0"/>
    <n v="47"/>
    <x v="0"/>
    <x v="1"/>
    <x v="1"/>
    <n v="1"/>
    <n v="30000"/>
  </r>
  <r>
    <n v="21738"/>
    <x v="0"/>
    <x v="1"/>
    <n v="20000"/>
    <x v="0"/>
    <n v="1"/>
    <x v="4"/>
    <x v="1"/>
    <s v="Yes"/>
    <n v="0"/>
    <x v="0"/>
    <x v="0"/>
    <n v="43"/>
    <x v="0"/>
    <x v="0"/>
    <x v="0"/>
    <n v="1"/>
    <n v="0"/>
  </r>
  <r>
    <n v="14164"/>
    <x v="1"/>
    <x v="0"/>
    <n v="50000"/>
    <x v="0"/>
    <n v="0"/>
    <x v="4"/>
    <x v="0"/>
    <s v="Yes"/>
    <n v="0"/>
    <x v="0"/>
    <x v="0"/>
    <n v="36"/>
    <x v="2"/>
    <x v="1"/>
    <x v="1"/>
    <n v="1"/>
    <n v="50000"/>
  </r>
  <r>
    <n v="14193"/>
    <x v="1"/>
    <x v="0"/>
    <n v="100000"/>
    <x v="1"/>
    <n v="3"/>
    <x v="1"/>
    <x v="4"/>
    <s v="Yes"/>
    <n v="4"/>
    <x v="4"/>
    <x v="0"/>
    <n v="56"/>
    <x v="0"/>
    <x v="0"/>
    <x v="0"/>
    <n v="1"/>
    <n v="0"/>
  </r>
  <r>
    <n v="12705"/>
    <x v="0"/>
    <x v="1"/>
    <n v="150000"/>
    <x v="2"/>
    <n v="0"/>
    <x v="0"/>
    <x v="4"/>
    <s v="Yes"/>
    <n v="4"/>
    <x v="0"/>
    <x v="1"/>
    <n v="37"/>
    <x v="2"/>
    <x v="1"/>
    <x v="1"/>
    <n v="1"/>
    <n v="150000"/>
  </r>
  <r>
    <n v="22672"/>
    <x v="1"/>
    <x v="0"/>
    <n v="30000"/>
    <x v="0"/>
    <n v="2"/>
    <x v="1"/>
    <x v="1"/>
    <s v="Yes"/>
    <n v="0"/>
    <x v="0"/>
    <x v="0"/>
    <n v="43"/>
    <x v="0"/>
    <x v="0"/>
    <x v="0"/>
    <n v="1"/>
    <n v="0"/>
  </r>
  <r>
    <n v="26219"/>
    <x v="0"/>
    <x v="0"/>
    <n v="40000"/>
    <x v="0"/>
    <n v="1"/>
    <x v="0"/>
    <x v="0"/>
    <s v="Yes"/>
    <n v="1"/>
    <x v="3"/>
    <x v="0"/>
    <n v="33"/>
    <x v="2"/>
    <x v="1"/>
    <x v="1"/>
    <n v="1"/>
    <n v="40000"/>
  </r>
  <r>
    <n v="28468"/>
    <x v="0"/>
    <x v="0"/>
    <n v="10000"/>
    <x v="0"/>
    <n v="2"/>
    <x v="1"/>
    <x v="3"/>
    <s v="Yes"/>
    <n v="0"/>
    <x v="3"/>
    <x v="0"/>
    <n v="51"/>
    <x v="0"/>
    <x v="0"/>
    <x v="0"/>
    <n v="1"/>
    <n v="0"/>
  </r>
  <r>
    <n v="23419"/>
    <x v="1"/>
    <x v="0"/>
    <n v="70000"/>
    <x v="1"/>
    <n v="5"/>
    <x v="0"/>
    <x v="2"/>
    <s v="Yes"/>
    <n v="3"/>
    <x v="4"/>
    <x v="1"/>
    <n v="39"/>
    <x v="2"/>
    <x v="0"/>
    <x v="0"/>
    <n v="1"/>
    <n v="0"/>
  </r>
  <r>
    <n v="17964"/>
    <x v="0"/>
    <x v="1"/>
    <n v="40000"/>
    <x v="0"/>
    <n v="0"/>
    <x v="4"/>
    <x v="1"/>
    <s v="Yes"/>
    <n v="0"/>
    <x v="0"/>
    <x v="0"/>
    <n v="37"/>
    <x v="2"/>
    <x v="1"/>
    <x v="1"/>
    <n v="1"/>
    <n v="40000"/>
  </r>
  <r>
    <n v="20919"/>
    <x v="1"/>
    <x v="0"/>
    <n v="30000"/>
    <x v="0"/>
    <n v="2"/>
    <x v="1"/>
    <x v="1"/>
    <s v="Yes"/>
    <n v="2"/>
    <x v="0"/>
    <x v="0"/>
    <n v="42"/>
    <x v="0"/>
    <x v="0"/>
    <x v="0"/>
    <n v="1"/>
    <n v="0"/>
  </r>
  <r>
    <n v="20927"/>
    <x v="1"/>
    <x v="0"/>
    <n v="20000"/>
    <x v="0"/>
    <n v="5"/>
    <x v="2"/>
    <x v="3"/>
    <s v="Yes"/>
    <n v="2"/>
    <x v="0"/>
    <x v="0"/>
    <n v="27"/>
    <x v="3"/>
    <x v="0"/>
    <x v="0"/>
    <n v="1"/>
    <n v="0"/>
  </r>
  <r>
    <n v="13133"/>
    <x v="1"/>
    <x v="1"/>
    <n v="100000"/>
    <x v="1"/>
    <n v="5"/>
    <x v="0"/>
    <x v="2"/>
    <s v="Yes"/>
    <n v="1"/>
    <x v="2"/>
    <x v="1"/>
    <n v="47"/>
    <x v="0"/>
    <x v="1"/>
    <x v="1"/>
    <n v="1"/>
    <n v="100000"/>
  </r>
  <r>
    <n v="19626"/>
    <x v="0"/>
    <x v="1"/>
    <n v="70000"/>
    <x v="1"/>
    <n v="5"/>
    <x v="1"/>
    <x v="0"/>
    <s v="Yes"/>
    <n v="3"/>
    <x v="2"/>
    <x v="1"/>
    <n v="45"/>
    <x v="0"/>
    <x v="0"/>
    <x v="0"/>
    <n v="1"/>
    <n v="0"/>
  </r>
  <r>
    <n v="21039"/>
    <x v="1"/>
    <x v="0"/>
    <n v="50000"/>
    <x v="0"/>
    <n v="0"/>
    <x v="4"/>
    <x v="0"/>
    <s v="No"/>
    <n v="0"/>
    <x v="0"/>
    <x v="0"/>
    <n v="37"/>
    <x v="2"/>
    <x v="1"/>
    <x v="1"/>
    <n v="1"/>
    <n v="50000"/>
  </r>
  <r>
    <n v="12231"/>
    <x v="1"/>
    <x v="0"/>
    <n v="10000"/>
    <x v="0"/>
    <n v="2"/>
    <x v="1"/>
    <x v="3"/>
    <s v="Yes"/>
    <n v="0"/>
    <x v="0"/>
    <x v="0"/>
    <n v="51"/>
    <x v="0"/>
    <x v="1"/>
    <x v="1"/>
    <n v="1"/>
    <n v="10000"/>
  </r>
  <r>
    <n v="25665"/>
    <x v="1"/>
    <x v="0"/>
    <n v="20000"/>
    <x v="0"/>
    <n v="0"/>
    <x v="2"/>
    <x v="3"/>
    <s v="No"/>
    <n v="1"/>
    <x v="3"/>
    <x v="0"/>
    <n v="28"/>
    <x v="3"/>
    <x v="0"/>
    <x v="0"/>
    <n v="1"/>
    <n v="0"/>
  </r>
  <r>
    <n v="24061"/>
    <x v="0"/>
    <x v="1"/>
    <n v="10000"/>
    <x v="0"/>
    <n v="4"/>
    <x v="3"/>
    <x v="3"/>
    <s v="Yes"/>
    <n v="1"/>
    <x v="0"/>
    <x v="0"/>
    <n v="40"/>
    <x v="0"/>
    <x v="1"/>
    <x v="1"/>
    <n v="1"/>
    <n v="10000"/>
  </r>
  <r>
    <n v="26879"/>
    <x v="1"/>
    <x v="0"/>
    <n v="20000"/>
    <x v="0"/>
    <n v="0"/>
    <x v="2"/>
    <x v="3"/>
    <s v="No"/>
    <n v="1"/>
    <x v="1"/>
    <x v="0"/>
    <n v="30"/>
    <x v="2"/>
    <x v="0"/>
    <x v="0"/>
    <n v="1"/>
    <n v="0"/>
  </r>
  <r>
    <n v="12284"/>
    <x v="0"/>
    <x v="0"/>
    <n v="30000"/>
    <x v="0"/>
    <n v="0"/>
    <x v="0"/>
    <x v="1"/>
    <s v="No"/>
    <n v="0"/>
    <x v="0"/>
    <x v="0"/>
    <n v="36"/>
    <x v="2"/>
    <x v="1"/>
    <x v="1"/>
    <n v="1"/>
    <n v="30000"/>
  </r>
  <r>
    <n v="26654"/>
    <x v="0"/>
    <x v="0"/>
    <n v="90000"/>
    <x v="1"/>
    <n v="1"/>
    <x v="4"/>
    <x v="4"/>
    <s v="Yes"/>
    <n v="0"/>
    <x v="0"/>
    <x v="1"/>
    <n v="37"/>
    <x v="2"/>
    <x v="1"/>
    <x v="1"/>
    <n v="1"/>
    <n v="90000"/>
  </r>
  <r>
    <n v="14545"/>
    <x v="0"/>
    <x v="0"/>
    <n v="10000"/>
    <x v="0"/>
    <n v="2"/>
    <x v="1"/>
    <x v="3"/>
    <s v="Yes"/>
    <n v="0"/>
    <x v="3"/>
    <x v="0"/>
    <n v="49"/>
    <x v="0"/>
    <x v="0"/>
    <x v="0"/>
    <n v="1"/>
    <n v="0"/>
  </r>
  <r>
    <n v="24201"/>
    <x v="0"/>
    <x v="0"/>
    <n v="10000"/>
    <x v="0"/>
    <n v="2"/>
    <x v="2"/>
    <x v="3"/>
    <s v="Yes"/>
    <n v="0"/>
    <x v="0"/>
    <x v="0"/>
    <n v="37"/>
    <x v="2"/>
    <x v="1"/>
    <x v="1"/>
    <n v="1"/>
    <n v="10000"/>
  </r>
  <r>
    <n v="20625"/>
    <x v="0"/>
    <x v="1"/>
    <n v="100000"/>
    <x v="1"/>
    <n v="0"/>
    <x v="2"/>
    <x v="4"/>
    <s v="Yes"/>
    <n v="3"/>
    <x v="4"/>
    <x v="1"/>
    <n v="35"/>
    <x v="2"/>
    <x v="1"/>
    <x v="1"/>
    <n v="1"/>
    <n v="100000"/>
  </r>
  <r>
    <n v="16390"/>
    <x v="1"/>
    <x v="1"/>
    <n v="30000"/>
    <x v="0"/>
    <n v="1"/>
    <x v="0"/>
    <x v="1"/>
    <s v="No"/>
    <n v="0"/>
    <x v="0"/>
    <x v="0"/>
    <n v="38"/>
    <x v="2"/>
    <x v="1"/>
    <x v="1"/>
    <n v="1"/>
    <n v="30000"/>
  </r>
  <r>
    <n v="14804"/>
    <x v="1"/>
    <x v="0"/>
    <n v="10000"/>
    <x v="0"/>
    <n v="3"/>
    <x v="3"/>
    <x v="3"/>
    <s v="Yes"/>
    <n v="2"/>
    <x v="0"/>
    <x v="0"/>
    <n v="43"/>
    <x v="0"/>
    <x v="0"/>
    <x v="0"/>
    <n v="1"/>
    <n v="0"/>
  </r>
  <r>
    <n v="12629"/>
    <x v="1"/>
    <x v="1"/>
    <n v="20000"/>
    <x v="0"/>
    <n v="1"/>
    <x v="1"/>
    <x v="3"/>
    <s v="No"/>
    <n v="0"/>
    <x v="0"/>
    <x v="0"/>
    <n v="37"/>
    <x v="2"/>
    <x v="0"/>
    <x v="0"/>
    <n v="1"/>
    <n v="0"/>
  </r>
  <r>
    <n v="14696"/>
    <x v="1"/>
    <x v="1"/>
    <n v="10000"/>
    <x v="0"/>
    <n v="0"/>
    <x v="3"/>
    <x v="3"/>
    <s v="No"/>
    <n v="2"/>
    <x v="0"/>
    <x v="0"/>
    <n v="34"/>
    <x v="2"/>
    <x v="0"/>
    <x v="0"/>
    <n v="1"/>
    <n v="0"/>
  </r>
  <r>
    <n v="22005"/>
    <x v="0"/>
    <x v="0"/>
    <n v="70000"/>
    <x v="1"/>
    <n v="5"/>
    <x v="1"/>
    <x v="0"/>
    <s v="No"/>
    <n v="3"/>
    <x v="2"/>
    <x v="1"/>
    <n v="46"/>
    <x v="0"/>
    <x v="0"/>
    <x v="0"/>
    <n v="1"/>
    <n v="0"/>
  </r>
  <r>
    <n v="14544"/>
    <x v="1"/>
    <x v="1"/>
    <n v="10000"/>
    <x v="0"/>
    <n v="1"/>
    <x v="1"/>
    <x v="3"/>
    <s v="Yes"/>
    <n v="0"/>
    <x v="0"/>
    <x v="0"/>
    <n v="49"/>
    <x v="0"/>
    <x v="0"/>
    <x v="0"/>
    <n v="1"/>
    <n v="0"/>
  </r>
  <r>
    <n v="14312"/>
    <x v="0"/>
    <x v="0"/>
    <n v="60000"/>
    <x v="0"/>
    <n v="1"/>
    <x v="1"/>
    <x v="0"/>
    <s v="Yes"/>
    <n v="1"/>
    <x v="2"/>
    <x v="1"/>
    <n v="45"/>
    <x v="0"/>
    <x v="0"/>
    <x v="0"/>
    <n v="1"/>
    <n v="0"/>
  </r>
  <r>
    <n v="29120"/>
    <x v="1"/>
    <x v="0"/>
    <n v="100000"/>
    <x v="1"/>
    <n v="1"/>
    <x v="0"/>
    <x v="4"/>
    <s v="Yes"/>
    <n v="4"/>
    <x v="1"/>
    <x v="1"/>
    <n v="48"/>
    <x v="0"/>
    <x v="0"/>
    <x v="0"/>
    <n v="1"/>
    <n v="0"/>
  </r>
  <r>
    <n v="24187"/>
    <x v="1"/>
    <x v="0"/>
    <n v="30000"/>
    <x v="0"/>
    <n v="3"/>
    <x v="4"/>
    <x v="1"/>
    <s v="No"/>
    <n v="0"/>
    <x v="0"/>
    <x v="0"/>
    <n v="46"/>
    <x v="0"/>
    <x v="1"/>
    <x v="1"/>
    <n v="1"/>
    <n v="30000"/>
  </r>
  <r>
    <n v="15758"/>
    <x v="0"/>
    <x v="1"/>
    <n v="130000"/>
    <x v="2"/>
    <n v="0"/>
    <x v="4"/>
    <x v="4"/>
    <s v="Yes"/>
    <n v="0"/>
    <x v="2"/>
    <x v="1"/>
    <n v="48"/>
    <x v="0"/>
    <x v="0"/>
    <x v="0"/>
    <n v="1"/>
    <n v="0"/>
  </r>
  <r>
    <n v="29094"/>
    <x v="0"/>
    <x v="1"/>
    <n v="30000"/>
    <x v="0"/>
    <n v="3"/>
    <x v="2"/>
    <x v="0"/>
    <s v="Yes"/>
    <n v="2"/>
    <x v="2"/>
    <x v="1"/>
    <n v="54"/>
    <x v="0"/>
    <x v="1"/>
    <x v="1"/>
    <n v="1"/>
    <n v="30000"/>
  </r>
  <r>
    <n v="28319"/>
    <x v="1"/>
    <x v="0"/>
    <n v="60000"/>
    <x v="0"/>
    <n v="1"/>
    <x v="1"/>
    <x v="0"/>
    <s v="No"/>
    <n v="1"/>
    <x v="0"/>
    <x v="1"/>
    <n v="46"/>
    <x v="0"/>
    <x v="1"/>
    <x v="1"/>
    <n v="1"/>
    <n v="60000"/>
  </r>
  <r>
    <n v="16406"/>
    <x v="0"/>
    <x v="1"/>
    <n v="40000"/>
    <x v="0"/>
    <n v="0"/>
    <x v="0"/>
    <x v="1"/>
    <s v="No"/>
    <n v="0"/>
    <x v="0"/>
    <x v="0"/>
    <n v="38"/>
    <x v="2"/>
    <x v="1"/>
    <x v="1"/>
    <n v="1"/>
    <n v="40000"/>
  </r>
  <r>
    <n v="20923"/>
    <x v="0"/>
    <x v="0"/>
    <n v="40000"/>
    <x v="0"/>
    <n v="1"/>
    <x v="0"/>
    <x v="0"/>
    <s v="Yes"/>
    <n v="0"/>
    <x v="0"/>
    <x v="0"/>
    <n v="42"/>
    <x v="0"/>
    <x v="1"/>
    <x v="1"/>
    <n v="1"/>
    <n v="40000"/>
  </r>
  <r>
    <n v="11378"/>
    <x v="1"/>
    <x v="0"/>
    <n v="10000"/>
    <x v="0"/>
    <n v="1"/>
    <x v="2"/>
    <x v="3"/>
    <s v="No"/>
    <n v="1"/>
    <x v="1"/>
    <x v="0"/>
    <n v="46"/>
    <x v="0"/>
    <x v="1"/>
    <x v="1"/>
    <n v="1"/>
    <n v="10000"/>
  </r>
  <r>
    <n v="20851"/>
    <x v="1"/>
    <x v="1"/>
    <n v="20000"/>
    <x v="0"/>
    <n v="0"/>
    <x v="1"/>
    <x v="3"/>
    <s v="No"/>
    <n v="1"/>
    <x v="1"/>
    <x v="0"/>
    <n v="36"/>
    <x v="2"/>
    <x v="1"/>
    <x v="1"/>
    <n v="1"/>
    <n v="20000"/>
  </r>
  <r>
    <n v="21557"/>
    <x v="1"/>
    <x v="0"/>
    <n v="110000"/>
    <x v="1"/>
    <n v="0"/>
    <x v="1"/>
    <x v="4"/>
    <s v="Yes"/>
    <n v="3"/>
    <x v="4"/>
    <x v="1"/>
    <n v="32"/>
    <x v="2"/>
    <x v="1"/>
    <x v="1"/>
    <n v="1"/>
    <n v="110000"/>
  </r>
  <r>
    <n v="26663"/>
    <x v="1"/>
    <x v="0"/>
    <n v="60000"/>
    <x v="0"/>
    <n v="2"/>
    <x v="0"/>
    <x v="2"/>
    <s v="No"/>
    <n v="1"/>
    <x v="0"/>
    <x v="1"/>
    <n v="39"/>
    <x v="2"/>
    <x v="1"/>
    <x v="1"/>
    <n v="1"/>
    <n v="60000"/>
  </r>
  <r>
    <n v="11896"/>
    <x v="0"/>
    <x v="1"/>
    <n v="100000"/>
    <x v="1"/>
    <n v="1"/>
    <x v="4"/>
    <x v="4"/>
    <s v="Yes"/>
    <n v="0"/>
    <x v="1"/>
    <x v="1"/>
    <n v="36"/>
    <x v="2"/>
    <x v="1"/>
    <x v="1"/>
    <n v="1"/>
    <n v="100000"/>
  </r>
  <r>
    <n v="14189"/>
    <x v="0"/>
    <x v="0"/>
    <n v="90000"/>
    <x v="1"/>
    <n v="4"/>
    <x v="2"/>
    <x v="2"/>
    <s v="No"/>
    <n v="2"/>
    <x v="1"/>
    <x v="0"/>
    <n v="54"/>
    <x v="0"/>
    <x v="1"/>
    <x v="1"/>
    <n v="1"/>
    <n v="90000"/>
  </r>
  <r>
    <n v="13136"/>
    <x v="0"/>
    <x v="0"/>
    <n v="30000"/>
    <x v="0"/>
    <n v="2"/>
    <x v="1"/>
    <x v="1"/>
    <s v="No"/>
    <n v="2"/>
    <x v="2"/>
    <x v="1"/>
    <n v="69"/>
    <x v="1"/>
    <x v="0"/>
    <x v="0"/>
    <n v="1"/>
    <n v="0"/>
  </r>
  <r>
    <n v="25906"/>
    <x v="1"/>
    <x v="0"/>
    <n v="10000"/>
    <x v="0"/>
    <n v="5"/>
    <x v="2"/>
    <x v="0"/>
    <s v="No"/>
    <n v="2"/>
    <x v="3"/>
    <x v="1"/>
    <n v="62"/>
    <x v="1"/>
    <x v="0"/>
    <x v="0"/>
    <n v="1"/>
    <n v="0"/>
  </r>
  <r>
    <n v="17926"/>
    <x v="1"/>
    <x v="0"/>
    <n v="40000"/>
    <x v="0"/>
    <n v="0"/>
    <x v="0"/>
    <x v="1"/>
    <s v="No"/>
    <n v="0"/>
    <x v="0"/>
    <x v="1"/>
    <n v="28"/>
    <x v="3"/>
    <x v="1"/>
    <x v="1"/>
    <n v="1"/>
    <n v="40000"/>
  </r>
  <r>
    <n v="26928"/>
    <x v="1"/>
    <x v="1"/>
    <n v="30000"/>
    <x v="0"/>
    <n v="1"/>
    <x v="0"/>
    <x v="1"/>
    <s v="Yes"/>
    <n v="0"/>
    <x v="0"/>
    <x v="0"/>
    <n v="62"/>
    <x v="1"/>
    <x v="1"/>
    <x v="1"/>
    <n v="1"/>
    <n v="30000"/>
  </r>
  <r>
    <n v="20897"/>
    <x v="0"/>
    <x v="0"/>
    <n v="30000"/>
    <x v="0"/>
    <n v="1"/>
    <x v="0"/>
    <x v="0"/>
    <s v="Yes"/>
    <n v="2"/>
    <x v="0"/>
    <x v="0"/>
    <n v="40"/>
    <x v="0"/>
    <x v="0"/>
    <x v="0"/>
    <n v="1"/>
    <n v="0"/>
  </r>
  <r>
    <n v="28207"/>
    <x v="0"/>
    <x v="1"/>
    <n v="80000"/>
    <x v="1"/>
    <n v="4"/>
    <x v="4"/>
    <x v="4"/>
    <s v="Yes"/>
    <n v="1"/>
    <x v="0"/>
    <x v="1"/>
    <n v="36"/>
    <x v="2"/>
    <x v="1"/>
    <x v="1"/>
    <n v="1"/>
    <n v="80000"/>
  </r>
  <r>
    <n v="25923"/>
    <x v="1"/>
    <x v="1"/>
    <n v="10000"/>
    <x v="0"/>
    <n v="2"/>
    <x v="3"/>
    <x v="1"/>
    <s v="Yes"/>
    <n v="2"/>
    <x v="2"/>
    <x v="1"/>
    <n v="58"/>
    <x v="0"/>
    <x v="0"/>
    <x v="0"/>
    <n v="1"/>
    <n v="0"/>
  </r>
  <r>
    <n v="11000"/>
    <x v="0"/>
    <x v="1"/>
    <n v="90000"/>
    <x v="1"/>
    <n v="2"/>
    <x v="0"/>
    <x v="2"/>
    <s v="Yes"/>
    <n v="0"/>
    <x v="3"/>
    <x v="1"/>
    <n v="40"/>
    <x v="0"/>
    <x v="1"/>
    <x v="1"/>
    <n v="1"/>
    <n v="90000"/>
  </r>
  <r>
    <n v="20974"/>
    <x v="0"/>
    <x v="1"/>
    <n v="10000"/>
    <x v="0"/>
    <n v="2"/>
    <x v="0"/>
    <x v="1"/>
    <s v="Yes"/>
    <n v="1"/>
    <x v="0"/>
    <x v="0"/>
    <n v="66"/>
    <x v="1"/>
    <x v="0"/>
    <x v="0"/>
    <n v="1"/>
    <n v="0"/>
  </r>
  <r>
    <n v="28758"/>
    <x v="0"/>
    <x v="1"/>
    <n v="40000"/>
    <x v="0"/>
    <n v="2"/>
    <x v="1"/>
    <x v="1"/>
    <s v="Yes"/>
    <n v="1"/>
    <x v="3"/>
    <x v="0"/>
    <n v="35"/>
    <x v="2"/>
    <x v="1"/>
    <x v="1"/>
    <n v="1"/>
    <n v="40000"/>
  </r>
  <r>
    <n v="11381"/>
    <x v="0"/>
    <x v="0"/>
    <n v="20000"/>
    <x v="0"/>
    <n v="2"/>
    <x v="1"/>
    <x v="3"/>
    <s v="Yes"/>
    <n v="1"/>
    <x v="1"/>
    <x v="0"/>
    <n v="47"/>
    <x v="0"/>
    <x v="1"/>
    <x v="1"/>
    <n v="1"/>
    <n v="20000"/>
  </r>
  <r>
    <n v="17522"/>
    <x v="0"/>
    <x v="1"/>
    <n v="120000"/>
    <x v="1"/>
    <n v="4"/>
    <x v="0"/>
    <x v="4"/>
    <s v="Yes"/>
    <n v="1"/>
    <x v="1"/>
    <x v="1"/>
    <n v="47"/>
    <x v="0"/>
    <x v="0"/>
    <x v="0"/>
    <n v="1"/>
    <n v="0"/>
  </r>
  <r>
    <n v="21207"/>
    <x v="0"/>
    <x v="1"/>
    <n v="60000"/>
    <x v="0"/>
    <n v="1"/>
    <x v="1"/>
    <x v="0"/>
    <s v="Yes"/>
    <n v="1"/>
    <x v="2"/>
    <x v="1"/>
    <n v="46"/>
    <x v="0"/>
    <x v="0"/>
    <x v="0"/>
    <n v="1"/>
    <n v="0"/>
  </r>
  <r>
    <n v="28102"/>
    <x v="0"/>
    <x v="1"/>
    <n v="20000"/>
    <x v="0"/>
    <n v="4"/>
    <x v="2"/>
    <x v="0"/>
    <s v="Yes"/>
    <n v="2"/>
    <x v="2"/>
    <x v="1"/>
    <n v="58"/>
    <x v="0"/>
    <x v="1"/>
    <x v="1"/>
    <n v="1"/>
    <n v="20000"/>
  </r>
  <r>
    <n v="23105"/>
    <x v="1"/>
    <x v="1"/>
    <n v="40000"/>
    <x v="0"/>
    <n v="3"/>
    <x v="3"/>
    <x v="1"/>
    <s v="No"/>
    <n v="2"/>
    <x v="2"/>
    <x v="1"/>
    <n v="52"/>
    <x v="0"/>
    <x v="1"/>
    <x v="1"/>
    <n v="1"/>
    <n v="40000"/>
  </r>
  <r>
    <n v="18740"/>
    <x v="0"/>
    <x v="1"/>
    <n v="80000"/>
    <x v="1"/>
    <n v="5"/>
    <x v="0"/>
    <x v="2"/>
    <s v="No"/>
    <n v="1"/>
    <x v="0"/>
    <x v="1"/>
    <n v="47"/>
    <x v="0"/>
    <x v="1"/>
    <x v="1"/>
    <n v="1"/>
    <n v="80000"/>
  </r>
  <r>
    <n v="21213"/>
    <x v="1"/>
    <x v="1"/>
    <n v="70000"/>
    <x v="1"/>
    <n v="0"/>
    <x v="0"/>
    <x v="2"/>
    <s v="No"/>
    <n v="1"/>
    <x v="2"/>
    <x v="1"/>
    <n v="41"/>
    <x v="0"/>
    <x v="0"/>
    <x v="0"/>
    <n v="1"/>
    <n v="0"/>
  </r>
  <r>
    <n v="17352"/>
    <x v="0"/>
    <x v="1"/>
    <n v="50000"/>
    <x v="0"/>
    <n v="2"/>
    <x v="4"/>
    <x v="4"/>
    <s v="Yes"/>
    <n v="1"/>
    <x v="2"/>
    <x v="1"/>
    <n v="64"/>
    <x v="1"/>
    <x v="1"/>
    <x v="1"/>
    <n v="1"/>
    <n v="50000"/>
  </r>
  <r>
    <n v="14154"/>
    <x v="0"/>
    <x v="1"/>
    <n v="30000"/>
    <x v="0"/>
    <n v="0"/>
    <x v="0"/>
    <x v="1"/>
    <s v="Yes"/>
    <n v="0"/>
    <x v="0"/>
    <x v="0"/>
    <n v="35"/>
    <x v="2"/>
    <x v="1"/>
    <x v="1"/>
    <n v="1"/>
    <n v="30000"/>
  </r>
  <r>
    <n v="19066"/>
    <x v="0"/>
    <x v="1"/>
    <n v="130000"/>
    <x v="2"/>
    <n v="4"/>
    <x v="1"/>
    <x v="2"/>
    <s v="No"/>
    <n v="3"/>
    <x v="4"/>
    <x v="0"/>
    <n v="54"/>
    <x v="0"/>
    <x v="0"/>
    <x v="0"/>
    <n v="1"/>
    <n v="0"/>
  </r>
  <r>
    <n v="11386"/>
    <x v="0"/>
    <x v="0"/>
    <n v="30000"/>
    <x v="0"/>
    <n v="3"/>
    <x v="0"/>
    <x v="1"/>
    <s v="Yes"/>
    <n v="0"/>
    <x v="0"/>
    <x v="0"/>
    <n v="45"/>
    <x v="0"/>
    <x v="0"/>
    <x v="0"/>
    <n v="1"/>
    <n v="0"/>
  </r>
  <r>
    <n v="20228"/>
    <x v="0"/>
    <x v="1"/>
    <n v="100000"/>
    <x v="1"/>
    <n v="0"/>
    <x v="4"/>
    <x v="4"/>
    <s v="Yes"/>
    <n v="0"/>
    <x v="1"/>
    <x v="1"/>
    <n v="40"/>
    <x v="0"/>
    <x v="1"/>
    <x v="1"/>
    <n v="1"/>
    <n v="100000"/>
  </r>
  <r>
    <n v="16675"/>
    <x v="1"/>
    <x v="0"/>
    <n v="160000"/>
    <x v="2"/>
    <n v="0"/>
    <x v="4"/>
    <x v="4"/>
    <s v="No"/>
    <n v="3"/>
    <x v="0"/>
    <x v="1"/>
    <n v="47"/>
    <x v="0"/>
    <x v="1"/>
    <x v="1"/>
    <n v="1"/>
    <n v="160000"/>
  </r>
  <r>
    <n v="16410"/>
    <x v="1"/>
    <x v="0"/>
    <n v="10000"/>
    <x v="0"/>
    <n v="4"/>
    <x v="3"/>
    <x v="3"/>
    <s v="Yes"/>
    <n v="2"/>
    <x v="0"/>
    <x v="0"/>
    <n v="41"/>
    <x v="0"/>
    <x v="1"/>
    <x v="1"/>
    <n v="1"/>
    <n v="10000"/>
  </r>
  <r>
    <n v="27760"/>
    <x v="1"/>
    <x v="0"/>
    <n v="40000"/>
    <x v="0"/>
    <n v="0"/>
    <x v="4"/>
    <x v="1"/>
    <s v="No"/>
    <n v="0"/>
    <x v="0"/>
    <x v="0"/>
    <n v="37"/>
    <x v="2"/>
    <x v="1"/>
    <x v="1"/>
    <n v="1"/>
    <n v="40000"/>
  </r>
  <r>
    <n v="22930"/>
    <x v="0"/>
    <x v="1"/>
    <n v="90000"/>
    <x v="1"/>
    <n v="4"/>
    <x v="0"/>
    <x v="2"/>
    <s v="Yes"/>
    <n v="0"/>
    <x v="3"/>
    <x v="1"/>
    <n v="38"/>
    <x v="2"/>
    <x v="1"/>
    <x v="1"/>
    <n v="1"/>
    <n v="90000"/>
  </r>
  <r>
    <n v="23780"/>
    <x v="1"/>
    <x v="1"/>
    <n v="40000"/>
    <x v="0"/>
    <n v="2"/>
    <x v="1"/>
    <x v="1"/>
    <s v="No"/>
    <n v="2"/>
    <x v="0"/>
    <x v="0"/>
    <n v="36"/>
    <x v="2"/>
    <x v="1"/>
    <x v="1"/>
    <n v="1"/>
    <n v="40000"/>
  </r>
  <r>
    <n v="20994"/>
    <x v="0"/>
    <x v="0"/>
    <n v="20000"/>
    <x v="0"/>
    <n v="0"/>
    <x v="0"/>
    <x v="1"/>
    <s v="No"/>
    <n v="0"/>
    <x v="0"/>
    <x v="1"/>
    <n v="26"/>
    <x v="3"/>
    <x v="1"/>
    <x v="1"/>
    <n v="1"/>
    <n v="20000"/>
  </r>
  <r>
    <n v="28379"/>
    <x v="0"/>
    <x v="1"/>
    <n v="30000"/>
    <x v="0"/>
    <n v="1"/>
    <x v="0"/>
    <x v="0"/>
    <s v="Yes"/>
    <n v="2"/>
    <x v="0"/>
    <x v="0"/>
    <n v="40"/>
    <x v="0"/>
    <x v="0"/>
    <x v="0"/>
    <n v="1"/>
    <n v="0"/>
  </r>
  <r>
    <n v="14865"/>
    <x v="1"/>
    <x v="1"/>
    <n v="40000"/>
    <x v="0"/>
    <n v="2"/>
    <x v="1"/>
    <x v="1"/>
    <s v="Yes"/>
    <n v="2"/>
    <x v="3"/>
    <x v="0"/>
    <n v="36"/>
    <x v="2"/>
    <x v="0"/>
    <x v="0"/>
    <n v="1"/>
    <n v="0"/>
  </r>
  <r>
    <n v="12663"/>
    <x v="0"/>
    <x v="0"/>
    <n v="90000"/>
    <x v="1"/>
    <n v="5"/>
    <x v="3"/>
    <x v="0"/>
    <s v="Yes"/>
    <n v="2"/>
    <x v="4"/>
    <x v="0"/>
    <n v="59"/>
    <x v="0"/>
    <x v="0"/>
    <x v="0"/>
    <n v="1"/>
    <n v="0"/>
  </r>
  <r>
    <n v="24898"/>
    <x v="1"/>
    <x v="0"/>
    <n v="80000"/>
    <x v="1"/>
    <n v="0"/>
    <x v="0"/>
    <x v="2"/>
    <s v="Yes"/>
    <n v="3"/>
    <x v="4"/>
    <x v="1"/>
    <n v="32"/>
    <x v="2"/>
    <x v="0"/>
    <x v="0"/>
    <n v="1"/>
    <n v="0"/>
  </r>
  <r>
    <n v="19508"/>
    <x v="0"/>
    <x v="1"/>
    <n v="10000"/>
    <x v="0"/>
    <n v="0"/>
    <x v="3"/>
    <x v="3"/>
    <s v="No"/>
    <n v="2"/>
    <x v="0"/>
    <x v="0"/>
    <n v="30"/>
    <x v="2"/>
    <x v="0"/>
    <x v="0"/>
    <n v="1"/>
    <n v="0"/>
  </r>
  <r>
    <n v="11489"/>
    <x v="1"/>
    <x v="0"/>
    <n v="20000"/>
    <x v="0"/>
    <n v="0"/>
    <x v="3"/>
    <x v="3"/>
    <s v="No"/>
    <n v="2"/>
    <x v="3"/>
    <x v="0"/>
    <n v="35"/>
    <x v="2"/>
    <x v="1"/>
    <x v="1"/>
    <n v="1"/>
    <n v="20000"/>
  </r>
  <r>
    <n v="18160"/>
    <x v="0"/>
    <x v="1"/>
    <n v="130000"/>
    <x v="2"/>
    <n v="3"/>
    <x v="2"/>
    <x v="2"/>
    <s v="Yes"/>
    <n v="4"/>
    <x v="2"/>
    <x v="0"/>
    <n v="51"/>
    <x v="0"/>
    <x v="1"/>
    <x v="1"/>
    <n v="1"/>
    <n v="130000"/>
  </r>
  <r>
    <n v="25241"/>
    <x v="0"/>
    <x v="1"/>
    <n v="90000"/>
    <x v="1"/>
    <n v="2"/>
    <x v="0"/>
    <x v="2"/>
    <s v="Yes"/>
    <n v="1"/>
    <x v="2"/>
    <x v="1"/>
    <n v="47"/>
    <x v="0"/>
    <x v="0"/>
    <x v="0"/>
    <n v="1"/>
    <n v="0"/>
  </r>
  <r>
    <n v="24369"/>
    <x v="0"/>
    <x v="1"/>
    <n v="80000"/>
    <x v="1"/>
    <n v="5"/>
    <x v="4"/>
    <x v="4"/>
    <s v="No"/>
    <n v="2"/>
    <x v="0"/>
    <x v="1"/>
    <n v="39"/>
    <x v="2"/>
    <x v="0"/>
    <x v="0"/>
    <n v="1"/>
    <n v="0"/>
  </r>
  <r>
    <n v="27165"/>
    <x v="1"/>
    <x v="1"/>
    <n v="20000"/>
    <x v="0"/>
    <n v="0"/>
    <x v="3"/>
    <x v="3"/>
    <s v="No"/>
    <n v="2"/>
    <x v="0"/>
    <x v="0"/>
    <n v="34"/>
    <x v="2"/>
    <x v="0"/>
    <x v="0"/>
    <n v="1"/>
    <n v="0"/>
  </r>
  <r>
    <n v="29424"/>
    <x v="0"/>
    <x v="1"/>
    <n v="10000"/>
    <x v="0"/>
    <n v="0"/>
    <x v="3"/>
    <x v="3"/>
    <s v="Yes"/>
    <n v="2"/>
    <x v="0"/>
    <x v="0"/>
    <n v="32"/>
    <x v="2"/>
    <x v="0"/>
    <x v="0"/>
    <n v="1"/>
    <n v="0"/>
  </r>
  <r>
    <n v="15926"/>
    <x v="1"/>
    <x v="0"/>
    <n v="120000"/>
    <x v="1"/>
    <n v="3"/>
    <x v="2"/>
    <x v="2"/>
    <s v="Yes"/>
    <n v="4"/>
    <x v="2"/>
    <x v="0"/>
    <n v="50"/>
    <x v="0"/>
    <x v="1"/>
    <x v="1"/>
    <n v="1"/>
    <n v="120000"/>
  </r>
  <r>
    <n v="14554"/>
    <x v="0"/>
    <x v="1"/>
    <n v="20000"/>
    <x v="0"/>
    <n v="1"/>
    <x v="0"/>
    <x v="1"/>
    <s v="Yes"/>
    <n v="0"/>
    <x v="0"/>
    <x v="0"/>
    <n v="66"/>
    <x v="1"/>
    <x v="0"/>
    <x v="0"/>
    <n v="1"/>
    <n v="0"/>
  </r>
  <r>
    <n v="16468"/>
    <x v="1"/>
    <x v="1"/>
    <n v="30000"/>
    <x v="0"/>
    <n v="0"/>
    <x v="1"/>
    <x v="1"/>
    <s v="Yes"/>
    <n v="1"/>
    <x v="1"/>
    <x v="0"/>
    <n v="30"/>
    <x v="2"/>
    <x v="0"/>
    <x v="0"/>
    <n v="1"/>
    <n v="0"/>
  </r>
  <r>
    <n v="19174"/>
    <x v="1"/>
    <x v="0"/>
    <n v="30000"/>
    <x v="0"/>
    <n v="0"/>
    <x v="2"/>
    <x v="3"/>
    <s v="No"/>
    <n v="1"/>
    <x v="1"/>
    <x v="0"/>
    <n v="32"/>
    <x v="2"/>
    <x v="1"/>
    <x v="1"/>
    <n v="1"/>
    <n v="30000"/>
  </r>
  <r>
    <n v="19183"/>
    <x v="1"/>
    <x v="1"/>
    <n v="10000"/>
    <x v="0"/>
    <n v="0"/>
    <x v="3"/>
    <x v="3"/>
    <s v="Yes"/>
    <n v="2"/>
    <x v="3"/>
    <x v="0"/>
    <n v="35"/>
    <x v="2"/>
    <x v="0"/>
    <x v="0"/>
    <n v="1"/>
    <n v="0"/>
  </r>
  <r>
    <n v="13683"/>
    <x v="1"/>
    <x v="0"/>
    <n v="30000"/>
    <x v="0"/>
    <n v="0"/>
    <x v="2"/>
    <x v="3"/>
    <s v="No"/>
    <n v="1"/>
    <x v="1"/>
    <x v="0"/>
    <n v="32"/>
    <x v="2"/>
    <x v="0"/>
    <x v="0"/>
    <n v="1"/>
    <n v="0"/>
  </r>
  <r>
    <n v="17848"/>
    <x v="1"/>
    <x v="1"/>
    <n v="30000"/>
    <x v="0"/>
    <n v="0"/>
    <x v="1"/>
    <x v="1"/>
    <s v="No"/>
    <n v="1"/>
    <x v="1"/>
    <x v="0"/>
    <n v="31"/>
    <x v="2"/>
    <x v="1"/>
    <x v="1"/>
    <n v="1"/>
    <n v="30000"/>
  </r>
  <r>
    <n v="17894"/>
    <x v="0"/>
    <x v="0"/>
    <n v="20000"/>
    <x v="0"/>
    <n v="1"/>
    <x v="0"/>
    <x v="1"/>
    <s v="Yes"/>
    <n v="0"/>
    <x v="0"/>
    <x v="0"/>
    <n v="50"/>
    <x v="0"/>
    <x v="1"/>
    <x v="1"/>
    <n v="1"/>
    <n v="20000"/>
  </r>
  <r>
    <n v="25651"/>
    <x v="0"/>
    <x v="1"/>
    <n v="40000"/>
    <x v="0"/>
    <n v="1"/>
    <x v="0"/>
    <x v="0"/>
    <s v="No"/>
    <n v="0"/>
    <x v="0"/>
    <x v="0"/>
    <n v="43"/>
    <x v="0"/>
    <x v="1"/>
    <x v="1"/>
    <n v="1"/>
    <n v="40000"/>
  </r>
  <r>
    <n v="22936"/>
    <x v="1"/>
    <x v="0"/>
    <n v="60000"/>
    <x v="0"/>
    <n v="1"/>
    <x v="1"/>
    <x v="0"/>
    <s v="No"/>
    <n v="1"/>
    <x v="0"/>
    <x v="1"/>
    <n v="45"/>
    <x v="0"/>
    <x v="1"/>
    <x v="1"/>
    <n v="1"/>
    <n v="60000"/>
  </r>
  <r>
    <n v="23915"/>
    <x v="0"/>
    <x v="1"/>
    <n v="20000"/>
    <x v="0"/>
    <n v="2"/>
    <x v="2"/>
    <x v="3"/>
    <s v="Yes"/>
    <n v="2"/>
    <x v="0"/>
    <x v="0"/>
    <n v="42"/>
    <x v="0"/>
    <x v="0"/>
    <x v="0"/>
    <n v="1"/>
    <n v="0"/>
  </r>
  <r>
    <n v="24121"/>
    <x v="1"/>
    <x v="0"/>
    <n v="30000"/>
    <x v="0"/>
    <n v="0"/>
    <x v="1"/>
    <x v="1"/>
    <s v="No"/>
    <n v="1"/>
    <x v="0"/>
    <x v="0"/>
    <n v="29"/>
    <x v="3"/>
    <x v="1"/>
    <x v="1"/>
    <n v="1"/>
    <n v="30000"/>
  </r>
  <r>
    <n v="27878"/>
    <x v="1"/>
    <x v="1"/>
    <n v="20000"/>
    <x v="0"/>
    <n v="0"/>
    <x v="1"/>
    <x v="3"/>
    <s v="No"/>
    <n v="0"/>
    <x v="0"/>
    <x v="1"/>
    <n v="28"/>
    <x v="3"/>
    <x v="1"/>
    <x v="1"/>
    <n v="1"/>
    <n v="20000"/>
  </r>
  <r>
    <n v="13572"/>
    <x v="1"/>
    <x v="1"/>
    <n v="10000"/>
    <x v="0"/>
    <n v="3"/>
    <x v="2"/>
    <x v="3"/>
    <s v="Yes"/>
    <n v="0"/>
    <x v="0"/>
    <x v="0"/>
    <n v="37"/>
    <x v="2"/>
    <x v="1"/>
    <x v="1"/>
    <n v="1"/>
    <n v="10000"/>
  </r>
  <r>
    <n v="27941"/>
    <x v="0"/>
    <x v="0"/>
    <n v="80000"/>
    <x v="1"/>
    <n v="4"/>
    <x v="1"/>
    <x v="2"/>
    <s v="Yes"/>
    <n v="2"/>
    <x v="1"/>
    <x v="0"/>
    <n v="53"/>
    <x v="0"/>
    <x v="0"/>
    <x v="0"/>
    <n v="1"/>
    <n v="0"/>
  </r>
  <r>
    <n v="26354"/>
    <x v="1"/>
    <x v="1"/>
    <n v="40000"/>
    <x v="0"/>
    <n v="0"/>
    <x v="4"/>
    <x v="1"/>
    <s v="No"/>
    <n v="0"/>
    <x v="0"/>
    <x v="0"/>
    <n v="38"/>
    <x v="2"/>
    <x v="1"/>
    <x v="1"/>
    <n v="1"/>
    <n v="40000"/>
  </r>
  <r>
    <n v="14785"/>
    <x v="1"/>
    <x v="1"/>
    <n v="30000"/>
    <x v="0"/>
    <n v="1"/>
    <x v="0"/>
    <x v="1"/>
    <s v="No"/>
    <n v="1"/>
    <x v="3"/>
    <x v="0"/>
    <n v="39"/>
    <x v="2"/>
    <x v="0"/>
    <x v="0"/>
    <n v="1"/>
    <n v="0"/>
  </r>
  <r>
    <n v="17238"/>
    <x v="1"/>
    <x v="1"/>
    <n v="80000"/>
    <x v="1"/>
    <n v="0"/>
    <x v="0"/>
    <x v="2"/>
    <s v="Yes"/>
    <n v="3"/>
    <x v="4"/>
    <x v="1"/>
    <n v="32"/>
    <x v="2"/>
    <x v="0"/>
    <x v="0"/>
    <n v="1"/>
    <n v="0"/>
  </r>
  <r>
    <n v="23608"/>
    <x v="0"/>
    <x v="0"/>
    <n v="150000"/>
    <x v="2"/>
    <n v="3"/>
    <x v="2"/>
    <x v="2"/>
    <s v="Yes"/>
    <n v="3"/>
    <x v="0"/>
    <x v="0"/>
    <n v="51"/>
    <x v="0"/>
    <x v="1"/>
    <x v="1"/>
    <n v="1"/>
    <n v="150000"/>
  </r>
  <r>
    <n v="22538"/>
    <x v="1"/>
    <x v="0"/>
    <n v="10000"/>
    <x v="0"/>
    <n v="0"/>
    <x v="3"/>
    <x v="3"/>
    <s v="Yes"/>
    <n v="2"/>
    <x v="3"/>
    <x v="0"/>
    <n v="33"/>
    <x v="2"/>
    <x v="0"/>
    <x v="0"/>
    <n v="1"/>
    <n v="0"/>
  </r>
  <r>
    <n v="12332"/>
    <x v="0"/>
    <x v="1"/>
    <n v="90000"/>
    <x v="1"/>
    <n v="4"/>
    <x v="2"/>
    <x v="4"/>
    <s v="Yes"/>
    <n v="3"/>
    <x v="2"/>
    <x v="0"/>
    <n v="58"/>
    <x v="0"/>
    <x v="1"/>
    <x v="1"/>
    <n v="1"/>
    <n v="90000"/>
  </r>
  <r>
    <n v="17230"/>
    <x v="0"/>
    <x v="1"/>
    <n v="80000"/>
    <x v="1"/>
    <n v="0"/>
    <x v="0"/>
    <x v="2"/>
    <s v="Yes"/>
    <n v="3"/>
    <x v="4"/>
    <x v="1"/>
    <n v="30"/>
    <x v="2"/>
    <x v="0"/>
    <x v="0"/>
    <n v="1"/>
    <n v="0"/>
  </r>
  <r>
    <n v="13082"/>
    <x v="1"/>
    <x v="1"/>
    <n v="130000"/>
    <x v="2"/>
    <n v="0"/>
    <x v="4"/>
    <x v="4"/>
    <s v="Yes"/>
    <n v="0"/>
    <x v="1"/>
    <x v="1"/>
    <n v="48"/>
    <x v="0"/>
    <x v="1"/>
    <x v="1"/>
    <n v="1"/>
    <n v="130000"/>
  </r>
  <r>
    <n v="22518"/>
    <x v="1"/>
    <x v="0"/>
    <n v="30000"/>
    <x v="0"/>
    <n v="3"/>
    <x v="1"/>
    <x v="1"/>
    <s v="No"/>
    <n v="2"/>
    <x v="0"/>
    <x v="0"/>
    <n v="27"/>
    <x v="3"/>
    <x v="1"/>
    <x v="1"/>
    <n v="1"/>
    <n v="30000"/>
  </r>
  <r>
    <n v="13687"/>
    <x v="0"/>
    <x v="1"/>
    <n v="40000"/>
    <x v="0"/>
    <n v="1"/>
    <x v="0"/>
    <x v="0"/>
    <s v="Yes"/>
    <n v="1"/>
    <x v="0"/>
    <x v="0"/>
    <n v="33"/>
    <x v="2"/>
    <x v="1"/>
    <x v="1"/>
    <n v="1"/>
    <n v="40000"/>
  </r>
  <r>
    <n v="23571"/>
    <x v="0"/>
    <x v="0"/>
    <n v="40000"/>
    <x v="0"/>
    <n v="2"/>
    <x v="0"/>
    <x v="4"/>
    <s v="Yes"/>
    <n v="2"/>
    <x v="0"/>
    <x v="1"/>
    <n v="66"/>
    <x v="1"/>
    <x v="1"/>
    <x v="1"/>
    <n v="1"/>
    <n v="40000"/>
  </r>
  <r>
    <n v="19305"/>
    <x v="1"/>
    <x v="0"/>
    <n v="10000"/>
    <x v="0"/>
    <n v="2"/>
    <x v="2"/>
    <x v="3"/>
    <s v="Yes"/>
    <n v="1"/>
    <x v="0"/>
    <x v="0"/>
    <n v="38"/>
    <x v="2"/>
    <x v="1"/>
    <x v="1"/>
    <n v="1"/>
    <n v="10000"/>
  </r>
  <r>
    <n v="22636"/>
    <x v="1"/>
    <x v="0"/>
    <n v="40000"/>
    <x v="0"/>
    <n v="0"/>
    <x v="0"/>
    <x v="1"/>
    <s v="No"/>
    <n v="0"/>
    <x v="0"/>
    <x v="0"/>
    <n v="38"/>
    <x v="2"/>
    <x v="1"/>
    <x v="1"/>
    <n v="1"/>
    <n v="40000"/>
  </r>
  <r>
    <n v="17310"/>
    <x v="0"/>
    <x v="1"/>
    <n v="60000"/>
    <x v="0"/>
    <n v="1"/>
    <x v="1"/>
    <x v="0"/>
    <s v="Yes"/>
    <n v="1"/>
    <x v="0"/>
    <x v="1"/>
    <n v="45"/>
    <x v="0"/>
    <x v="1"/>
    <x v="1"/>
    <n v="1"/>
    <n v="60000"/>
  </r>
  <r>
    <n v="12133"/>
    <x v="0"/>
    <x v="0"/>
    <n v="130000"/>
    <x v="2"/>
    <n v="3"/>
    <x v="1"/>
    <x v="2"/>
    <s v="Yes"/>
    <n v="3"/>
    <x v="2"/>
    <x v="0"/>
    <n v="50"/>
    <x v="0"/>
    <x v="1"/>
    <x v="1"/>
    <n v="1"/>
    <n v="130000"/>
  </r>
  <r>
    <n v="25918"/>
    <x v="1"/>
    <x v="0"/>
    <n v="30000"/>
    <x v="0"/>
    <n v="2"/>
    <x v="1"/>
    <x v="1"/>
    <s v="No"/>
    <n v="2"/>
    <x v="2"/>
    <x v="1"/>
    <n v="60"/>
    <x v="1"/>
    <x v="1"/>
    <x v="1"/>
    <n v="1"/>
    <n v="30000"/>
  </r>
  <r>
    <n v="25752"/>
    <x v="1"/>
    <x v="0"/>
    <n v="20000"/>
    <x v="0"/>
    <n v="2"/>
    <x v="1"/>
    <x v="3"/>
    <s v="No"/>
    <n v="1"/>
    <x v="0"/>
    <x v="0"/>
    <n v="53"/>
    <x v="0"/>
    <x v="1"/>
    <x v="1"/>
    <n v="1"/>
    <n v="20000"/>
  </r>
  <r>
    <n v="17324"/>
    <x v="0"/>
    <x v="0"/>
    <n v="100000"/>
    <x v="1"/>
    <n v="4"/>
    <x v="0"/>
    <x v="2"/>
    <s v="Yes"/>
    <n v="1"/>
    <x v="4"/>
    <x v="1"/>
    <n v="46"/>
    <x v="0"/>
    <x v="0"/>
    <x v="0"/>
    <n v="1"/>
    <n v="0"/>
  </r>
  <r>
    <n v="22918"/>
    <x v="1"/>
    <x v="1"/>
    <n v="80000"/>
    <x v="1"/>
    <n v="5"/>
    <x v="4"/>
    <x v="4"/>
    <s v="Yes"/>
    <n v="3"/>
    <x v="0"/>
    <x v="1"/>
    <n v="50"/>
    <x v="0"/>
    <x v="0"/>
    <x v="0"/>
    <n v="1"/>
    <n v="0"/>
  </r>
  <r>
    <n v="12510"/>
    <x v="0"/>
    <x v="1"/>
    <n v="40000"/>
    <x v="0"/>
    <n v="1"/>
    <x v="0"/>
    <x v="0"/>
    <s v="Yes"/>
    <n v="1"/>
    <x v="0"/>
    <x v="0"/>
    <n v="43"/>
    <x v="0"/>
    <x v="1"/>
    <x v="1"/>
    <n v="1"/>
    <n v="40000"/>
  </r>
  <r>
    <n v="25512"/>
    <x v="1"/>
    <x v="1"/>
    <n v="20000"/>
    <x v="0"/>
    <n v="0"/>
    <x v="2"/>
    <x v="3"/>
    <s v="No"/>
    <n v="1"/>
    <x v="1"/>
    <x v="0"/>
    <n v="30"/>
    <x v="2"/>
    <x v="0"/>
    <x v="0"/>
    <n v="1"/>
    <n v="0"/>
  </r>
  <r>
    <n v="16179"/>
    <x v="1"/>
    <x v="0"/>
    <n v="80000"/>
    <x v="1"/>
    <n v="5"/>
    <x v="0"/>
    <x v="2"/>
    <s v="Yes"/>
    <n v="4"/>
    <x v="3"/>
    <x v="1"/>
    <n v="38"/>
    <x v="2"/>
    <x v="0"/>
    <x v="0"/>
    <n v="1"/>
    <n v="0"/>
  </r>
  <r>
    <n v="15628"/>
    <x v="0"/>
    <x v="0"/>
    <n v="40000"/>
    <x v="0"/>
    <n v="1"/>
    <x v="0"/>
    <x v="0"/>
    <s v="Yes"/>
    <n v="1"/>
    <x v="0"/>
    <x v="0"/>
    <n v="89"/>
    <x v="1"/>
    <x v="0"/>
    <x v="0"/>
    <n v="1"/>
    <n v="0"/>
  </r>
  <r>
    <n v="20977"/>
    <x v="0"/>
    <x v="1"/>
    <n v="20000"/>
    <x v="0"/>
    <n v="1"/>
    <x v="0"/>
    <x v="1"/>
    <s v="Yes"/>
    <n v="0"/>
    <x v="0"/>
    <x v="0"/>
    <n v="64"/>
    <x v="1"/>
    <x v="1"/>
    <x v="1"/>
    <n v="1"/>
    <n v="20000"/>
  </r>
  <r>
    <n v="18140"/>
    <x v="0"/>
    <x v="1"/>
    <n v="130000"/>
    <x v="2"/>
    <n v="3"/>
    <x v="1"/>
    <x v="2"/>
    <s v="No"/>
    <n v="3"/>
    <x v="2"/>
    <x v="0"/>
    <n v="51"/>
    <x v="0"/>
    <x v="1"/>
    <x v="1"/>
    <n v="1"/>
    <n v="130000"/>
  </r>
  <r>
    <n v="20417"/>
    <x v="0"/>
    <x v="1"/>
    <n v="30000"/>
    <x v="0"/>
    <n v="3"/>
    <x v="1"/>
    <x v="1"/>
    <s v="No"/>
    <n v="2"/>
    <x v="2"/>
    <x v="1"/>
    <n v="56"/>
    <x v="0"/>
    <x v="0"/>
    <x v="0"/>
    <n v="1"/>
    <n v="0"/>
  </r>
  <r>
    <n v="18267"/>
    <x v="0"/>
    <x v="1"/>
    <n v="60000"/>
    <x v="0"/>
    <n v="3"/>
    <x v="0"/>
    <x v="2"/>
    <s v="Yes"/>
    <n v="2"/>
    <x v="2"/>
    <x v="1"/>
    <n v="43"/>
    <x v="0"/>
    <x v="0"/>
    <x v="0"/>
    <n v="1"/>
    <n v="0"/>
  </r>
  <r>
    <n v="13620"/>
    <x v="1"/>
    <x v="1"/>
    <n v="70000"/>
    <x v="1"/>
    <n v="0"/>
    <x v="0"/>
    <x v="2"/>
    <s v="No"/>
    <n v="3"/>
    <x v="4"/>
    <x v="1"/>
    <n v="30"/>
    <x v="2"/>
    <x v="1"/>
    <x v="1"/>
    <n v="1"/>
    <n v="70000"/>
  </r>
  <r>
    <n v="22974"/>
    <x v="0"/>
    <x v="0"/>
    <n v="30000"/>
    <x v="0"/>
    <n v="2"/>
    <x v="1"/>
    <x v="1"/>
    <s v="Yes"/>
    <n v="2"/>
    <x v="2"/>
    <x v="1"/>
    <n v="69"/>
    <x v="1"/>
    <x v="0"/>
    <x v="0"/>
    <n v="1"/>
    <n v="0"/>
  </r>
  <r>
    <n v="13586"/>
    <x v="0"/>
    <x v="1"/>
    <n v="80000"/>
    <x v="1"/>
    <n v="4"/>
    <x v="1"/>
    <x v="2"/>
    <s v="Yes"/>
    <n v="2"/>
    <x v="4"/>
    <x v="0"/>
    <n v="53"/>
    <x v="0"/>
    <x v="0"/>
    <x v="0"/>
    <n v="1"/>
    <n v="0"/>
  </r>
  <r>
    <n v="17978"/>
    <x v="0"/>
    <x v="1"/>
    <n v="40000"/>
    <x v="0"/>
    <n v="0"/>
    <x v="4"/>
    <x v="1"/>
    <s v="Yes"/>
    <n v="0"/>
    <x v="0"/>
    <x v="0"/>
    <n v="37"/>
    <x v="2"/>
    <x v="1"/>
    <x v="1"/>
    <n v="1"/>
    <n v="40000"/>
  </r>
  <r>
    <n v="12581"/>
    <x v="1"/>
    <x v="0"/>
    <n v="10000"/>
    <x v="0"/>
    <n v="0"/>
    <x v="1"/>
    <x v="3"/>
    <s v="No"/>
    <n v="1"/>
    <x v="0"/>
    <x v="1"/>
    <n v="28"/>
    <x v="3"/>
    <x v="1"/>
    <x v="1"/>
    <n v="1"/>
    <n v="10000"/>
  </r>
  <r>
    <n v="18018"/>
    <x v="1"/>
    <x v="1"/>
    <n v="30000"/>
    <x v="0"/>
    <n v="3"/>
    <x v="1"/>
    <x v="1"/>
    <s v="Yes"/>
    <n v="0"/>
    <x v="0"/>
    <x v="0"/>
    <n v="43"/>
    <x v="0"/>
    <x v="0"/>
    <x v="0"/>
    <n v="1"/>
    <n v="0"/>
  </r>
  <r>
    <n v="28957"/>
    <x v="1"/>
    <x v="0"/>
    <n v="120000"/>
    <x v="1"/>
    <n v="0"/>
    <x v="3"/>
    <x v="2"/>
    <s v="Yes"/>
    <n v="4"/>
    <x v="4"/>
    <x v="1"/>
    <n v="34"/>
    <x v="2"/>
    <x v="1"/>
    <x v="1"/>
    <n v="1"/>
    <n v="120000"/>
  </r>
  <r>
    <n v="13690"/>
    <x v="1"/>
    <x v="0"/>
    <n v="20000"/>
    <x v="0"/>
    <n v="0"/>
    <x v="3"/>
    <x v="3"/>
    <s v="No"/>
    <n v="2"/>
    <x v="3"/>
    <x v="0"/>
    <n v="34"/>
    <x v="2"/>
    <x v="1"/>
    <x v="1"/>
    <n v="1"/>
    <n v="20000"/>
  </r>
  <r>
    <n v="12568"/>
    <x v="0"/>
    <x v="0"/>
    <n v="30000"/>
    <x v="0"/>
    <n v="1"/>
    <x v="0"/>
    <x v="1"/>
    <s v="Yes"/>
    <n v="0"/>
    <x v="0"/>
    <x v="0"/>
    <n v="64"/>
    <x v="1"/>
    <x v="0"/>
    <x v="0"/>
    <n v="1"/>
    <n v="0"/>
  </r>
  <r>
    <n v="13122"/>
    <x v="0"/>
    <x v="0"/>
    <n v="80000"/>
    <x v="1"/>
    <n v="0"/>
    <x v="0"/>
    <x v="2"/>
    <s v="Yes"/>
    <n v="1"/>
    <x v="3"/>
    <x v="1"/>
    <n v="41"/>
    <x v="0"/>
    <x v="1"/>
    <x v="1"/>
    <n v="1"/>
    <n v="80000"/>
  </r>
  <r>
    <n v="21184"/>
    <x v="1"/>
    <x v="1"/>
    <n v="70000"/>
    <x v="1"/>
    <n v="0"/>
    <x v="0"/>
    <x v="2"/>
    <s v="No"/>
    <n v="1"/>
    <x v="2"/>
    <x v="1"/>
    <n v="38"/>
    <x v="2"/>
    <x v="0"/>
    <x v="0"/>
    <n v="1"/>
    <n v="0"/>
  </r>
  <r>
    <n v="26150"/>
    <x v="1"/>
    <x v="0"/>
    <n v="70000"/>
    <x v="1"/>
    <n v="0"/>
    <x v="0"/>
    <x v="2"/>
    <s v="No"/>
    <n v="1"/>
    <x v="0"/>
    <x v="1"/>
    <n v="41"/>
    <x v="0"/>
    <x v="1"/>
    <x v="1"/>
    <n v="1"/>
    <n v="70000"/>
  </r>
  <r>
    <n v="24151"/>
    <x v="1"/>
    <x v="1"/>
    <n v="20000"/>
    <x v="0"/>
    <n v="1"/>
    <x v="0"/>
    <x v="1"/>
    <s v="No"/>
    <n v="0"/>
    <x v="0"/>
    <x v="0"/>
    <n v="51"/>
    <x v="0"/>
    <x v="0"/>
    <x v="0"/>
    <n v="1"/>
    <n v="0"/>
  </r>
  <r>
    <n v="23962"/>
    <x v="0"/>
    <x v="0"/>
    <n v="10000"/>
    <x v="0"/>
    <n v="0"/>
    <x v="3"/>
    <x v="3"/>
    <s v="Yes"/>
    <n v="2"/>
    <x v="3"/>
    <x v="0"/>
    <n v="32"/>
    <x v="2"/>
    <x v="0"/>
    <x v="0"/>
    <n v="1"/>
    <n v="0"/>
  </r>
  <r>
    <n v="17793"/>
    <x v="0"/>
    <x v="0"/>
    <n v="40000"/>
    <x v="0"/>
    <n v="0"/>
    <x v="0"/>
    <x v="1"/>
    <s v="Yes"/>
    <n v="0"/>
    <x v="0"/>
    <x v="0"/>
    <n v="38"/>
    <x v="2"/>
    <x v="1"/>
    <x v="1"/>
    <n v="1"/>
    <n v="40000"/>
  </r>
  <r>
    <n v="14926"/>
    <x v="0"/>
    <x v="1"/>
    <n v="30000"/>
    <x v="0"/>
    <n v="1"/>
    <x v="0"/>
    <x v="1"/>
    <s v="Yes"/>
    <n v="0"/>
    <x v="0"/>
    <x v="0"/>
    <n v="38"/>
    <x v="2"/>
    <x v="1"/>
    <x v="1"/>
    <n v="1"/>
    <n v="30000"/>
  </r>
  <r>
    <n v="16163"/>
    <x v="1"/>
    <x v="1"/>
    <n v="60000"/>
    <x v="0"/>
    <n v="2"/>
    <x v="0"/>
    <x v="2"/>
    <s v="Yes"/>
    <n v="1"/>
    <x v="1"/>
    <x v="1"/>
    <n v="38"/>
    <x v="2"/>
    <x v="1"/>
    <x v="1"/>
    <n v="1"/>
    <n v="60000"/>
  </r>
  <r>
    <n v="21365"/>
    <x v="0"/>
    <x v="0"/>
    <n v="10000"/>
    <x v="0"/>
    <n v="2"/>
    <x v="3"/>
    <x v="1"/>
    <s v="Yes"/>
    <n v="2"/>
    <x v="2"/>
    <x v="1"/>
    <n v="58"/>
    <x v="0"/>
    <x v="0"/>
    <x v="0"/>
    <n v="1"/>
    <n v="0"/>
  </r>
  <r>
    <n v="27771"/>
    <x v="1"/>
    <x v="1"/>
    <n v="30000"/>
    <x v="0"/>
    <n v="1"/>
    <x v="0"/>
    <x v="1"/>
    <s v="Yes"/>
    <n v="1"/>
    <x v="3"/>
    <x v="0"/>
    <n v="39"/>
    <x v="2"/>
    <x v="1"/>
    <x v="1"/>
    <n v="1"/>
    <n v="30000"/>
  </r>
  <r>
    <n v="26167"/>
    <x v="1"/>
    <x v="0"/>
    <n v="40000"/>
    <x v="0"/>
    <n v="2"/>
    <x v="0"/>
    <x v="4"/>
    <s v="No"/>
    <n v="1"/>
    <x v="2"/>
    <x v="1"/>
    <n v="53"/>
    <x v="0"/>
    <x v="1"/>
    <x v="1"/>
    <n v="1"/>
    <n v="40000"/>
  </r>
  <r>
    <n v="25792"/>
    <x v="1"/>
    <x v="0"/>
    <n v="110000"/>
    <x v="1"/>
    <n v="3"/>
    <x v="0"/>
    <x v="4"/>
    <s v="Yes"/>
    <n v="4"/>
    <x v="4"/>
    <x v="0"/>
    <n v="53"/>
    <x v="0"/>
    <x v="0"/>
    <x v="0"/>
    <n v="1"/>
    <n v="0"/>
  </r>
  <r>
    <n v="11555"/>
    <x v="0"/>
    <x v="0"/>
    <n v="40000"/>
    <x v="0"/>
    <n v="1"/>
    <x v="0"/>
    <x v="1"/>
    <s v="Yes"/>
    <n v="0"/>
    <x v="0"/>
    <x v="0"/>
    <n v="80"/>
    <x v="1"/>
    <x v="0"/>
    <x v="0"/>
    <n v="1"/>
    <n v="0"/>
  </r>
  <r>
    <n v="22381"/>
    <x v="0"/>
    <x v="1"/>
    <n v="10000"/>
    <x v="0"/>
    <n v="1"/>
    <x v="4"/>
    <x v="3"/>
    <s v="Yes"/>
    <n v="0"/>
    <x v="0"/>
    <x v="0"/>
    <n v="44"/>
    <x v="0"/>
    <x v="0"/>
    <x v="0"/>
    <n v="1"/>
    <n v="0"/>
  </r>
  <r>
    <n v="17882"/>
    <x v="0"/>
    <x v="1"/>
    <n v="20000"/>
    <x v="0"/>
    <n v="1"/>
    <x v="4"/>
    <x v="1"/>
    <s v="Yes"/>
    <n v="0"/>
    <x v="0"/>
    <x v="0"/>
    <n v="44"/>
    <x v="0"/>
    <x v="0"/>
    <x v="0"/>
    <n v="1"/>
    <n v="0"/>
  </r>
  <r>
    <n v="22174"/>
    <x v="0"/>
    <x v="1"/>
    <n v="30000"/>
    <x v="0"/>
    <n v="3"/>
    <x v="2"/>
    <x v="0"/>
    <s v="Yes"/>
    <n v="2"/>
    <x v="2"/>
    <x v="1"/>
    <n v="54"/>
    <x v="0"/>
    <x v="1"/>
    <x v="1"/>
    <n v="1"/>
    <n v="30000"/>
  </r>
  <r>
    <n v="22439"/>
    <x v="0"/>
    <x v="0"/>
    <n v="30000"/>
    <x v="0"/>
    <n v="0"/>
    <x v="0"/>
    <x v="1"/>
    <s v="Yes"/>
    <n v="0"/>
    <x v="0"/>
    <x v="0"/>
    <n v="37"/>
    <x v="2"/>
    <x v="1"/>
    <x v="1"/>
    <n v="1"/>
    <n v="30000"/>
  </r>
  <r>
    <n v="18012"/>
    <x v="0"/>
    <x v="0"/>
    <n v="40000"/>
    <x v="0"/>
    <n v="1"/>
    <x v="0"/>
    <x v="0"/>
    <s v="Yes"/>
    <n v="0"/>
    <x v="0"/>
    <x v="0"/>
    <n v="41"/>
    <x v="0"/>
    <x v="0"/>
    <x v="0"/>
    <n v="1"/>
    <n v="0"/>
  </r>
  <r>
    <n v="27582"/>
    <x v="1"/>
    <x v="0"/>
    <n v="90000"/>
    <x v="1"/>
    <n v="2"/>
    <x v="0"/>
    <x v="2"/>
    <s v="No"/>
    <n v="0"/>
    <x v="0"/>
    <x v="1"/>
    <n v="36"/>
    <x v="2"/>
    <x v="1"/>
    <x v="1"/>
    <n v="1"/>
    <n v="90000"/>
  </r>
  <r>
    <n v="12744"/>
    <x v="1"/>
    <x v="0"/>
    <n v="40000"/>
    <x v="0"/>
    <n v="2"/>
    <x v="1"/>
    <x v="1"/>
    <s v="Yes"/>
    <n v="0"/>
    <x v="0"/>
    <x v="0"/>
    <n v="33"/>
    <x v="2"/>
    <x v="0"/>
    <x v="0"/>
    <n v="1"/>
    <n v="0"/>
  </r>
  <r>
    <n v="22821"/>
    <x v="0"/>
    <x v="0"/>
    <n v="130000"/>
    <x v="2"/>
    <n v="3"/>
    <x v="1"/>
    <x v="2"/>
    <s v="Yes"/>
    <n v="4"/>
    <x v="0"/>
    <x v="0"/>
    <n v="52"/>
    <x v="0"/>
    <x v="0"/>
    <x v="0"/>
    <n v="1"/>
    <n v="0"/>
  </r>
  <r>
    <n v="20171"/>
    <x v="0"/>
    <x v="0"/>
    <n v="20000"/>
    <x v="0"/>
    <n v="2"/>
    <x v="1"/>
    <x v="3"/>
    <s v="Yes"/>
    <n v="1"/>
    <x v="0"/>
    <x v="0"/>
    <n v="46"/>
    <x v="0"/>
    <x v="1"/>
    <x v="1"/>
    <n v="1"/>
    <n v="20000"/>
  </r>
  <r>
    <n v="11116"/>
    <x v="0"/>
    <x v="1"/>
    <n v="70000"/>
    <x v="1"/>
    <n v="5"/>
    <x v="1"/>
    <x v="0"/>
    <s v="Yes"/>
    <n v="2"/>
    <x v="2"/>
    <x v="1"/>
    <n v="43"/>
    <x v="0"/>
    <x v="0"/>
    <x v="0"/>
    <n v="1"/>
    <n v="0"/>
  </r>
  <r>
    <n v="20053"/>
    <x v="1"/>
    <x v="1"/>
    <n v="40000"/>
    <x v="0"/>
    <n v="2"/>
    <x v="1"/>
    <x v="1"/>
    <s v="Yes"/>
    <n v="0"/>
    <x v="0"/>
    <x v="0"/>
    <n v="34"/>
    <x v="2"/>
    <x v="0"/>
    <x v="0"/>
    <n v="1"/>
    <n v="0"/>
  </r>
  <r>
    <n v="25266"/>
    <x v="1"/>
    <x v="0"/>
    <n v="30000"/>
    <x v="0"/>
    <n v="2"/>
    <x v="1"/>
    <x v="1"/>
    <s v="No"/>
    <n v="2"/>
    <x v="2"/>
    <x v="1"/>
    <n v="67"/>
    <x v="1"/>
    <x v="0"/>
    <x v="0"/>
    <n v="1"/>
    <n v="0"/>
  </r>
  <r>
    <n v="17960"/>
    <x v="0"/>
    <x v="0"/>
    <n v="40000"/>
    <x v="0"/>
    <n v="0"/>
    <x v="4"/>
    <x v="1"/>
    <s v="Yes"/>
    <n v="0"/>
    <x v="0"/>
    <x v="0"/>
    <n v="35"/>
    <x v="2"/>
    <x v="1"/>
    <x v="1"/>
    <n v="1"/>
    <n v="40000"/>
  </r>
  <r>
    <n v="13961"/>
    <x v="0"/>
    <x v="0"/>
    <n v="80000"/>
    <x v="1"/>
    <n v="5"/>
    <x v="4"/>
    <x v="4"/>
    <s v="Yes"/>
    <n v="3"/>
    <x v="0"/>
    <x v="1"/>
    <n v="40"/>
    <x v="0"/>
    <x v="0"/>
    <x v="0"/>
    <n v="1"/>
    <n v="0"/>
  </r>
  <r>
    <n v="11897"/>
    <x v="1"/>
    <x v="1"/>
    <n v="60000"/>
    <x v="0"/>
    <n v="2"/>
    <x v="0"/>
    <x v="2"/>
    <s v="No"/>
    <n v="1"/>
    <x v="0"/>
    <x v="1"/>
    <n v="37"/>
    <x v="2"/>
    <x v="1"/>
    <x v="1"/>
    <n v="1"/>
    <n v="60000"/>
  </r>
  <r>
    <n v="11139"/>
    <x v="1"/>
    <x v="0"/>
    <n v="30000"/>
    <x v="0"/>
    <n v="2"/>
    <x v="1"/>
    <x v="1"/>
    <s v="No"/>
    <n v="2"/>
    <x v="2"/>
    <x v="1"/>
    <n v="67"/>
    <x v="1"/>
    <x v="0"/>
    <x v="0"/>
    <n v="1"/>
    <n v="0"/>
  </r>
  <r>
    <n v="11576"/>
    <x v="0"/>
    <x v="1"/>
    <n v="30000"/>
    <x v="0"/>
    <n v="1"/>
    <x v="0"/>
    <x v="0"/>
    <s v="Yes"/>
    <n v="2"/>
    <x v="0"/>
    <x v="0"/>
    <n v="41"/>
    <x v="0"/>
    <x v="1"/>
    <x v="1"/>
    <n v="1"/>
    <n v="30000"/>
  </r>
  <r>
    <n v="19255"/>
    <x v="1"/>
    <x v="1"/>
    <n v="10000"/>
    <x v="0"/>
    <n v="2"/>
    <x v="1"/>
    <x v="3"/>
    <s v="Yes"/>
    <n v="1"/>
    <x v="0"/>
    <x v="0"/>
    <n v="51"/>
    <x v="0"/>
    <x v="1"/>
    <x v="1"/>
    <n v="1"/>
    <n v="10000"/>
  </r>
  <r>
    <n v="18153"/>
    <x v="0"/>
    <x v="0"/>
    <n v="100000"/>
    <x v="1"/>
    <n v="2"/>
    <x v="0"/>
    <x v="4"/>
    <s v="Yes"/>
    <n v="4"/>
    <x v="4"/>
    <x v="0"/>
    <n v="59"/>
    <x v="0"/>
    <x v="0"/>
    <x v="0"/>
    <n v="1"/>
    <n v="0"/>
  </r>
  <r>
    <n v="14547"/>
    <x v="0"/>
    <x v="1"/>
    <n v="10000"/>
    <x v="0"/>
    <n v="2"/>
    <x v="1"/>
    <x v="3"/>
    <s v="Yes"/>
    <n v="0"/>
    <x v="3"/>
    <x v="0"/>
    <n v="51"/>
    <x v="0"/>
    <x v="0"/>
    <x v="0"/>
    <n v="1"/>
    <n v="0"/>
  </r>
  <r>
    <n v="24901"/>
    <x v="1"/>
    <x v="1"/>
    <n v="110000"/>
    <x v="1"/>
    <n v="0"/>
    <x v="1"/>
    <x v="4"/>
    <s v="No"/>
    <n v="3"/>
    <x v="4"/>
    <x v="1"/>
    <n v="32"/>
    <x v="2"/>
    <x v="1"/>
    <x v="1"/>
    <n v="1"/>
    <n v="110000"/>
  </r>
  <r>
    <n v="27169"/>
    <x v="1"/>
    <x v="1"/>
    <n v="30000"/>
    <x v="0"/>
    <n v="0"/>
    <x v="2"/>
    <x v="3"/>
    <s v="Yes"/>
    <n v="1"/>
    <x v="1"/>
    <x v="0"/>
    <n v="34"/>
    <x v="2"/>
    <x v="1"/>
    <x v="1"/>
    <n v="1"/>
    <n v="30000"/>
  </r>
  <r>
    <n v="14805"/>
    <x v="1"/>
    <x v="0"/>
    <n v="10000"/>
    <x v="0"/>
    <n v="3"/>
    <x v="3"/>
    <x v="3"/>
    <s v="Yes"/>
    <n v="2"/>
    <x v="0"/>
    <x v="0"/>
    <n v="43"/>
    <x v="0"/>
    <x v="0"/>
    <x v="0"/>
    <n v="1"/>
    <n v="0"/>
  </r>
  <r>
    <n v="15822"/>
    <x v="0"/>
    <x v="1"/>
    <n v="40000"/>
    <x v="0"/>
    <n v="2"/>
    <x v="0"/>
    <x v="4"/>
    <s v="Yes"/>
    <n v="2"/>
    <x v="0"/>
    <x v="1"/>
    <n v="67"/>
    <x v="1"/>
    <x v="0"/>
    <x v="0"/>
    <n v="1"/>
    <n v="0"/>
  </r>
  <r>
    <n v="19389"/>
    <x v="1"/>
    <x v="1"/>
    <n v="30000"/>
    <x v="0"/>
    <n v="0"/>
    <x v="1"/>
    <x v="1"/>
    <s v="No"/>
    <n v="1"/>
    <x v="1"/>
    <x v="0"/>
    <n v="28"/>
    <x v="3"/>
    <x v="0"/>
    <x v="0"/>
    <n v="1"/>
    <n v="0"/>
  </r>
  <r>
    <n v="17048"/>
    <x v="1"/>
    <x v="0"/>
    <n v="90000"/>
    <x v="1"/>
    <n v="1"/>
    <x v="4"/>
    <x v="4"/>
    <s v="Yes"/>
    <n v="0"/>
    <x v="0"/>
    <x v="1"/>
    <n v="36"/>
    <x v="2"/>
    <x v="1"/>
    <x v="1"/>
    <n v="1"/>
    <n v="90000"/>
  </r>
  <r>
    <n v="22204"/>
    <x v="0"/>
    <x v="1"/>
    <n v="110000"/>
    <x v="1"/>
    <n v="4"/>
    <x v="0"/>
    <x v="4"/>
    <s v="Yes"/>
    <n v="3"/>
    <x v="1"/>
    <x v="1"/>
    <n v="48"/>
    <x v="0"/>
    <x v="0"/>
    <x v="0"/>
    <n v="1"/>
    <n v="0"/>
  </r>
  <r>
    <n v="12718"/>
    <x v="1"/>
    <x v="0"/>
    <n v="30000"/>
    <x v="0"/>
    <n v="0"/>
    <x v="1"/>
    <x v="1"/>
    <s v="Yes"/>
    <n v="1"/>
    <x v="1"/>
    <x v="0"/>
    <n v="31"/>
    <x v="2"/>
    <x v="0"/>
    <x v="0"/>
    <n v="1"/>
    <n v="0"/>
  </r>
  <r>
    <n v="15019"/>
    <x v="1"/>
    <x v="0"/>
    <n v="30000"/>
    <x v="0"/>
    <n v="3"/>
    <x v="2"/>
    <x v="0"/>
    <s v="Yes"/>
    <n v="2"/>
    <x v="2"/>
    <x v="1"/>
    <n v="55"/>
    <x v="0"/>
    <x v="0"/>
    <x v="0"/>
    <n v="1"/>
    <n v="0"/>
  </r>
  <r>
    <n v="28488"/>
    <x v="1"/>
    <x v="1"/>
    <n v="20000"/>
    <x v="0"/>
    <n v="0"/>
    <x v="1"/>
    <x v="3"/>
    <s v="Yes"/>
    <n v="0"/>
    <x v="0"/>
    <x v="1"/>
    <n v="28"/>
    <x v="3"/>
    <x v="1"/>
    <x v="1"/>
    <n v="1"/>
    <n v="20000"/>
  </r>
  <r>
    <n v="21891"/>
    <x v="0"/>
    <x v="0"/>
    <n v="110000"/>
    <x v="1"/>
    <n v="0"/>
    <x v="2"/>
    <x v="4"/>
    <s v="Yes"/>
    <n v="3"/>
    <x v="4"/>
    <x v="1"/>
    <n v="34"/>
    <x v="2"/>
    <x v="1"/>
    <x v="1"/>
    <n v="1"/>
    <n v="110000"/>
  </r>
  <r>
    <n v="27814"/>
    <x v="1"/>
    <x v="0"/>
    <n v="30000"/>
    <x v="0"/>
    <n v="3"/>
    <x v="1"/>
    <x v="1"/>
    <s v="No"/>
    <n v="1"/>
    <x v="0"/>
    <x v="0"/>
    <n v="26"/>
    <x v="3"/>
    <x v="0"/>
    <x v="0"/>
    <n v="1"/>
    <n v="0"/>
  </r>
  <r>
    <n v="22175"/>
    <x v="0"/>
    <x v="0"/>
    <n v="30000"/>
    <x v="0"/>
    <n v="3"/>
    <x v="2"/>
    <x v="0"/>
    <s v="Yes"/>
    <n v="2"/>
    <x v="2"/>
    <x v="1"/>
    <n v="53"/>
    <x v="0"/>
    <x v="1"/>
    <x v="1"/>
    <n v="1"/>
    <n v="30000"/>
  </r>
  <r>
    <n v="29447"/>
    <x v="1"/>
    <x v="0"/>
    <n v="10000"/>
    <x v="0"/>
    <n v="2"/>
    <x v="0"/>
    <x v="1"/>
    <s v="No"/>
    <n v="1"/>
    <x v="1"/>
    <x v="0"/>
    <n v="68"/>
    <x v="1"/>
    <x v="0"/>
    <x v="0"/>
    <n v="1"/>
    <n v="0"/>
  </r>
  <r>
    <n v="19784"/>
    <x v="0"/>
    <x v="0"/>
    <n v="80000"/>
    <x v="1"/>
    <n v="2"/>
    <x v="2"/>
    <x v="0"/>
    <s v="Yes"/>
    <n v="2"/>
    <x v="2"/>
    <x v="1"/>
    <n v="50"/>
    <x v="0"/>
    <x v="1"/>
    <x v="1"/>
    <n v="1"/>
    <n v="80000"/>
  </r>
  <r>
    <n v="27824"/>
    <x v="1"/>
    <x v="0"/>
    <n v="30000"/>
    <x v="0"/>
    <n v="3"/>
    <x v="1"/>
    <x v="1"/>
    <s v="Yes"/>
    <n v="2"/>
    <x v="0"/>
    <x v="0"/>
    <n v="28"/>
    <x v="3"/>
    <x v="1"/>
    <x v="1"/>
    <n v="1"/>
    <n v="30000"/>
  </r>
  <r>
    <n v="24093"/>
    <x v="1"/>
    <x v="0"/>
    <n v="80000"/>
    <x v="1"/>
    <n v="0"/>
    <x v="4"/>
    <x v="0"/>
    <s v="No"/>
    <n v="0"/>
    <x v="0"/>
    <x v="0"/>
    <n v="40"/>
    <x v="0"/>
    <x v="1"/>
    <x v="1"/>
    <n v="1"/>
    <n v="80000"/>
  </r>
  <r>
    <n v="19618"/>
    <x v="0"/>
    <x v="1"/>
    <n v="70000"/>
    <x v="1"/>
    <n v="5"/>
    <x v="1"/>
    <x v="0"/>
    <s v="Yes"/>
    <n v="2"/>
    <x v="0"/>
    <x v="1"/>
    <n v="44"/>
    <x v="0"/>
    <x v="0"/>
    <x v="0"/>
    <n v="1"/>
    <n v="0"/>
  </r>
  <r>
    <n v="21561"/>
    <x v="1"/>
    <x v="1"/>
    <n v="90000"/>
    <x v="1"/>
    <n v="0"/>
    <x v="0"/>
    <x v="2"/>
    <s v="No"/>
    <n v="3"/>
    <x v="4"/>
    <x v="1"/>
    <n v="34"/>
    <x v="2"/>
    <x v="1"/>
    <x v="1"/>
    <n v="1"/>
    <n v="90000"/>
  </r>
  <r>
    <n v="11061"/>
    <x v="0"/>
    <x v="1"/>
    <n v="70000"/>
    <x v="1"/>
    <n v="2"/>
    <x v="1"/>
    <x v="0"/>
    <s v="Yes"/>
    <n v="2"/>
    <x v="2"/>
    <x v="1"/>
    <n v="52"/>
    <x v="0"/>
    <x v="1"/>
    <x v="1"/>
    <n v="1"/>
    <n v="70000"/>
  </r>
  <r>
    <n v="26651"/>
    <x v="1"/>
    <x v="1"/>
    <n v="80000"/>
    <x v="1"/>
    <n v="4"/>
    <x v="4"/>
    <x v="4"/>
    <s v="Yes"/>
    <n v="0"/>
    <x v="0"/>
    <x v="1"/>
    <n v="36"/>
    <x v="2"/>
    <x v="1"/>
    <x v="1"/>
    <n v="1"/>
    <n v="80000"/>
  </r>
  <r>
    <n v="21108"/>
    <x v="0"/>
    <x v="0"/>
    <n v="40000"/>
    <x v="0"/>
    <n v="1"/>
    <x v="0"/>
    <x v="0"/>
    <s v="Yes"/>
    <n v="1"/>
    <x v="0"/>
    <x v="0"/>
    <n v="43"/>
    <x v="0"/>
    <x v="1"/>
    <x v="1"/>
    <n v="1"/>
    <n v="40000"/>
  </r>
  <r>
    <n v="12731"/>
    <x v="1"/>
    <x v="1"/>
    <n v="30000"/>
    <x v="0"/>
    <n v="0"/>
    <x v="2"/>
    <x v="3"/>
    <s v="No"/>
    <n v="1"/>
    <x v="3"/>
    <x v="0"/>
    <n v="32"/>
    <x v="2"/>
    <x v="0"/>
    <x v="0"/>
    <n v="1"/>
    <n v="0"/>
  </r>
  <r>
    <n v="25307"/>
    <x v="0"/>
    <x v="0"/>
    <n v="40000"/>
    <x v="0"/>
    <n v="1"/>
    <x v="0"/>
    <x v="0"/>
    <s v="Yes"/>
    <n v="1"/>
    <x v="3"/>
    <x v="0"/>
    <n v="32"/>
    <x v="2"/>
    <x v="1"/>
    <x v="1"/>
    <n v="1"/>
    <n v="40000"/>
  </r>
  <r>
    <n v="14278"/>
    <x v="0"/>
    <x v="0"/>
    <n v="130000"/>
    <x v="2"/>
    <n v="0"/>
    <x v="4"/>
    <x v="4"/>
    <s v="Yes"/>
    <n v="1"/>
    <x v="4"/>
    <x v="1"/>
    <n v="48"/>
    <x v="0"/>
    <x v="0"/>
    <x v="0"/>
    <n v="1"/>
    <n v="0"/>
  </r>
  <r>
    <n v="20711"/>
    <x v="0"/>
    <x v="0"/>
    <n v="40000"/>
    <x v="0"/>
    <n v="1"/>
    <x v="0"/>
    <x v="0"/>
    <s v="Yes"/>
    <n v="0"/>
    <x v="3"/>
    <x v="0"/>
    <n v="32"/>
    <x v="2"/>
    <x v="1"/>
    <x v="1"/>
    <n v="1"/>
    <n v="40000"/>
  </r>
  <r>
    <n v="11383"/>
    <x v="0"/>
    <x v="0"/>
    <n v="30000"/>
    <x v="0"/>
    <n v="3"/>
    <x v="4"/>
    <x v="1"/>
    <s v="Yes"/>
    <n v="0"/>
    <x v="0"/>
    <x v="0"/>
    <n v="46"/>
    <x v="0"/>
    <x v="0"/>
    <x v="0"/>
    <n v="1"/>
    <n v="0"/>
  </r>
  <r>
    <n v="12497"/>
    <x v="0"/>
    <x v="0"/>
    <n v="40000"/>
    <x v="0"/>
    <n v="1"/>
    <x v="0"/>
    <x v="0"/>
    <s v="Yes"/>
    <n v="0"/>
    <x v="0"/>
    <x v="0"/>
    <n v="42"/>
    <x v="0"/>
    <x v="0"/>
    <x v="0"/>
    <n v="1"/>
    <n v="0"/>
  </r>
  <r>
    <n v="16559"/>
    <x v="1"/>
    <x v="0"/>
    <n v="10000"/>
    <x v="0"/>
    <n v="2"/>
    <x v="2"/>
    <x v="3"/>
    <s v="Yes"/>
    <n v="0"/>
    <x v="0"/>
    <x v="0"/>
    <n v="36"/>
    <x v="2"/>
    <x v="1"/>
    <x v="1"/>
    <n v="1"/>
    <n v="10000"/>
  </r>
  <r>
    <n v="11585"/>
    <x v="0"/>
    <x v="0"/>
    <n v="40000"/>
    <x v="0"/>
    <n v="1"/>
    <x v="0"/>
    <x v="0"/>
    <s v="Yes"/>
    <n v="0"/>
    <x v="0"/>
    <x v="0"/>
    <n v="41"/>
    <x v="0"/>
    <x v="0"/>
    <x v="0"/>
    <n v="1"/>
    <n v="0"/>
  </r>
  <r>
    <n v="20277"/>
    <x v="0"/>
    <x v="0"/>
    <n v="30000"/>
    <x v="0"/>
    <n v="2"/>
    <x v="1"/>
    <x v="1"/>
    <s v="No"/>
    <n v="2"/>
    <x v="0"/>
    <x v="1"/>
    <n v="69"/>
    <x v="1"/>
    <x v="0"/>
    <x v="0"/>
    <n v="1"/>
    <n v="0"/>
  </r>
  <r>
    <n v="26765"/>
    <x v="1"/>
    <x v="0"/>
    <n v="70000"/>
    <x v="1"/>
    <n v="5"/>
    <x v="1"/>
    <x v="0"/>
    <s v="Yes"/>
    <n v="2"/>
    <x v="2"/>
    <x v="1"/>
    <n v="45"/>
    <x v="0"/>
    <x v="0"/>
    <x v="0"/>
    <n v="1"/>
    <n v="0"/>
  </r>
  <r>
    <n v="12389"/>
    <x v="1"/>
    <x v="1"/>
    <n v="30000"/>
    <x v="0"/>
    <n v="0"/>
    <x v="2"/>
    <x v="3"/>
    <s v="No"/>
    <n v="1"/>
    <x v="1"/>
    <x v="0"/>
    <n v="34"/>
    <x v="2"/>
    <x v="0"/>
    <x v="0"/>
    <n v="1"/>
    <n v="0"/>
  </r>
  <r>
    <n v="13585"/>
    <x v="0"/>
    <x v="0"/>
    <n v="80000"/>
    <x v="1"/>
    <n v="4"/>
    <x v="1"/>
    <x v="2"/>
    <s v="No"/>
    <n v="1"/>
    <x v="1"/>
    <x v="0"/>
    <n v="53"/>
    <x v="0"/>
    <x v="1"/>
    <x v="1"/>
    <n v="1"/>
    <n v="80000"/>
  </r>
  <r>
    <n v="26385"/>
    <x v="1"/>
    <x v="1"/>
    <n v="120000"/>
    <x v="1"/>
    <n v="3"/>
    <x v="2"/>
    <x v="2"/>
    <s v="No"/>
    <n v="4"/>
    <x v="2"/>
    <x v="0"/>
    <n v="50"/>
    <x v="0"/>
    <x v="0"/>
    <x v="0"/>
    <n v="1"/>
    <n v="0"/>
  </r>
  <r>
    <n v="12236"/>
    <x v="0"/>
    <x v="0"/>
    <n v="20000"/>
    <x v="0"/>
    <n v="1"/>
    <x v="1"/>
    <x v="3"/>
    <s v="Yes"/>
    <n v="0"/>
    <x v="0"/>
    <x v="0"/>
    <n v="65"/>
    <x v="1"/>
    <x v="0"/>
    <x v="0"/>
    <n v="1"/>
    <n v="0"/>
  </r>
  <r>
    <n v="21560"/>
    <x v="0"/>
    <x v="1"/>
    <n v="120000"/>
    <x v="1"/>
    <n v="0"/>
    <x v="3"/>
    <x v="2"/>
    <s v="Yes"/>
    <n v="4"/>
    <x v="4"/>
    <x v="1"/>
    <n v="32"/>
    <x v="2"/>
    <x v="1"/>
    <x v="1"/>
    <n v="1"/>
    <n v="120000"/>
  </r>
  <r>
    <n v="21554"/>
    <x v="1"/>
    <x v="0"/>
    <n v="80000"/>
    <x v="1"/>
    <n v="0"/>
    <x v="0"/>
    <x v="2"/>
    <s v="No"/>
    <n v="3"/>
    <x v="4"/>
    <x v="1"/>
    <n v="33"/>
    <x v="2"/>
    <x v="0"/>
    <x v="0"/>
    <n v="1"/>
    <n v="0"/>
  </r>
  <r>
    <n v="13662"/>
    <x v="1"/>
    <x v="1"/>
    <n v="20000"/>
    <x v="0"/>
    <n v="0"/>
    <x v="3"/>
    <x v="3"/>
    <s v="Yes"/>
    <n v="2"/>
    <x v="3"/>
    <x v="0"/>
    <n v="31"/>
    <x v="2"/>
    <x v="1"/>
    <x v="1"/>
    <n v="1"/>
    <n v="20000"/>
  </r>
  <r>
    <n v="13089"/>
    <x v="0"/>
    <x v="0"/>
    <n v="120000"/>
    <x v="1"/>
    <n v="1"/>
    <x v="0"/>
    <x v="4"/>
    <s v="Yes"/>
    <n v="2"/>
    <x v="0"/>
    <x v="1"/>
    <n v="46"/>
    <x v="0"/>
    <x v="1"/>
    <x v="1"/>
    <n v="1"/>
    <n v="120000"/>
  </r>
  <r>
    <n v="14791"/>
    <x v="0"/>
    <x v="0"/>
    <n v="40000"/>
    <x v="0"/>
    <n v="0"/>
    <x v="0"/>
    <x v="1"/>
    <s v="Yes"/>
    <n v="0"/>
    <x v="0"/>
    <x v="0"/>
    <n v="39"/>
    <x v="2"/>
    <x v="1"/>
    <x v="1"/>
    <n v="1"/>
    <n v="40000"/>
  </r>
  <r>
    <n v="19331"/>
    <x v="1"/>
    <x v="1"/>
    <n v="20000"/>
    <x v="0"/>
    <n v="2"/>
    <x v="2"/>
    <x v="3"/>
    <s v="Yes"/>
    <n v="1"/>
    <x v="0"/>
    <x v="0"/>
    <n v="40"/>
    <x v="0"/>
    <x v="0"/>
    <x v="0"/>
    <n v="1"/>
    <n v="0"/>
  </r>
  <r>
    <n v="17754"/>
    <x v="1"/>
    <x v="0"/>
    <n v="30000"/>
    <x v="0"/>
    <n v="3"/>
    <x v="0"/>
    <x v="1"/>
    <s v="Yes"/>
    <n v="0"/>
    <x v="0"/>
    <x v="0"/>
    <n v="46"/>
    <x v="0"/>
    <x v="1"/>
    <x v="1"/>
    <n v="1"/>
    <n v="30000"/>
  </r>
  <r>
    <n v="11149"/>
    <x v="0"/>
    <x v="1"/>
    <n v="40000"/>
    <x v="0"/>
    <n v="2"/>
    <x v="0"/>
    <x v="4"/>
    <s v="Yes"/>
    <n v="2"/>
    <x v="0"/>
    <x v="1"/>
    <n v="65"/>
    <x v="1"/>
    <x v="0"/>
    <x v="0"/>
    <n v="1"/>
    <n v="0"/>
  </r>
  <r>
    <n v="16549"/>
    <x v="1"/>
    <x v="0"/>
    <n v="30000"/>
    <x v="0"/>
    <n v="3"/>
    <x v="0"/>
    <x v="1"/>
    <s v="Yes"/>
    <n v="0"/>
    <x v="0"/>
    <x v="0"/>
    <n v="47"/>
    <x v="0"/>
    <x v="1"/>
    <x v="1"/>
    <n v="1"/>
    <n v="30000"/>
  </r>
  <r>
    <n v="24305"/>
    <x v="1"/>
    <x v="1"/>
    <n v="100000"/>
    <x v="1"/>
    <n v="1"/>
    <x v="0"/>
    <x v="4"/>
    <s v="No"/>
    <n v="3"/>
    <x v="0"/>
    <x v="1"/>
    <n v="46"/>
    <x v="0"/>
    <x v="1"/>
    <x v="1"/>
    <n v="1"/>
    <n v="100000"/>
  </r>
  <r>
    <n v="18253"/>
    <x v="0"/>
    <x v="0"/>
    <n v="80000"/>
    <x v="1"/>
    <n v="5"/>
    <x v="4"/>
    <x v="4"/>
    <s v="Yes"/>
    <n v="3"/>
    <x v="0"/>
    <x v="1"/>
    <n v="40"/>
    <x v="0"/>
    <x v="0"/>
    <x v="0"/>
    <n v="1"/>
    <n v="0"/>
  </r>
  <r>
    <n v="20147"/>
    <x v="0"/>
    <x v="0"/>
    <n v="30000"/>
    <x v="0"/>
    <n v="1"/>
    <x v="0"/>
    <x v="1"/>
    <s v="Yes"/>
    <n v="0"/>
    <x v="0"/>
    <x v="0"/>
    <n v="65"/>
    <x v="1"/>
    <x v="0"/>
    <x v="0"/>
    <n v="1"/>
    <n v="0"/>
  </r>
  <r>
    <n v="15612"/>
    <x v="1"/>
    <x v="1"/>
    <n v="30000"/>
    <x v="0"/>
    <n v="0"/>
    <x v="2"/>
    <x v="3"/>
    <s v="No"/>
    <n v="1"/>
    <x v="3"/>
    <x v="0"/>
    <n v="28"/>
    <x v="3"/>
    <x v="0"/>
    <x v="0"/>
    <n v="1"/>
    <n v="0"/>
  </r>
  <r>
    <n v="28323"/>
    <x v="1"/>
    <x v="1"/>
    <n v="70000"/>
    <x v="1"/>
    <n v="0"/>
    <x v="0"/>
    <x v="2"/>
    <s v="No"/>
    <n v="2"/>
    <x v="2"/>
    <x v="1"/>
    <n v="43"/>
    <x v="0"/>
    <x v="1"/>
    <x v="1"/>
    <n v="1"/>
    <n v="70000"/>
  </r>
  <r>
    <n v="22634"/>
    <x v="1"/>
    <x v="0"/>
    <n v="40000"/>
    <x v="0"/>
    <n v="0"/>
    <x v="4"/>
    <x v="1"/>
    <s v="Yes"/>
    <n v="0"/>
    <x v="0"/>
    <x v="0"/>
    <n v="38"/>
    <x v="2"/>
    <x v="1"/>
    <x v="1"/>
    <n v="1"/>
    <n v="40000"/>
  </r>
  <r>
    <n v="15665"/>
    <x v="0"/>
    <x v="0"/>
    <n v="30000"/>
    <x v="0"/>
    <n v="0"/>
    <x v="0"/>
    <x v="1"/>
    <s v="Yes"/>
    <n v="0"/>
    <x v="0"/>
    <x v="0"/>
    <n v="47"/>
    <x v="0"/>
    <x v="1"/>
    <x v="1"/>
    <n v="1"/>
    <n v="30000"/>
  </r>
  <r>
    <n v="27585"/>
    <x v="0"/>
    <x v="0"/>
    <n v="90000"/>
    <x v="1"/>
    <n v="2"/>
    <x v="0"/>
    <x v="2"/>
    <s v="No"/>
    <n v="0"/>
    <x v="0"/>
    <x v="1"/>
    <n v="36"/>
    <x v="2"/>
    <x v="1"/>
    <x v="1"/>
    <n v="1"/>
    <n v="90000"/>
  </r>
  <r>
    <n v="19748"/>
    <x v="0"/>
    <x v="1"/>
    <n v="20000"/>
    <x v="0"/>
    <n v="4"/>
    <x v="2"/>
    <x v="0"/>
    <s v="No"/>
    <n v="2"/>
    <x v="3"/>
    <x v="1"/>
    <n v="60"/>
    <x v="1"/>
    <x v="0"/>
    <x v="0"/>
    <n v="1"/>
    <n v="0"/>
  </r>
  <r>
    <n v="21974"/>
    <x v="1"/>
    <x v="0"/>
    <n v="70000"/>
    <x v="1"/>
    <n v="0"/>
    <x v="0"/>
    <x v="2"/>
    <s v="Yes"/>
    <n v="1"/>
    <x v="2"/>
    <x v="1"/>
    <n v="42"/>
    <x v="0"/>
    <x v="1"/>
    <x v="1"/>
    <n v="1"/>
    <n v="70000"/>
  </r>
  <r>
    <n v="14032"/>
    <x v="0"/>
    <x v="1"/>
    <n v="70000"/>
    <x v="1"/>
    <n v="2"/>
    <x v="2"/>
    <x v="0"/>
    <s v="No"/>
    <n v="2"/>
    <x v="3"/>
    <x v="1"/>
    <n v="50"/>
    <x v="0"/>
    <x v="1"/>
    <x v="1"/>
    <n v="1"/>
    <n v="70000"/>
  </r>
  <r>
    <n v="22610"/>
    <x v="0"/>
    <x v="1"/>
    <n v="30000"/>
    <x v="0"/>
    <n v="0"/>
    <x v="0"/>
    <x v="1"/>
    <s v="Yes"/>
    <n v="0"/>
    <x v="0"/>
    <x v="0"/>
    <n v="35"/>
    <x v="2"/>
    <x v="1"/>
    <x v="1"/>
    <n v="1"/>
    <n v="30000"/>
  </r>
  <r>
    <n v="26984"/>
    <x v="0"/>
    <x v="1"/>
    <n v="40000"/>
    <x v="0"/>
    <n v="1"/>
    <x v="0"/>
    <x v="0"/>
    <s v="Yes"/>
    <n v="1"/>
    <x v="0"/>
    <x v="0"/>
    <n v="32"/>
    <x v="2"/>
    <x v="1"/>
    <x v="1"/>
    <n v="1"/>
    <n v="40000"/>
  </r>
  <r>
    <n v="18294"/>
    <x v="0"/>
    <x v="0"/>
    <n v="90000"/>
    <x v="1"/>
    <n v="1"/>
    <x v="0"/>
    <x v="2"/>
    <s v="Yes"/>
    <n v="1"/>
    <x v="2"/>
    <x v="1"/>
    <n v="46"/>
    <x v="0"/>
    <x v="0"/>
    <x v="0"/>
    <n v="1"/>
    <n v="0"/>
  </r>
  <r>
    <n v="28564"/>
    <x v="1"/>
    <x v="0"/>
    <n v="40000"/>
    <x v="0"/>
    <n v="2"/>
    <x v="1"/>
    <x v="1"/>
    <s v="Yes"/>
    <n v="0"/>
    <x v="3"/>
    <x v="0"/>
    <n v="33"/>
    <x v="2"/>
    <x v="1"/>
    <x v="1"/>
    <n v="1"/>
    <n v="40000"/>
  </r>
  <r>
    <n v="28521"/>
    <x v="1"/>
    <x v="1"/>
    <n v="40000"/>
    <x v="0"/>
    <n v="0"/>
    <x v="4"/>
    <x v="1"/>
    <s v="No"/>
    <n v="0"/>
    <x v="0"/>
    <x v="0"/>
    <n v="36"/>
    <x v="2"/>
    <x v="1"/>
    <x v="1"/>
    <n v="1"/>
    <n v="40000"/>
  </r>
  <r>
    <n v="15450"/>
    <x v="0"/>
    <x v="1"/>
    <n v="10000"/>
    <x v="0"/>
    <n v="1"/>
    <x v="4"/>
    <x v="1"/>
    <s v="Yes"/>
    <n v="0"/>
    <x v="0"/>
    <x v="0"/>
    <n v="70"/>
    <x v="1"/>
    <x v="0"/>
    <x v="0"/>
    <n v="1"/>
    <n v="0"/>
  </r>
  <r>
    <n v="25681"/>
    <x v="1"/>
    <x v="0"/>
    <n v="30000"/>
    <x v="0"/>
    <n v="0"/>
    <x v="1"/>
    <x v="1"/>
    <s v="No"/>
    <n v="1"/>
    <x v="1"/>
    <x v="0"/>
    <n v="31"/>
    <x v="2"/>
    <x v="1"/>
    <x v="1"/>
    <n v="1"/>
    <n v="30000"/>
  </r>
  <r>
    <n v="19491"/>
    <x v="1"/>
    <x v="1"/>
    <n v="30000"/>
    <x v="0"/>
    <n v="2"/>
    <x v="1"/>
    <x v="1"/>
    <s v="Yes"/>
    <n v="2"/>
    <x v="0"/>
    <x v="0"/>
    <n v="42"/>
    <x v="0"/>
    <x v="0"/>
    <x v="0"/>
    <n v="1"/>
    <n v="0"/>
  </r>
  <r>
    <n v="26415"/>
    <x v="0"/>
    <x v="0"/>
    <n v="90000"/>
    <x v="1"/>
    <n v="4"/>
    <x v="3"/>
    <x v="0"/>
    <s v="Yes"/>
    <n v="4"/>
    <x v="4"/>
    <x v="0"/>
    <n v="58"/>
    <x v="0"/>
    <x v="0"/>
    <x v="0"/>
    <n v="1"/>
    <n v="0"/>
  </r>
  <r>
    <n v="12821"/>
    <x v="0"/>
    <x v="1"/>
    <n v="40000"/>
    <x v="0"/>
    <n v="0"/>
    <x v="0"/>
    <x v="1"/>
    <s v="Yes"/>
    <n v="0"/>
    <x v="0"/>
    <x v="0"/>
    <n v="39"/>
    <x v="2"/>
    <x v="0"/>
    <x v="0"/>
    <n v="1"/>
    <n v="0"/>
  </r>
  <r>
    <n v="15629"/>
    <x v="1"/>
    <x v="0"/>
    <n v="10000"/>
    <x v="0"/>
    <n v="0"/>
    <x v="3"/>
    <x v="3"/>
    <s v="Yes"/>
    <n v="2"/>
    <x v="3"/>
    <x v="0"/>
    <n v="34"/>
    <x v="2"/>
    <x v="0"/>
    <x v="0"/>
    <n v="1"/>
    <n v="0"/>
  </r>
  <r>
    <n v="27835"/>
    <x v="0"/>
    <x v="1"/>
    <n v="20000"/>
    <x v="0"/>
    <n v="0"/>
    <x v="3"/>
    <x v="3"/>
    <s v="Yes"/>
    <n v="2"/>
    <x v="0"/>
    <x v="0"/>
    <n v="32"/>
    <x v="2"/>
    <x v="0"/>
    <x v="0"/>
    <n v="1"/>
    <n v="0"/>
  </r>
  <r>
    <n v="11738"/>
    <x v="0"/>
    <x v="1"/>
    <n v="60000"/>
    <x v="0"/>
    <n v="4"/>
    <x v="0"/>
    <x v="2"/>
    <s v="Yes"/>
    <n v="0"/>
    <x v="1"/>
    <x v="2"/>
    <n v="46"/>
    <x v="0"/>
    <x v="0"/>
    <x v="0"/>
    <n v="1"/>
    <n v="0"/>
  </r>
  <r>
    <n v="25065"/>
    <x v="0"/>
    <x v="1"/>
    <n v="70000"/>
    <x v="1"/>
    <n v="2"/>
    <x v="3"/>
    <x v="0"/>
    <s v="Yes"/>
    <n v="2"/>
    <x v="2"/>
    <x v="2"/>
    <n v="48"/>
    <x v="0"/>
    <x v="0"/>
    <x v="0"/>
    <n v="1"/>
    <n v="0"/>
  </r>
  <r>
    <n v="26238"/>
    <x v="1"/>
    <x v="0"/>
    <n v="40000"/>
    <x v="0"/>
    <n v="3"/>
    <x v="1"/>
    <x v="1"/>
    <s v="Yes"/>
    <n v="1"/>
    <x v="3"/>
    <x v="2"/>
    <n v="31"/>
    <x v="2"/>
    <x v="1"/>
    <x v="1"/>
    <n v="1"/>
    <n v="40000"/>
  </r>
  <r>
    <n v="23707"/>
    <x v="1"/>
    <x v="1"/>
    <n v="70000"/>
    <x v="1"/>
    <n v="5"/>
    <x v="0"/>
    <x v="4"/>
    <s v="Yes"/>
    <n v="3"/>
    <x v="4"/>
    <x v="2"/>
    <n v="60"/>
    <x v="1"/>
    <x v="1"/>
    <x v="1"/>
    <n v="1"/>
    <n v="70000"/>
  </r>
  <r>
    <n v="27650"/>
    <x v="0"/>
    <x v="1"/>
    <n v="70000"/>
    <x v="1"/>
    <n v="4"/>
    <x v="2"/>
    <x v="2"/>
    <s v="Yes"/>
    <n v="0"/>
    <x v="2"/>
    <x v="2"/>
    <n v="51"/>
    <x v="0"/>
    <x v="0"/>
    <x v="0"/>
    <n v="1"/>
    <n v="0"/>
  </r>
  <r>
    <n v="24981"/>
    <x v="0"/>
    <x v="1"/>
    <n v="60000"/>
    <x v="0"/>
    <n v="2"/>
    <x v="1"/>
    <x v="2"/>
    <s v="Yes"/>
    <n v="2"/>
    <x v="4"/>
    <x v="2"/>
    <n v="56"/>
    <x v="0"/>
    <x v="0"/>
    <x v="0"/>
    <n v="1"/>
    <n v="0"/>
  </r>
  <r>
    <n v="20678"/>
    <x v="1"/>
    <x v="0"/>
    <n v="60000"/>
    <x v="0"/>
    <n v="3"/>
    <x v="0"/>
    <x v="0"/>
    <s v="Yes"/>
    <n v="1"/>
    <x v="1"/>
    <x v="2"/>
    <n v="40"/>
    <x v="0"/>
    <x v="1"/>
    <x v="1"/>
    <n v="1"/>
    <n v="60000"/>
  </r>
  <r>
    <n v="15302"/>
    <x v="1"/>
    <x v="0"/>
    <n v="70000"/>
    <x v="1"/>
    <n v="1"/>
    <x v="4"/>
    <x v="2"/>
    <s v="Yes"/>
    <n v="0"/>
    <x v="1"/>
    <x v="2"/>
    <n v="34"/>
    <x v="2"/>
    <x v="1"/>
    <x v="1"/>
    <n v="1"/>
    <n v="70000"/>
  </r>
  <r>
    <n v="26012"/>
    <x v="0"/>
    <x v="1"/>
    <n v="80000"/>
    <x v="1"/>
    <n v="1"/>
    <x v="1"/>
    <x v="0"/>
    <s v="Yes"/>
    <n v="1"/>
    <x v="1"/>
    <x v="2"/>
    <n v="48"/>
    <x v="0"/>
    <x v="1"/>
    <x v="1"/>
    <n v="1"/>
    <n v="80000"/>
  </r>
  <r>
    <n v="26575"/>
    <x v="1"/>
    <x v="0"/>
    <n v="40000"/>
    <x v="0"/>
    <n v="0"/>
    <x v="2"/>
    <x v="0"/>
    <s v="No"/>
    <n v="2"/>
    <x v="3"/>
    <x v="2"/>
    <n v="31"/>
    <x v="2"/>
    <x v="1"/>
    <x v="1"/>
    <n v="1"/>
    <n v="40000"/>
  </r>
  <r>
    <n v="15559"/>
    <x v="0"/>
    <x v="1"/>
    <n v="60000"/>
    <x v="0"/>
    <n v="5"/>
    <x v="0"/>
    <x v="2"/>
    <s v="Yes"/>
    <n v="1"/>
    <x v="1"/>
    <x v="2"/>
    <n v="47"/>
    <x v="0"/>
    <x v="0"/>
    <x v="0"/>
    <n v="1"/>
    <n v="0"/>
  </r>
  <r>
    <n v="19235"/>
    <x v="0"/>
    <x v="0"/>
    <n v="50000"/>
    <x v="0"/>
    <n v="0"/>
    <x v="4"/>
    <x v="0"/>
    <s v="Yes"/>
    <n v="0"/>
    <x v="0"/>
    <x v="2"/>
    <n v="34"/>
    <x v="2"/>
    <x v="0"/>
    <x v="0"/>
    <n v="1"/>
    <n v="0"/>
  </r>
  <r>
    <n v="15275"/>
    <x v="0"/>
    <x v="1"/>
    <n v="40000"/>
    <x v="0"/>
    <n v="0"/>
    <x v="1"/>
    <x v="0"/>
    <s v="Yes"/>
    <n v="1"/>
    <x v="2"/>
    <x v="2"/>
    <n v="29"/>
    <x v="3"/>
    <x v="0"/>
    <x v="0"/>
    <n v="1"/>
    <n v="0"/>
  </r>
  <r>
    <n v="20339"/>
    <x v="0"/>
    <x v="0"/>
    <n v="130000"/>
    <x v="2"/>
    <n v="1"/>
    <x v="0"/>
    <x v="4"/>
    <s v="Yes"/>
    <n v="4"/>
    <x v="1"/>
    <x v="2"/>
    <n v="44"/>
    <x v="0"/>
    <x v="1"/>
    <x v="1"/>
    <n v="1"/>
    <n v="130000"/>
  </r>
  <r>
    <n v="25405"/>
    <x v="0"/>
    <x v="1"/>
    <n v="70000"/>
    <x v="1"/>
    <n v="2"/>
    <x v="0"/>
    <x v="0"/>
    <s v="Yes"/>
    <n v="1"/>
    <x v="1"/>
    <x v="2"/>
    <n v="38"/>
    <x v="2"/>
    <x v="1"/>
    <x v="1"/>
    <n v="1"/>
    <n v="70000"/>
  </r>
  <r>
    <n v="15940"/>
    <x v="0"/>
    <x v="1"/>
    <n v="100000"/>
    <x v="1"/>
    <n v="4"/>
    <x v="1"/>
    <x v="2"/>
    <s v="Yes"/>
    <n v="4"/>
    <x v="0"/>
    <x v="2"/>
    <n v="40"/>
    <x v="0"/>
    <x v="0"/>
    <x v="0"/>
    <n v="1"/>
    <n v="0"/>
  </r>
  <r>
    <n v="25074"/>
    <x v="0"/>
    <x v="0"/>
    <n v="70000"/>
    <x v="1"/>
    <n v="4"/>
    <x v="0"/>
    <x v="2"/>
    <s v="Yes"/>
    <n v="2"/>
    <x v="1"/>
    <x v="2"/>
    <n v="42"/>
    <x v="0"/>
    <x v="1"/>
    <x v="1"/>
    <n v="1"/>
    <n v="70000"/>
  </r>
  <r>
    <n v="24738"/>
    <x v="0"/>
    <x v="0"/>
    <n v="40000"/>
    <x v="0"/>
    <n v="1"/>
    <x v="1"/>
    <x v="1"/>
    <s v="Yes"/>
    <n v="1"/>
    <x v="3"/>
    <x v="2"/>
    <n v="51"/>
    <x v="0"/>
    <x v="1"/>
    <x v="1"/>
    <n v="1"/>
    <n v="40000"/>
  </r>
  <r>
    <n v="16337"/>
    <x v="0"/>
    <x v="1"/>
    <n v="60000"/>
    <x v="0"/>
    <n v="0"/>
    <x v="1"/>
    <x v="0"/>
    <s v="No"/>
    <n v="2"/>
    <x v="3"/>
    <x v="2"/>
    <n v="29"/>
    <x v="3"/>
    <x v="0"/>
    <x v="0"/>
    <n v="1"/>
    <n v="0"/>
  </r>
  <r>
    <n v="24357"/>
    <x v="0"/>
    <x v="1"/>
    <n v="80000"/>
    <x v="1"/>
    <n v="3"/>
    <x v="0"/>
    <x v="2"/>
    <s v="Yes"/>
    <n v="1"/>
    <x v="1"/>
    <x v="2"/>
    <n v="48"/>
    <x v="0"/>
    <x v="1"/>
    <x v="1"/>
    <n v="1"/>
    <n v="80000"/>
  </r>
  <r>
    <n v="18613"/>
    <x v="1"/>
    <x v="1"/>
    <n v="70000"/>
    <x v="1"/>
    <n v="0"/>
    <x v="0"/>
    <x v="2"/>
    <s v="No"/>
    <n v="1"/>
    <x v="1"/>
    <x v="2"/>
    <n v="37"/>
    <x v="2"/>
    <x v="1"/>
    <x v="1"/>
    <n v="1"/>
    <n v="70000"/>
  </r>
  <r>
    <n v="12207"/>
    <x v="1"/>
    <x v="1"/>
    <n v="80000"/>
    <x v="1"/>
    <n v="4"/>
    <x v="0"/>
    <x v="4"/>
    <s v="Yes"/>
    <n v="0"/>
    <x v="2"/>
    <x v="2"/>
    <n v="66"/>
    <x v="1"/>
    <x v="1"/>
    <x v="1"/>
    <n v="1"/>
    <n v="80000"/>
  </r>
  <r>
    <n v="18052"/>
    <x v="0"/>
    <x v="0"/>
    <n v="60000"/>
    <x v="0"/>
    <n v="1"/>
    <x v="1"/>
    <x v="0"/>
    <s v="Yes"/>
    <n v="1"/>
    <x v="0"/>
    <x v="2"/>
    <n v="45"/>
    <x v="0"/>
    <x v="1"/>
    <x v="1"/>
    <n v="1"/>
    <n v="60000"/>
  </r>
  <r>
    <n v="13353"/>
    <x v="1"/>
    <x v="0"/>
    <n v="60000"/>
    <x v="0"/>
    <n v="4"/>
    <x v="4"/>
    <x v="4"/>
    <s v="Yes"/>
    <n v="2"/>
    <x v="4"/>
    <x v="2"/>
    <n v="61"/>
    <x v="1"/>
    <x v="1"/>
    <x v="1"/>
    <n v="1"/>
    <n v="60000"/>
  </r>
  <r>
    <n v="19399"/>
    <x v="1"/>
    <x v="1"/>
    <n v="40000"/>
    <x v="0"/>
    <n v="0"/>
    <x v="0"/>
    <x v="2"/>
    <s v="No"/>
    <n v="1"/>
    <x v="1"/>
    <x v="2"/>
    <n v="45"/>
    <x v="0"/>
    <x v="0"/>
    <x v="0"/>
    <n v="1"/>
    <n v="0"/>
  </r>
  <r>
    <n v="16154"/>
    <x v="0"/>
    <x v="0"/>
    <n v="70000"/>
    <x v="1"/>
    <n v="5"/>
    <x v="0"/>
    <x v="2"/>
    <s v="Yes"/>
    <n v="2"/>
    <x v="1"/>
    <x v="2"/>
    <n v="47"/>
    <x v="0"/>
    <x v="0"/>
    <x v="0"/>
    <n v="1"/>
    <n v="0"/>
  </r>
  <r>
    <n v="22219"/>
    <x v="0"/>
    <x v="0"/>
    <n v="60000"/>
    <x v="0"/>
    <n v="2"/>
    <x v="2"/>
    <x v="2"/>
    <s v="Yes"/>
    <n v="2"/>
    <x v="2"/>
    <x v="2"/>
    <n v="49"/>
    <x v="0"/>
    <x v="0"/>
    <x v="0"/>
    <n v="1"/>
    <n v="0"/>
  </r>
  <r>
    <n v="17269"/>
    <x v="1"/>
    <x v="1"/>
    <n v="60000"/>
    <x v="0"/>
    <n v="3"/>
    <x v="0"/>
    <x v="2"/>
    <s v="No"/>
    <n v="0"/>
    <x v="0"/>
    <x v="2"/>
    <n v="47"/>
    <x v="0"/>
    <x v="1"/>
    <x v="1"/>
    <n v="1"/>
    <n v="60000"/>
  </r>
  <r>
    <n v="23586"/>
    <x v="0"/>
    <x v="0"/>
    <n v="80000"/>
    <x v="1"/>
    <n v="0"/>
    <x v="0"/>
    <x v="4"/>
    <s v="Yes"/>
    <n v="1"/>
    <x v="3"/>
    <x v="2"/>
    <n v="34"/>
    <x v="2"/>
    <x v="1"/>
    <x v="1"/>
    <n v="1"/>
    <n v="80000"/>
  </r>
  <r>
    <n v="15740"/>
    <x v="0"/>
    <x v="1"/>
    <n v="80000"/>
    <x v="1"/>
    <n v="5"/>
    <x v="0"/>
    <x v="4"/>
    <s v="Yes"/>
    <n v="2"/>
    <x v="3"/>
    <x v="2"/>
    <n v="64"/>
    <x v="1"/>
    <x v="0"/>
    <x v="0"/>
    <n v="1"/>
    <n v="0"/>
  </r>
  <r>
    <n v="27638"/>
    <x v="1"/>
    <x v="1"/>
    <n v="100000"/>
    <x v="1"/>
    <n v="1"/>
    <x v="1"/>
    <x v="2"/>
    <s v="No"/>
    <n v="3"/>
    <x v="3"/>
    <x v="2"/>
    <n v="44"/>
    <x v="0"/>
    <x v="0"/>
    <x v="0"/>
    <n v="1"/>
    <n v="0"/>
  </r>
  <r>
    <n v="18976"/>
    <x v="1"/>
    <x v="1"/>
    <n v="40000"/>
    <x v="0"/>
    <n v="4"/>
    <x v="2"/>
    <x v="2"/>
    <s v="Yes"/>
    <n v="2"/>
    <x v="4"/>
    <x v="2"/>
    <n v="62"/>
    <x v="1"/>
    <x v="1"/>
    <x v="1"/>
    <n v="1"/>
    <n v="40000"/>
  </r>
  <r>
    <n v="19413"/>
    <x v="1"/>
    <x v="1"/>
    <n v="60000"/>
    <x v="0"/>
    <n v="3"/>
    <x v="0"/>
    <x v="2"/>
    <s v="No"/>
    <n v="1"/>
    <x v="0"/>
    <x v="2"/>
    <n v="47"/>
    <x v="0"/>
    <x v="1"/>
    <x v="1"/>
    <n v="1"/>
    <n v="60000"/>
  </r>
  <r>
    <n v="13283"/>
    <x v="0"/>
    <x v="1"/>
    <n v="80000"/>
    <x v="1"/>
    <n v="3"/>
    <x v="1"/>
    <x v="2"/>
    <s v="No"/>
    <n v="2"/>
    <x v="0"/>
    <x v="2"/>
    <n v="49"/>
    <x v="0"/>
    <x v="1"/>
    <x v="1"/>
    <n v="1"/>
    <n v="80000"/>
  </r>
  <r>
    <n v="17471"/>
    <x v="1"/>
    <x v="0"/>
    <n v="80000"/>
    <x v="1"/>
    <n v="4"/>
    <x v="4"/>
    <x v="4"/>
    <s v="Yes"/>
    <n v="2"/>
    <x v="2"/>
    <x v="2"/>
    <n v="67"/>
    <x v="1"/>
    <x v="0"/>
    <x v="0"/>
    <n v="1"/>
    <n v="0"/>
  </r>
  <r>
    <n v="16791"/>
    <x v="1"/>
    <x v="1"/>
    <n v="60000"/>
    <x v="0"/>
    <n v="5"/>
    <x v="0"/>
    <x v="4"/>
    <s v="Yes"/>
    <n v="3"/>
    <x v="4"/>
    <x v="2"/>
    <n v="59"/>
    <x v="0"/>
    <x v="1"/>
    <x v="1"/>
    <n v="1"/>
    <n v="60000"/>
  </r>
  <r>
    <n v="15382"/>
    <x v="0"/>
    <x v="0"/>
    <n v="110000"/>
    <x v="1"/>
    <n v="1"/>
    <x v="0"/>
    <x v="4"/>
    <s v="Yes"/>
    <n v="2"/>
    <x v="3"/>
    <x v="2"/>
    <n v="44"/>
    <x v="0"/>
    <x v="0"/>
    <x v="0"/>
    <n v="1"/>
    <n v="0"/>
  </r>
  <r>
    <n v="11641"/>
    <x v="0"/>
    <x v="1"/>
    <n v="50000"/>
    <x v="0"/>
    <n v="1"/>
    <x v="0"/>
    <x v="0"/>
    <s v="Yes"/>
    <n v="0"/>
    <x v="0"/>
    <x v="2"/>
    <n v="36"/>
    <x v="2"/>
    <x v="0"/>
    <x v="0"/>
    <n v="1"/>
    <n v="0"/>
  </r>
  <r>
    <n v="11935"/>
    <x v="1"/>
    <x v="0"/>
    <n v="30000"/>
    <x v="0"/>
    <n v="0"/>
    <x v="1"/>
    <x v="0"/>
    <s v="Yes"/>
    <n v="1"/>
    <x v="2"/>
    <x v="2"/>
    <n v="28"/>
    <x v="3"/>
    <x v="0"/>
    <x v="0"/>
    <n v="1"/>
    <n v="0"/>
  </r>
  <r>
    <n v="13233"/>
    <x v="0"/>
    <x v="1"/>
    <n v="60000"/>
    <x v="0"/>
    <n v="2"/>
    <x v="1"/>
    <x v="2"/>
    <s v="Yes"/>
    <n v="1"/>
    <x v="4"/>
    <x v="2"/>
    <n v="57"/>
    <x v="0"/>
    <x v="1"/>
    <x v="1"/>
    <n v="1"/>
    <n v="60000"/>
  </r>
  <r>
    <n v="25909"/>
    <x v="0"/>
    <x v="1"/>
    <n v="60000"/>
    <x v="0"/>
    <n v="0"/>
    <x v="1"/>
    <x v="0"/>
    <s v="Yes"/>
    <n v="1"/>
    <x v="2"/>
    <x v="2"/>
    <n v="27"/>
    <x v="3"/>
    <x v="1"/>
    <x v="1"/>
    <n v="1"/>
    <n v="60000"/>
  </r>
  <r>
    <n v="14092"/>
    <x v="1"/>
    <x v="1"/>
    <n v="30000"/>
    <x v="0"/>
    <n v="0"/>
    <x v="3"/>
    <x v="1"/>
    <s v="Yes"/>
    <n v="2"/>
    <x v="2"/>
    <x v="2"/>
    <n v="28"/>
    <x v="3"/>
    <x v="0"/>
    <x v="0"/>
    <n v="1"/>
    <n v="0"/>
  </r>
  <r>
    <n v="29143"/>
    <x v="1"/>
    <x v="0"/>
    <n v="60000"/>
    <x v="0"/>
    <n v="1"/>
    <x v="0"/>
    <x v="2"/>
    <s v="No"/>
    <n v="1"/>
    <x v="0"/>
    <x v="2"/>
    <n v="44"/>
    <x v="0"/>
    <x v="1"/>
    <x v="1"/>
    <n v="1"/>
    <n v="60000"/>
  </r>
  <r>
    <n v="24941"/>
    <x v="0"/>
    <x v="1"/>
    <n v="60000"/>
    <x v="0"/>
    <n v="3"/>
    <x v="0"/>
    <x v="4"/>
    <s v="Yes"/>
    <n v="2"/>
    <x v="4"/>
    <x v="2"/>
    <n v="66"/>
    <x v="1"/>
    <x v="0"/>
    <x v="0"/>
    <n v="1"/>
    <n v="0"/>
  </r>
  <r>
    <n v="24637"/>
    <x v="0"/>
    <x v="1"/>
    <n v="40000"/>
    <x v="0"/>
    <n v="4"/>
    <x v="2"/>
    <x v="2"/>
    <s v="Yes"/>
    <n v="2"/>
    <x v="4"/>
    <x v="2"/>
    <n v="64"/>
    <x v="1"/>
    <x v="0"/>
    <x v="0"/>
    <n v="1"/>
    <n v="0"/>
  </r>
  <r>
    <n v="23893"/>
    <x v="0"/>
    <x v="1"/>
    <n v="50000"/>
    <x v="0"/>
    <n v="3"/>
    <x v="0"/>
    <x v="0"/>
    <s v="Yes"/>
    <n v="3"/>
    <x v="4"/>
    <x v="2"/>
    <n v="41"/>
    <x v="0"/>
    <x v="0"/>
    <x v="0"/>
    <n v="1"/>
    <n v="0"/>
  </r>
  <r>
    <n v="13907"/>
    <x v="1"/>
    <x v="0"/>
    <n v="80000"/>
    <x v="1"/>
    <n v="3"/>
    <x v="0"/>
    <x v="0"/>
    <s v="Yes"/>
    <n v="1"/>
    <x v="0"/>
    <x v="2"/>
    <n v="41"/>
    <x v="0"/>
    <x v="1"/>
    <x v="1"/>
    <n v="1"/>
    <n v="80000"/>
  </r>
  <r>
    <n v="14900"/>
    <x v="0"/>
    <x v="0"/>
    <n v="40000"/>
    <x v="0"/>
    <n v="1"/>
    <x v="1"/>
    <x v="1"/>
    <s v="Yes"/>
    <n v="1"/>
    <x v="3"/>
    <x v="2"/>
    <n v="49"/>
    <x v="0"/>
    <x v="1"/>
    <x v="1"/>
    <n v="1"/>
    <n v="40000"/>
  </r>
  <r>
    <n v="11262"/>
    <x v="0"/>
    <x v="0"/>
    <n v="80000"/>
    <x v="1"/>
    <n v="4"/>
    <x v="0"/>
    <x v="4"/>
    <s v="Yes"/>
    <n v="0"/>
    <x v="0"/>
    <x v="2"/>
    <n v="42"/>
    <x v="0"/>
    <x v="0"/>
    <x v="0"/>
    <n v="1"/>
    <n v="0"/>
  </r>
  <r>
    <n v="22294"/>
    <x v="1"/>
    <x v="0"/>
    <n v="70000"/>
    <x v="1"/>
    <n v="0"/>
    <x v="0"/>
    <x v="2"/>
    <s v="No"/>
    <n v="1"/>
    <x v="1"/>
    <x v="2"/>
    <n v="37"/>
    <x v="2"/>
    <x v="1"/>
    <x v="1"/>
    <n v="1"/>
    <n v="70000"/>
  </r>
  <r>
    <n v="12195"/>
    <x v="1"/>
    <x v="0"/>
    <n v="70000"/>
    <x v="1"/>
    <n v="3"/>
    <x v="4"/>
    <x v="4"/>
    <s v="Yes"/>
    <n v="2"/>
    <x v="3"/>
    <x v="2"/>
    <n v="52"/>
    <x v="0"/>
    <x v="0"/>
    <x v="0"/>
    <n v="1"/>
    <n v="0"/>
  </r>
  <r>
    <n v="25375"/>
    <x v="0"/>
    <x v="1"/>
    <n v="50000"/>
    <x v="0"/>
    <n v="1"/>
    <x v="4"/>
    <x v="0"/>
    <s v="Yes"/>
    <n v="0"/>
    <x v="3"/>
    <x v="2"/>
    <n v="34"/>
    <x v="2"/>
    <x v="0"/>
    <x v="0"/>
    <n v="1"/>
    <n v="0"/>
  </r>
  <r>
    <n v="11143"/>
    <x v="0"/>
    <x v="1"/>
    <n v="40000"/>
    <x v="0"/>
    <n v="0"/>
    <x v="2"/>
    <x v="0"/>
    <s v="Yes"/>
    <n v="2"/>
    <x v="2"/>
    <x v="2"/>
    <n v="29"/>
    <x v="3"/>
    <x v="0"/>
    <x v="0"/>
    <n v="1"/>
    <n v="0"/>
  </r>
  <r>
    <n v="25898"/>
    <x v="0"/>
    <x v="0"/>
    <n v="70000"/>
    <x v="1"/>
    <n v="2"/>
    <x v="2"/>
    <x v="2"/>
    <s v="Yes"/>
    <n v="2"/>
    <x v="1"/>
    <x v="2"/>
    <n v="53"/>
    <x v="0"/>
    <x v="0"/>
    <x v="0"/>
    <n v="1"/>
    <n v="0"/>
  </r>
  <r>
    <n v="24397"/>
    <x v="1"/>
    <x v="1"/>
    <n v="120000"/>
    <x v="1"/>
    <n v="2"/>
    <x v="0"/>
    <x v="4"/>
    <s v="No"/>
    <n v="4"/>
    <x v="3"/>
    <x v="2"/>
    <n v="40"/>
    <x v="0"/>
    <x v="0"/>
    <x v="0"/>
    <n v="1"/>
    <n v="0"/>
  </r>
  <r>
    <n v="19758"/>
    <x v="1"/>
    <x v="1"/>
    <n v="60000"/>
    <x v="0"/>
    <n v="0"/>
    <x v="1"/>
    <x v="0"/>
    <s v="No"/>
    <n v="2"/>
    <x v="3"/>
    <x v="2"/>
    <n v="29"/>
    <x v="3"/>
    <x v="0"/>
    <x v="0"/>
    <n v="1"/>
    <n v="0"/>
  </r>
  <r>
    <n v="15529"/>
    <x v="0"/>
    <x v="1"/>
    <n v="60000"/>
    <x v="0"/>
    <n v="4"/>
    <x v="0"/>
    <x v="2"/>
    <s v="Yes"/>
    <n v="2"/>
    <x v="1"/>
    <x v="2"/>
    <n v="43"/>
    <x v="0"/>
    <x v="1"/>
    <x v="1"/>
    <n v="1"/>
    <n v="60000"/>
  </r>
  <r>
    <n v="19884"/>
    <x v="0"/>
    <x v="1"/>
    <n v="60000"/>
    <x v="0"/>
    <n v="2"/>
    <x v="2"/>
    <x v="2"/>
    <s v="Yes"/>
    <n v="2"/>
    <x v="1"/>
    <x v="2"/>
    <n v="55"/>
    <x v="0"/>
    <x v="1"/>
    <x v="1"/>
    <n v="1"/>
    <n v="60000"/>
  </r>
  <r>
    <n v="18674"/>
    <x v="1"/>
    <x v="0"/>
    <n v="80000"/>
    <x v="1"/>
    <n v="4"/>
    <x v="4"/>
    <x v="0"/>
    <s v="No"/>
    <n v="0"/>
    <x v="0"/>
    <x v="2"/>
    <n v="48"/>
    <x v="0"/>
    <x v="0"/>
    <x v="0"/>
    <n v="1"/>
    <n v="0"/>
  </r>
  <r>
    <n v="13453"/>
    <x v="0"/>
    <x v="0"/>
    <n v="130000"/>
    <x v="2"/>
    <n v="3"/>
    <x v="0"/>
    <x v="4"/>
    <s v="Yes"/>
    <n v="3"/>
    <x v="0"/>
    <x v="2"/>
    <n v="45"/>
    <x v="0"/>
    <x v="1"/>
    <x v="1"/>
    <n v="1"/>
    <n v="130000"/>
  </r>
  <r>
    <n v="14063"/>
    <x v="1"/>
    <x v="0"/>
    <n v="70000"/>
    <x v="1"/>
    <n v="0"/>
    <x v="0"/>
    <x v="2"/>
    <s v="No"/>
    <n v="1"/>
    <x v="0"/>
    <x v="1"/>
    <n v="42"/>
    <x v="0"/>
    <x v="1"/>
    <x v="1"/>
    <n v="1"/>
    <n v="70000"/>
  </r>
  <r>
    <n v="27393"/>
    <x v="0"/>
    <x v="0"/>
    <n v="50000"/>
    <x v="0"/>
    <n v="4"/>
    <x v="0"/>
    <x v="4"/>
    <s v="Yes"/>
    <n v="2"/>
    <x v="4"/>
    <x v="2"/>
    <n v="63"/>
    <x v="1"/>
    <x v="0"/>
    <x v="0"/>
    <n v="1"/>
    <n v="0"/>
  </r>
  <r>
    <n v="14417"/>
    <x v="1"/>
    <x v="1"/>
    <n v="60000"/>
    <x v="0"/>
    <n v="3"/>
    <x v="2"/>
    <x v="2"/>
    <s v="Yes"/>
    <n v="2"/>
    <x v="4"/>
    <x v="2"/>
    <n v="54"/>
    <x v="0"/>
    <x v="1"/>
    <x v="1"/>
    <n v="1"/>
    <n v="60000"/>
  </r>
  <r>
    <n v="17533"/>
    <x v="0"/>
    <x v="1"/>
    <n v="40000"/>
    <x v="0"/>
    <n v="3"/>
    <x v="1"/>
    <x v="2"/>
    <s v="No"/>
    <n v="2"/>
    <x v="2"/>
    <x v="2"/>
    <n v="73"/>
    <x v="1"/>
    <x v="1"/>
    <x v="1"/>
    <n v="1"/>
    <n v="40000"/>
  </r>
  <r>
    <n v="18580"/>
    <x v="0"/>
    <x v="0"/>
    <n v="60000"/>
    <x v="0"/>
    <n v="2"/>
    <x v="4"/>
    <x v="2"/>
    <s v="Yes"/>
    <n v="0"/>
    <x v="1"/>
    <x v="2"/>
    <n v="40"/>
    <x v="0"/>
    <x v="1"/>
    <x v="1"/>
    <n v="1"/>
    <n v="60000"/>
  </r>
  <r>
    <n v="17025"/>
    <x v="1"/>
    <x v="1"/>
    <n v="50000"/>
    <x v="0"/>
    <n v="0"/>
    <x v="1"/>
    <x v="0"/>
    <s v="No"/>
    <n v="1"/>
    <x v="1"/>
    <x v="2"/>
    <n v="39"/>
    <x v="2"/>
    <x v="1"/>
    <x v="1"/>
    <n v="1"/>
    <n v="50000"/>
  </r>
  <r>
    <n v="25293"/>
    <x v="0"/>
    <x v="1"/>
    <n v="80000"/>
    <x v="1"/>
    <n v="4"/>
    <x v="0"/>
    <x v="4"/>
    <s v="Yes"/>
    <n v="0"/>
    <x v="3"/>
    <x v="2"/>
    <n v="42"/>
    <x v="0"/>
    <x v="0"/>
    <x v="0"/>
    <n v="1"/>
    <n v="0"/>
  </r>
  <r>
    <n v="24725"/>
    <x v="0"/>
    <x v="0"/>
    <n v="40000"/>
    <x v="0"/>
    <n v="3"/>
    <x v="1"/>
    <x v="1"/>
    <s v="Yes"/>
    <n v="0"/>
    <x v="3"/>
    <x v="2"/>
    <n v="31"/>
    <x v="2"/>
    <x v="0"/>
    <x v="0"/>
    <n v="1"/>
    <n v="0"/>
  </r>
  <r>
    <n v="23200"/>
    <x v="0"/>
    <x v="0"/>
    <n v="50000"/>
    <x v="0"/>
    <n v="3"/>
    <x v="0"/>
    <x v="0"/>
    <s v="Yes"/>
    <n v="2"/>
    <x v="0"/>
    <x v="2"/>
    <n v="41"/>
    <x v="0"/>
    <x v="0"/>
    <x v="0"/>
    <n v="1"/>
    <n v="0"/>
  </r>
  <r>
    <n v="15895"/>
    <x v="1"/>
    <x v="0"/>
    <n v="60000"/>
    <x v="0"/>
    <n v="2"/>
    <x v="0"/>
    <x v="4"/>
    <s v="Yes"/>
    <n v="0"/>
    <x v="4"/>
    <x v="2"/>
    <n v="58"/>
    <x v="0"/>
    <x v="0"/>
    <x v="0"/>
    <n v="1"/>
    <n v="0"/>
  </r>
  <r>
    <n v="18577"/>
    <x v="0"/>
    <x v="0"/>
    <n v="60000"/>
    <x v="0"/>
    <n v="0"/>
    <x v="4"/>
    <x v="2"/>
    <s v="Yes"/>
    <n v="0"/>
    <x v="0"/>
    <x v="2"/>
    <n v="40"/>
    <x v="0"/>
    <x v="0"/>
    <x v="0"/>
    <n v="1"/>
    <n v="0"/>
  </r>
  <r>
    <n v="27218"/>
    <x v="0"/>
    <x v="0"/>
    <n v="20000"/>
    <x v="0"/>
    <n v="2"/>
    <x v="3"/>
    <x v="1"/>
    <s v="No"/>
    <n v="0"/>
    <x v="0"/>
    <x v="2"/>
    <n v="48"/>
    <x v="0"/>
    <x v="0"/>
    <x v="0"/>
    <n v="1"/>
    <n v="0"/>
  </r>
  <r>
    <n v="18560"/>
    <x v="0"/>
    <x v="0"/>
    <n v="70000"/>
    <x v="1"/>
    <n v="2"/>
    <x v="4"/>
    <x v="2"/>
    <s v="Yes"/>
    <n v="0"/>
    <x v="1"/>
    <x v="2"/>
    <n v="34"/>
    <x v="2"/>
    <x v="1"/>
    <x v="1"/>
    <n v="1"/>
    <n v="70000"/>
  </r>
  <r>
    <n v="25006"/>
    <x v="1"/>
    <x v="0"/>
    <n v="30000"/>
    <x v="0"/>
    <n v="0"/>
    <x v="1"/>
    <x v="0"/>
    <s v="Yes"/>
    <n v="1"/>
    <x v="2"/>
    <x v="2"/>
    <n v="28"/>
    <x v="3"/>
    <x v="0"/>
    <x v="0"/>
    <n v="1"/>
    <n v="0"/>
  </r>
  <r>
    <n v="17369"/>
    <x v="1"/>
    <x v="1"/>
    <n v="30000"/>
    <x v="0"/>
    <n v="0"/>
    <x v="1"/>
    <x v="0"/>
    <s v="Yes"/>
    <n v="1"/>
    <x v="2"/>
    <x v="2"/>
    <n v="27"/>
    <x v="3"/>
    <x v="0"/>
    <x v="0"/>
    <n v="1"/>
    <n v="0"/>
  </r>
  <r>
    <n v="14495"/>
    <x v="0"/>
    <x v="1"/>
    <n v="40000"/>
    <x v="0"/>
    <n v="3"/>
    <x v="1"/>
    <x v="2"/>
    <s v="No"/>
    <n v="2"/>
    <x v="2"/>
    <x v="2"/>
    <n v="54"/>
    <x v="0"/>
    <x v="1"/>
    <x v="1"/>
    <n v="1"/>
    <n v="40000"/>
  </r>
  <r>
    <n v="18847"/>
    <x v="0"/>
    <x v="0"/>
    <n v="60000"/>
    <x v="0"/>
    <n v="2"/>
    <x v="4"/>
    <x v="4"/>
    <s v="Yes"/>
    <n v="2"/>
    <x v="2"/>
    <x v="2"/>
    <n v="70"/>
    <x v="1"/>
    <x v="0"/>
    <x v="0"/>
    <n v="1"/>
    <n v="0"/>
  </r>
  <r>
    <n v="14754"/>
    <x v="0"/>
    <x v="1"/>
    <n v="40000"/>
    <x v="0"/>
    <n v="1"/>
    <x v="1"/>
    <x v="1"/>
    <s v="Yes"/>
    <n v="1"/>
    <x v="3"/>
    <x v="2"/>
    <n v="48"/>
    <x v="0"/>
    <x v="1"/>
    <x v="1"/>
    <n v="1"/>
    <n v="40000"/>
  </r>
  <r>
    <n v="23378"/>
    <x v="0"/>
    <x v="1"/>
    <n v="70000"/>
    <x v="1"/>
    <n v="1"/>
    <x v="1"/>
    <x v="0"/>
    <s v="Yes"/>
    <n v="1"/>
    <x v="1"/>
    <x v="2"/>
    <n v="44"/>
    <x v="0"/>
    <x v="1"/>
    <x v="1"/>
    <n v="1"/>
    <n v="70000"/>
  </r>
  <r>
    <n v="26452"/>
    <x v="1"/>
    <x v="1"/>
    <n v="50000"/>
    <x v="0"/>
    <n v="3"/>
    <x v="4"/>
    <x v="4"/>
    <s v="Yes"/>
    <n v="2"/>
    <x v="4"/>
    <x v="2"/>
    <n v="69"/>
    <x v="1"/>
    <x v="0"/>
    <x v="0"/>
    <n v="1"/>
    <n v="0"/>
  </r>
  <r>
    <n v="20370"/>
    <x v="0"/>
    <x v="1"/>
    <n v="70000"/>
    <x v="1"/>
    <n v="3"/>
    <x v="3"/>
    <x v="0"/>
    <s v="Yes"/>
    <n v="2"/>
    <x v="2"/>
    <x v="2"/>
    <n v="52"/>
    <x v="0"/>
    <x v="0"/>
    <x v="0"/>
    <n v="1"/>
    <n v="0"/>
  </r>
  <r>
    <n v="20528"/>
    <x v="0"/>
    <x v="1"/>
    <n v="40000"/>
    <x v="0"/>
    <n v="2"/>
    <x v="3"/>
    <x v="0"/>
    <s v="Yes"/>
    <n v="2"/>
    <x v="1"/>
    <x v="2"/>
    <n v="55"/>
    <x v="0"/>
    <x v="0"/>
    <x v="0"/>
    <n v="1"/>
    <n v="0"/>
  </r>
  <r>
    <n v="23549"/>
    <x v="1"/>
    <x v="1"/>
    <n v="30000"/>
    <x v="0"/>
    <n v="0"/>
    <x v="2"/>
    <x v="0"/>
    <s v="Yes"/>
    <n v="2"/>
    <x v="2"/>
    <x v="2"/>
    <n v="30"/>
    <x v="2"/>
    <x v="0"/>
    <x v="0"/>
    <n v="1"/>
    <n v="0"/>
  </r>
  <r>
    <n v="21751"/>
    <x v="0"/>
    <x v="1"/>
    <n v="60000"/>
    <x v="0"/>
    <n v="3"/>
    <x v="4"/>
    <x v="4"/>
    <s v="Yes"/>
    <n v="2"/>
    <x v="3"/>
    <x v="2"/>
    <n v="63"/>
    <x v="1"/>
    <x v="0"/>
    <x v="0"/>
    <n v="1"/>
    <n v="0"/>
  </r>
  <r>
    <n v="21266"/>
    <x v="1"/>
    <x v="0"/>
    <n v="80000"/>
    <x v="1"/>
    <n v="0"/>
    <x v="0"/>
    <x v="4"/>
    <s v="Yes"/>
    <n v="1"/>
    <x v="3"/>
    <x v="2"/>
    <n v="34"/>
    <x v="2"/>
    <x v="1"/>
    <x v="1"/>
    <n v="1"/>
    <n v="80000"/>
  </r>
  <r>
    <n v="13388"/>
    <x v="1"/>
    <x v="1"/>
    <n v="60000"/>
    <x v="0"/>
    <n v="2"/>
    <x v="1"/>
    <x v="2"/>
    <s v="Yes"/>
    <n v="1"/>
    <x v="4"/>
    <x v="2"/>
    <n v="56"/>
    <x v="0"/>
    <x v="0"/>
    <x v="0"/>
    <n v="1"/>
    <n v="0"/>
  </r>
  <r>
    <n v="18752"/>
    <x v="1"/>
    <x v="0"/>
    <n v="40000"/>
    <x v="0"/>
    <n v="0"/>
    <x v="2"/>
    <x v="0"/>
    <s v="Yes"/>
    <n v="1"/>
    <x v="2"/>
    <x v="2"/>
    <n v="31"/>
    <x v="2"/>
    <x v="0"/>
    <x v="0"/>
    <n v="1"/>
    <n v="0"/>
  </r>
  <r>
    <n v="16917"/>
    <x v="0"/>
    <x v="1"/>
    <n v="120000"/>
    <x v="1"/>
    <n v="1"/>
    <x v="0"/>
    <x v="4"/>
    <s v="Yes"/>
    <n v="4"/>
    <x v="0"/>
    <x v="2"/>
    <n v="38"/>
    <x v="2"/>
    <x v="0"/>
    <x v="0"/>
    <n v="1"/>
    <n v="0"/>
  </r>
  <r>
    <n v="15313"/>
    <x v="0"/>
    <x v="1"/>
    <n v="60000"/>
    <x v="0"/>
    <n v="4"/>
    <x v="0"/>
    <x v="4"/>
    <s v="Yes"/>
    <n v="2"/>
    <x v="1"/>
    <x v="2"/>
    <n v="59"/>
    <x v="0"/>
    <x v="0"/>
    <x v="0"/>
    <n v="1"/>
    <n v="0"/>
  </r>
  <r>
    <n v="25329"/>
    <x v="1"/>
    <x v="0"/>
    <n v="40000"/>
    <x v="0"/>
    <n v="3"/>
    <x v="1"/>
    <x v="1"/>
    <s v="No"/>
    <n v="2"/>
    <x v="0"/>
    <x v="2"/>
    <n v="32"/>
    <x v="2"/>
    <x v="0"/>
    <x v="0"/>
    <n v="1"/>
    <n v="0"/>
  </r>
  <r>
    <n v="20380"/>
    <x v="0"/>
    <x v="0"/>
    <n v="60000"/>
    <x v="0"/>
    <n v="3"/>
    <x v="4"/>
    <x v="4"/>
    <s v="Yes"/>
    <n v="2"/>
    <x v="4"/>
    <x v="2"/>
    <n v="69"/>
    <x v="1"/>
    <x v="0"/>
    <x v="0"/>
    <n v="1"/>
    <n v="0"/>
  </r>
  <r>
    <n v="23089"/>
    <x v="0"/>
    <x v="1"/>
    <n v="40000"/>
    <x v="0"/>
    <n v="0"/>
    <x v="1"/>
    <x v="0"/>
    <s v="Yes"/>
    <n v="1"/>
    <x v="2"/>
    <x v="2"/>
    <n v="28"/>
    <x v="3"/>
    <x v="0"/>
    <x v="0"/>
    <n v="1"/>
    <n v="0"/>
  </r>
  <r>
    <n v="13749"/>
    <x v="0"/>
    <x v="1"/>
    <n v="80000"/>
    <x v="1"/>
    <n v="4"/>
    <x v="4"/>
    <x v="0"/>
    <s v="Yes"/>
    <n v="0"/>
    <x v="3"/>
    <x v="2"/>
    <n v="47"/>
    <x v="0"/>
    <x v="0"/>
    <x v="0"/>
    <n v="1"/>
    <n v="0"/>
  </r>
  <r>
    <n v="24943"/>
    <x v="0"/>
    <x v="1"/>
    <n v="60000"/>
    <x v="0"/>
    <n v="3"/>
    <x v="0"/>
    <x v="4"/>
    <s v="Yes"/>
    <n v="2"/>
    <x v="4"/>
    <x v="2"/>
    <n v="66"/>
    <x v="1"/>
    <x v="0"/>
    <x v="0"/>
    <n v="1"/>
    <n v="0"/>
  </r>
  <r>
    <n v="28667"/>
    <x v="1"/>
    <x v="1"/>
    <n v="70000"/>
    <x v="1"/>
    <n v="2"/>
    <x v="0"/>
    <x v="0"/>
    <s v="No"/>
    <n v="1"/>
    <x v="0"/>
    <x v="2"/>
    <n v="37"/>
    <x v="2"/>
    <x v="1"/>
    <x v="1"/>
    <n v="1"/>
    <n v="70000"/>
  </r>
  <r>
    <n v="15194"/>
    <x v="1"/>
    <x v="1"/>
    <n v="120000"/>
    <x v="1"/>
    <n v="2"/>
    <x v="0"/>
    <x v="4"/>
    <s v="No"/>
    <n v="3"/>
    <x v="0"/>
    <x v="2"/>
    <n v="39"/>
    <x v="2"/>
    <x v="1"/>
    <x v="1"/>
    <n v="1"/>
    <n v="120000"/>
  </r>
  <r>
    <n v="17436"/>
    <x v="0"/>
    <x v="1"/>
    <n v="60000"/>
    <x v="0"/>
    <n v="2"/>
    <x v="2"/>
    <x v="2"/>
    <s v="No"/>
    <n v="2"/>
    <x v="3"/>
    <x v="2"/>
    <n v="51"/>
    <x v="0"/>
    <x v="0"/>
    <x v="0"/>
    <n v="1"/>
    <n v="0"/>
  </r>
  <r>
    <n v="18935"/>
    <x v="0"/>
    <x v="0"/>
    <n v="130000"/>
    <x v="2"/>
    <n v="0"/>
    <x v="4"/>
    <x v="4"/>
    <s v="Yes"/>
    <n v="3"/>
    <x v="3"/>
    <x v="2"/>
    <n v="40"/>
    <x v="0"/>
    <x v="0"/>
    <x v="0"/>
    <n v="1"/>
    <n v="0"/>
  </r>
  <r>
    <n v="16871"/>
    <x v="0"/>
    <x v="0"/>
    <n v="90000"/>
    <x v="1"/>
    <n v="2"/>
    <x v="2"/>
    <x v="2"/>
    <s v="Yes"/>
    <n v="1"/>
    <x v="4"/>
    <x v="2"/>
    <n v="51"/>
    <x v="0"/>
    <x v="1"/>
    <x v="1"/>
    <n v="1"/>
    <n v="90000"/>
  </r>
  <r>
    <n v="12100"/>
    <x v="1"/>
    <x v="1"/>
    <n v="60000"/>
    <x v="0"/>
    <n v="2"/>
    <x v="0"/>
    <x v="4"/>
    <s v="Yes"/>
    <n v="0"/>
    <x v="4"/>
    <x v="2"/>
    <n v="57"/>
    <x v="0"/>
    <x v="0"/>
    <x v="0"/>
    <n v="1"/>
    <n v="0"/>
  </r>
  <r>
    <n v="23158"/>
    <x v="0"/>
    <x v="0"/>
    <n v="60000"/>
    <x v="0"/>
    <n v="1"/>
    <x v="4"/>
    <x v="2"/>
    <s v="No"/>
    <n v="0"/>
    <x v="0"/>
    <x v="2"/>
    <n v="35"/>
    <x v="2"/>
    <x v="1"/>
    <x v="1"/>
    <n v="1"/>
    <n v="60000"/>
  </r>
  <r>
    <n v="18545"/>
    <x v="0"/>
    <x v="1"/>
    <n v="40000"/>
    <x v="0"/>
    <n v="4"/>
    <x v="2"/>
    <x v="2"/>
    <s v="No"/>
    <n v="2"/>
    <x v="4"/>
    <x v="2"/>
    <n v="61"/>
    <x v="1"/>
    <x v="1"/>
    <x v="1"/>
    <n v="1"/>
    <n v="40000"/>
  </r>
  <r>
    <n v="18391"/>
    <x v="1"/>
    <x v="0"/>
    <n v="80000"/>
    <x v="1"/>
    <n v="5"/>
    <x v="1"/>
    <x v="2"/>
    <s v="Yes"/>
    <n v="2"/>
    <x v="2"/>
    <x v="2"/>
    <n v="44"/>
    <x v="0"/>
    <x v="0"/>
    <x v="0"/>
    <n v="1"/>
    <n v="0"/>
  </r>
  <r>
    <n v="19812"/>
    <x v="1"/>
    <x v="0"/>
    <n v="70000"/>
    <x v="1"/>
    <n v="2"/>
    <x v="1"/>
    <x v="2"/>
    <s v="Yes"/>
    <n v="0"/>
    <x v="2"/>
    <x v="2"/>
    <n v="49"/>
    <x v="0"/>
    <x v="1"/>
    <x v="1"/>
    <n v="1"/>
    <n v="70000"/>
  </r>
  <r>
    <n v="27660"/>
    <x v="0"/>
    <x v="1"/>
    <n v="80000"/>
    <x v="1"/>
    <n v="4"/>
    <x v="4"/>
    <x v="4"/>
    <s v="Yes"/>
    <n v="2"/>
    <x v="2"/>
    <x v="2"/>
    <n v="70"/>
    <x v="1"/>
    <x v="0"/>
    <x v="0"/>
    <n v="1"/>
    <n v="0"/>
  </r>
  <r>
    <n v="18058"/>
    <x v="1"/>
    <x v="0"/>
    <n v="20000"/>
    <x v="0"/>
    <n v="3"/>
    <x v="2"/>
    <x v="0"/>
    <s v="Yes"/>
    <n v="2"/>
    <x v="1"/>
    <x v="2"/>
    <n v="78"/>
    <x v="1"/>
    <x v="0"/>
    <x v="0"/>
    <n v="1"/>
    <n v="0"/>
  </r>
  <r>
    <n v="20343"/>
    <x v="0"/>
    <x v="0"/>
    <n v="90000"/>
    <x v="1"/>
    <n v="4"/>
    <x v="1"/>
    <x v="2"/>
    <s v="Yes"/>
    <n v="1"/>
    <x v="3"/>
    <x v="2"/>
    <n v="45"/>
    <x v="0"/>
    <x v="0"/>
    <x v="0"/>
    <n v="1"/>
    <n v="0"/>
  </r>
  <r>
    <n v="28997"/>
    <x v="1"/>
    <x v="1"/>
    <n v="40000"/>
    <x v="0"/>
    <n v="2"/>
    <x v="2"/>
    <x v="2"/>
    <s v="No"/>
    <n v="1"/>
    <x v="1"/>
    <x v="2"/>
    <n v="58"/>
    <x v="0"/>
    <x v="1"/>
    <x v="1"/>
    <n v="1"/>
    <n v="40000"/>
  </r>
  <r>
    <n v="24398"/>
    <x v="0"/>
    <x v="1"/>
    <n v="130000"/>
    <x v="2"/>
    <n v="1"/>
    <x v="4"/>
    <x v="4"/>
    <s v="Yes"/>
    <n v="4"/>
    <x v="0"/>
    <x v="2"/>
    <n v="41"/>
    <x v="0"/>
    <x v="0"/>
    <x v="0"/>
    <n v="1"/>
    <n v="0"/>
  </r>
  <r>
    <n v="19002"/>
    <x v="0"/>
    <x v="0"/>
    <n v="60000"/>
    <x v="0"/>
    <n v="2"/>
    <x v="1"/>
    <x v="2"/>
    <s v="Yes"/>
    <n v="1"/>
    <x v="1"/>
    <x v="2"/>
    <n v="57"/>
    <x v="0"/>
    <x v="1"/>
    <x v="1"/>
    <n v="1"/>
    <n v="60000"/>
  </r>
  <r>
    <n v="28609"/>
    <x v="0"/>
    <x v="1"/>
    <n v="30000"/>
    <x v="0"/>
    <n v="2"/>
    <x v="2"/>
    <x v="0"/>
    <s v="No"/>
    <n v="2"/>
    <x v="0"/>
    <x v="2"/>
    <n v="49"/>
    <x v="0"/>
    <x v="0"/>
    <x v="0"/>
    <n v="1"/>
    <n v="0"/>
  </r>
  <r>
    <n v="29231"/>
    <x v="1"/>
    <x v="1"/>
    <n v="80000"/>
    <x v="1"/>
    <n v="4"/>
    <x v="1"/>
    <x v="2"/>
    <s v="No"/>
    <n v="2"/>
    <x v="0"/>
    <x v="2"/>
    <n v="43"/>
    <x v="0"/>
    <x v="0"/>
    <x v="0"/>
    <n v="1"/>
    <n v="0"/>
  </r>
  <r>
    <n v="18858"/>
    <x v="1"/>
    <x v="1"/>
    <n v="60000"/>
    <x v="0"/>
    <n v="2"/>
    <x v="3"/>
    <x v="0"/>
    <s v="Yes"/>
    <n v="2"/>
    <x v="2"/>
    <x v="2"/>
    <n v="52"/>
    <x v="0"/>
    <x v="1"/>
    <x v="1"/>
    <n v="1"/>
    <n v="60000"/>
  </r>
  <r>
    <n v="20000"/>
    <x v="0"/>
    <x v="1"/>
    <n v="60000"/>
    <x v="0"/>
    <n v="1"/>
    <x v="4"/>
    <x v="2"/>
    <s v="Yes"/>
    <n v="0"/>
    <x v="0"/>
    <x v="2"/>
    <n v="35"/>
    <x v="2"/>
    <x v="1"/>
    <x v="1"/>
    <n v="1"/>
    <n v="60000"/>
  </r>
  <r>
    <n v="25261"/>
    <x v="0"/>
    <x v="1"/>
    <n v="40000"/>
    <x v="0"/>
    <n v="0"/>
    <x v="2"/>
    <x v="0"/>
    <s v="Yes"/>
    <n v="2"/>
    <x v="2"/>
    <x v="2"/>
    <n v="27"/>
    <x v="3"/>
    <x v="0"/>
    <x v="0"/>
    <n v="1"/>
    <n v="0"/>
  </r>
  <r>
    <n v="17458"/>
    <x v="1"/>
    <x v="1"/>
    <n v="70000"/>
    <x v="1"/>
    <n v="3"/>
    <x v="2"/>
    <x v="2"/>
    <s v="Yes"/>
    <n v="0"/>
    <x v="2"/>
    <x v="2"/>
    <n v="52"/>
    <x v="0"/>
    <x v="1"/>
    <x v="1"/>
    <n v="1"/>
    <n v="70000"/>
  </r>
  <r>
    <n v="11644"/>
    <x v="1"/>
    <x v="1"/>
    <n v="40000"/>
    <x v="0"/>
    <n v="2"/>
    <x v="0"/>
    <x v="0"/>
    <s v="Yes"/>
    <n v="0"/>
    <x v="1"/>
    <x v="2"/>
    <n v="36"/>
    <x v="2"/>
    <x v="0"/>
    <x v="0"/>
    <n v="1"/>
    <n v="0"/>
  </r>
  <r>
    <n v="16145"/>
    <x v="1"/>
    <x v="0"/>
    <n v="70000"/>
    <x v="1"/>
    <n v="5"/>
    <x v="4"/>
    <x v="2"/>
    <s v="Yes"/>
    <n v="3"/>
    <x v="4"/>
    <x v="2"/>
    <n v="46"/>
    <x v="0"/>
    <x v="1"/>
    <x v="1"/>
    <n v="1"/>
    <n v="70000"/>
  </r>
  <r>
    <n v="16890"/>
    <x v="0"/>
    <x v="1"/>
    <n v="60000"/>
    <x v="0"/>
    <n v="3"/>
    <x v="3"/>
    <x v="0"/>
    <s v="Yes"/>
    <n v="2"/>
    <x v="2"/>
    <x v="2"/>
    <n v="52"/>
    <x v="0"/>
    <x v="1"/>
    <x v="1"/>
    <n v="1"/>
    <n v="60000"/>
  </r>
  <r>
    <n v="25983"/>
    <x v="0"/>
    <x v="1"/>
    <n v="70000"/>
    <x v="1"/>
    <n v="0"/>
    <x v="0"/>
    <x v="2"/>
    <s v="No"/>
    <n v="1"/>
    <x v="0"/>
    <x v="2"/>
    <n v="43"/>
    <x v="0"/>
    <x v="0"/>
    <x v="0"/>
    <n v="1"/>
    <n v="0"/>
  </r>
  <r>
    <n v="14633"/>
    <x v="0"/>
    <x v="1"/>
    <n v="60000"/>
    <x v="0"/>
    <n v="1"/>
    <x v="1"/>
    <x v="0"/>
    <s v="Yes"/>
    <n v="1"/>
    <x v="1"/>
    <x v="2"/>
    <n v="44"/>
    <x v="0"/>
    <x v="0"/>
    <x v="0"/>
    <n v="1"/>
    <n v="0"/>
  </r>
  <r>
    <n v="22994"/>
    <x v="0"/>
    <x v="0"/>
    <n v="80000"/>
    <x v="1"/>
    <n v="0"/>
    <x v="0"/>
    <x v="4"/>
    <s v="Yes"/>
    <n v="1"/>
    <x v="3"/>
    <x v="2"/>
    <n v="34"/>
    <x v="2"/>
    <x v="1"/>
    <x v="1"/>
    <n v="1"/>
    <n v="80000"/>
  </r>
  <r>
    <n v="22983"/>
    <x v="1"/>
    <x v="0"/>
    <n v="30000"/>
    <x v="0"/>
    <n v="0"/>
    <x v="3"/>
    <x v="1"/>
    <s v="Yes"/>
    <n v="2"/>
    <x v="2"/>
    <x v="2"/>
    <n v="27"/>
    <x v="3"/>
    <x v="0"/>
    <x v="0"/>
    <n v="1"/>
    <n v="0"/>
  </r>
  <r>
    <n v="25184"/>
    <x v="1"/>
    <x v="1"/>
    <n v="110000"/>
    <x v="1"/>
    <n v="1"/>
    <x v="1"/>
    <x v="2"/>
    <s v="Yes"/>
    <n v="4"/>
    <x v="2"/>
    <x v="2"/>
    <n v="45"/>
    <x v="0"/>
    <x v="1"/>
    <x v="1"/>
    <n v="1"/>
    <n v="110000"/>
  </r>
  <r>
    <n v="14469"/>
    <x v="0"/>
    <x v="0"/>
    <n v="100000"/>
    <x v="1"/>
    <n v="3"/>
    <x v="1"/>
    <x v="2"/>
    <s v="Yes"/>
    <n v="4"/>
    <x v="3"/>
    <x v="2"/>
    <n v="45"/>
    <x v="0"/>
    <x v="0"/>
    <x v="0"/>
    <n v="1"/>
    <n v="0"/>
  </r>
  <r>
    <n v="11538"/>
    <x v="1"/>
    <x v="0"/>
    <n v="60000"/>
    <x v="0"/>
    <n v="4"/>
    <x v="4"/>
    <x v="0"/>
    <s v="No"/>
    <n v="0"/>
    <x v="0"/>
    <x v="2"/>
    <n v="47"/>
    <x v="0"/>
    <x v="1"/>
    <x v="1"/>
    <n v="1"/>
    <n v="60000"/>
  </r>
  <r>
    <n v="16245"/>
    <x v="1"/>
    <x v="0"/>
    <n v="80000"/>
    <x v="1"/>
    <n v="4"/>
    <x v="4"/>
    <x v="0"/>
    <s v="Yes"/>
    <n v="0"/>
    <x v="3"/>
    <x v="2"/>
    <n v="47"/>
    <x v="0"/>
    <x v="0"/>
    <x v="0"/>
    <n v="1"/>
    <n v="0"/>
  </r>
  <r>
    <n v="17858"/>
    <x v="0"/>
    <x v="1"/>
    <n v="40000"/>
    <x v="0"/>
    <n v="4"/>
    <x v="2"/>
    <x v="0"/>
    <s v="Yes"/>
    <n v="2"/>
    <x v="1"/>
    <x v="2"/>
    <n v="44"/>
    <x v="0"/>
    <x v="1"/>
    <x v="1"/>
    <n v="1"/>
    <n v="40000"/>
  </r>
  <r>
    <n v="25347"/>
    <x v="1"/>
    <x v="0"/>
    <n v="20000"/>
    <x v="0"/>
    <n v="3"/>
    <x v="3"/>
    <x v="1"/>
    <s v="No"/>
    <n v="2"/>
    <x v="0"/>
    <x v="2"/>
    <n v="49"/>
    <x v="0"/>
    <x v="0"/>
    <x v="0"/>
    <n v="1"/>
    <n v="0"/>
  </r>
  <r>
    <n v="15814"/>
    <x v="1"/>
    <x v="0"/>
    <n v="40000"/>
    <x v="0"/>
    <n v="0"/>
    <x v="2"/>
    <x v="0"/>
    <s v="Yes"/>
    <n v="1"/>
    <x v="2"/>
    <x v="2"/>
    <n v="30"/>
    <x v="2"/>
    <x v="0"/>
    <x v="0"/>
    <n v="1"/>
    <n v="0"/>
  </r>
  <r>
    <n v="11259"/>
    <x v="0"/>
    <x v="0"/>
    <n v="100000"/>
    <x v="1"/>
    <n v="4"/>
    <x v="1"/>
    <x v="2"/>
    <s v="Yes"/>
    <n v="4"/>
    <x v="1"/>
    <x v="2"/>
    <n v="41"/>
    <x v="0"/>
    <x v="1"/>
    <x v="1"/>
    <n v="1"/>
    <n v="100000"/>
  </r>
  <r>
    <n v="11200"/>
    <x v="0"/>
    <x v="1"/>
    <n v="70000"/>
    <x v="1"/>
    <n v="4"/>
    <x v="0"/>
    <x v="4"/>
    <s v="Yes"/>
    <n v="1"/>
    <x v="3"/>
    <x v="2"/>
    <n v="58"/>
    <x v="0"/>
    <x v="0"/>
    <x v="0"/>
    <n v="1"/>
    <n v="0"/>
  </r>
  <r>
    <n v="25101"/>
    <x v="0"/>
    <x v="1"/>
    <n v="60000"/>
    <x v="0"/>
    <n v="5"/>
    <x v="0"/>
    <x v="2"/>
    <s v="Yes"/>
    <n v="1"/>
    <x v="1"/>
    <x v="2"/>
    <n v="47"/>
    <x v="0"/>
    <x v="0"/>
    <x v="0"/>
    <n v="1"/>
    <n v="0"/>
  </r>
  <r>
    <n v="21801"/>
    <x v="0"/>
    <x v="0"/>
    <n v="70000"/>
    <x v="1"/>
    <n v="4"/>
    <x v="1"/>
    <x v="2"/>
    <s v="Yes"/>
    <n v="1"/>
    <x v="3"/>
    <x v="2"/>
    <n v="55"/>
    <x v="0"/>
    <x v="0"/>
    <x v="0"/>
    <n v="1"/>
    <n v="0"/>
  </r>
  <r>
    <n v="25943"/>
    <x v="1"/>
    <x v="0"/>
    <n v="70000"/>
    <x v="1"/>
    <n v="0"/>
    <x v="1"/>
    <x v="0"/>
    <s v="No"/>
    <n v="2"/>
    <x v="0"/>
    <x v="2"/>
    <n v="27"/>
    <x v="3"/>
    <x v="1"/>
    <x v="1"/>
    <n v="1"/>
    <n v="70000"/>
  </r>
  <r>
    <n v="22127"/>
    <x v="0"/>
    <x v="1"/>
    <n v="60000"/>
    <x v="0"/>
    <n v="3"/>
    <x v="4"/>
    <x v="4"/>
    <s v="Yes"/>
    <n v="2"/>
    <x v="3"/>
    <x v="2"/>
    <n v="67"/>
    <x v="1"/>
    <x v="0"/>
    <x v="0"/>
    <n v="1"/>
    <n v="0"/>
  </r>
  <r>
    <n v="20414"/>
    <x v="0"/>
    <x v="0"/>
    <n v="60000"/>
    <x v="0"/>
    <n v="0"/>
    <x v="1"/>
    <x v="0"/>
    <s v="Yes"/>
    <n v="2"/>
    <x v="2"/>
    <x v="2"/>
    <n v="29"/>
    <x v="3"/>
    <x v="0"/>
    <x v="0"/>
    <n v="1"/>
    <n v="0"/>
  </r>
  <r>
    <n v="23672"/>
    <x v="0"/>
    <x v="0"/>
    <n v="60000"/>
    <x v="0"/>
    <n v="3"/>
    <x v="4"/>
    <x v="4"/>
    <s v="Yes"/>
    <n v="2"/>
    <x v="3"/>
    <x v="2"/>
    <n v="67"/>
    <x v="1"/>
    <x v="0"/>
    <x v="0"/>
    <n v="1"/>
    <n v="0"/>
  </r>
  <r>
    <n v="29255"/>
    <x v="1"/>
    <x v="1"/>
    <n v="80000"/>
    <x v="1"/>
    <n v="3"/>
    <x v="1"/>
    <x v="2"/>
    <s v="No"/>
    <n v="1"/>
    <x v="3"/>
    <x v="2"/>
    <n v="51"/>
    <x v="0"/>
    <x v="1"/>
    <x v="1"/>
    <n v="1"/>
    <n v="80000"/>
  </r>
  <r>
    <n v="28815"/>
    <x v="0"/>
    <x v="0"/>
    <n v="50000"/>
    <x v="0"/>
    <n v="1"/>
    <x v="4"/>
    <x v="0"/>
    <s v="Yes"/>
    <n v="0"/>
    <x v="0"/>
    <x v="2"/>
    <n v="35"/>
    <x v="2"/>
    <x v="0"/>
    <x v="0"/>
    <n v="1"/>
    <n v="0"/>
  </r>
  <r>
    <n v="27753"/>
    <x v="0"/>
    <x v="1"/>
    <n v="40000"/>
    <x v="0"/>
    <n v="0"/>
    <x v="2"/>
    <x v="0"/>
    <s v="No"/>
    <n v="2"/>
    <x v="3"/>
    <x v="2"/>
    <n v="30"/>
    <x v="2"/>
    <x v="0"/>
    <x v="0"/>
    <n v="1"/>
    <n v="0"/>
  </r>
  <r>
    <n v="27643"/>
    <x v="1"/>
    <x v="1"/>
    <n v="70000"/>
    <x v="1"/>
    <n v="5"/>
    <x v="1"/>
    <x v="2"/>
    <s v="Yes"/>
    <n v="3"/>
    <x v="1"/>
    <x v="2"/>
    <n v="44"/>
    <x v="0"/>
    <x v="0"/>
    <x v="0"/>
    <n v="1"/>
    <n v="0"/>
  </r>
  <r>
    <n v="13754"/>
    <x v="1"/>
    <x v="0"/>
    <n v="80000"/>
    <x v="1"/>
    <n v="4"/>
    <x v="4"/>
    <x v="0"/>
    <s v="Yes"/>
    <n v="0"/>
    <x v="3"/>
    <x v="2"/>
    <n v="48"/>
    <x v="0"/>
    <x v="0"/>
    <x v="0"/>
    <n v="1"/>
    <n v="0"/>
  </r>
  <r>
    <n v="22088"/>
    <x v="0"/>
    <x v="0"/>
    <n v="130000"/>
    <x v="2"/>
    <n v="1"/>
    <x v="0"/>
    <x v="4"/>
    <s v="Yes"/>
    <n v="2"/>
    <x v="0"/>
    <x v="2"/>
    <n v="45"/>
    <x v="0"/>
    <x v="1"/>
    <x v="1"/>
    <n v="1"/>
    <n v="130000"/>
  </r>
  <r>
    <n v="27388"/>
    <x v="0"/>
    <x v="1"/>
    <n v="60000"/>
    <x v="0"/>
    <n v="3"/>
    <x v="0"/>
    <x v="4"/>
    <s v="No"/>
    <n v="2"/>
    <x v="3"/>
    <x v="2"/>
    <n v="66"/>
    <x v="1"/>
    <x v="0"/>
    <x v="0"/>
    <n v="1"/>
    <n v="0"/>
  </r>
  <r>
    <n v="24745"/>
    <x v="1"/>
    <x v="0"/>
    <n v="30000"/>
    <x v="0"/>
    <n v="2"/>
    <x v="2"/>
    <x v="0"/>
    <s v="No"/>
    <n v="2"/>
    <x v="0"/>
    <x v="2"/>
    <n v="49"/>
    <x v="0"/>
    <x v="0"/>
    <x v="0"/>
    <n v="1"/>
    <n v="0"/>
  </r>
  <r>
    <n v="29237"/>
    <x v="1"/>
    <x v="0"/>
    <n v="120000"/>
    <x v="1"/>
    <n v="4"/>
    <x v="1"/>
    <x v="2"/>
    <s v="Yes"/>
    <n v="3"/>
    <x v="2"/>
    <x v="2"/>
    <n v="43"/>
    <x v="0"/>
    <x v="1"/>
    <x v="1"/>
    <n v="1"/>
    <n v="120000"/>
  </r>
  <r>
    <n v="15272"/>
    <x v="1"/>
    <x v="1"/>
    <n v="40000"/>
    <x v="0"/>
    <n v="0"/>
    <x v="2"/>
    <x v="0"/>
    <s v="No"/>
    <n v="2"/>
    <x v="3"/>
    <x v="2"/>
    <n v="30"/>
    <x v="2"/>
    <x v="0"/>
    <x v="0"/>
    <n v="1"/>
    <n v="0"/>
  </r>
  <r>
    <n v="18949"/>
    <x v="1"/>
    <x v="1"/>
    <n v="70000"/>
    <x v="1"/>
    <n v="0"/>
    <x v="4"/>
    <x v="4"/>
    <s v="Yes"/>
    <n v="2"/>
    <x v="2"/>
    <x v="2"/>
    <n v="74"/>
    <x v="1"/>
    <x v="1"/>
    <x v="1"/>
    <n v="1"/>
    <n v="70000"/>
  </r>
  <r>
    <n v="14507"/>
    <x v="0"/>
    <x v="1"/>
    <n v="100000"/>
    <x v="1"/>
    <n v="2"/>
    <x v="4"/>
    <x v="4"/>
    <s v="Yes"/>
    <n v="3"/>
    <x v="3"/>
    <x v="2"/>
    <n v="65"/>
    <x v="1"/>
    <x v="0"/>
    <x v="0"/>
    <n v="1"/>
    <n v="0"/>
  </r>
  <r>
    <n v="25886"/>
    <x v="0"/>
    <x v="0"/>
    <n v="60000"/>
    <x v="0"/>
    <n v="2"/>
    <x v="1"/>
    <x v="2"/>
    <s v="Yes"/>
    <n v="2"/>
    <x v="1"/>
    <x v="2"/>
    <n v="56"/>
    <x v="0"/>
    <x v="1"/>
    <x v="1"/>
    <n v="1"/>
    <n v="60000"/>
  </r>
  <r>
    <n v="21441"/>
    <x v="0"/>
    <x v="1"/>
    <n v="50000"/>
    <x v="0"/>
    <n v="4"/>
    <x v="0"/>
    <x v="4"/>
    <s v="Yes"/>
    <n v="2"/>
    <x v="4"/>
    <x v="2"/>
    <n v="64"/>
    <x v="1"/>
    <x v="0"/>
    <x v="0"/>
    <n v="1"/>
    <n v="0"/>
  </r>
  <r>
    <n v="21741"/>
    <x v="0"/>
    <x v="0"/>
    <n v="70000"/>
    <x v="1"/>
    <n v="3"/>
    <x v="1"/>
    <x v="2"/>
    <s v="Yes"/>
    <n v="2"/>
    <x v="2"/>
    <x v="2"/>
    <n v="50"/>
    <x v="0"/>
    <x v="1"/>
    <x v="1"/>
    <n v="1"/>
    <n v="70000"/>
  </r>
  <r>
    <n v="14572"/>
    <x v="0"/>
    <x v="0"/>
    <n v="70000"/>
    <x v="1"/>
    <n v="3"/>
    <x v="4"/>
    <x v="2"/>
    <s v="Yes"/>
    <n v="0"/>
    <x v="1"/>
    <x v="2"/>
    <n v="35"/>
    <x v="2"/>
    <x v="1"/>
    <x v="1"/>
    <n v="1"/>
    <n v="70000"/>
  </r>
  <r>
    <n v="23368"/>
    <x v="0"/>
    <x v="0"/>
    <n v="60000"/>
    <x v="0"/>
    <n v="5"/>
    <x v="0"/>
    <x v="0"/>
    <s v="Yes"/>
    <n v="3"/>
    <x v="4"/>
    <x v="2"/>
    <n v="41"/>
    <x v="0"/>
    <x v="0"/>
    <x v="0"/>
    <n v="1"/>
    <n v="0"/>
  </r>
  <r>
    <n v="16217"/>
    <x v="1"/>
    <x v="0"/>
    <n v="60000"/>
    <x v="0"/>
    <n v="0"/>
    <x v="4"/>
    <x v="0"/>
    <s v="Yes"/>
    <n v="0"/>
    <x v="0"/>
    <x v="2"/>
    <n v="39"/>
    <x v="2"/>
    <x v="0"/>
    <x v="0"/>
    <n v="1"/>
    <n v="0"/>
  </r>
  <r>
    <n v="16247"/>
    <x v="1"/>
    <x v="0"/>
    <n v="60000"/>
    <x v="0"/>
    <n v="4"/>
    <x v="4"/>
    <x v="0"/>
    <s v="No"/>
    <n v="0"/>
    <x v="3"/>
    <x v="2"/>
    <n v="47"/>
    <x v="0"/>
    <x v="0"/>
    <x v="0"/>
    <n v="1"/>
    <n v="0"/>
  </r>
  <r>
    <n v="22010"/>
    <x v="1"/>
    <x v="1"/>
    <n v="40000"/>
    <x v="0"/>
    <n v="0"/>
    <x v="2"/>
    <x v="0"/>
    <s v="Yes"/>
    <n v="2"/>
    <x v="2"/>
    <x v="2"/>
    <n v="31"/>
    <x v="2"/>
    <x v="0"/>
    <x v="0"/>
    <n v="1"/>
    <n v="0"/>
  </r>
  <r>
    <n v="25872"/>
    <x v="1"/>
    <x v="0"/>
    <n v="70000"/>
    <x v="1"/>
    <n v="2"/>
    <x v="0"/>
    <x v="4"/>
    <s v="No"/>
    <n v="1"/>
    <x v="1"/>
    <x v="2"/>
    <n v="58"/>
    <x v="0"/>
    <x v="1"/>
    <x v="1"/>
    <n v="1"/>
    <n v="70000"/>
  </r>
  <r>
    <n v="19164"/>
    <x v="1"/>
    <x v="0"/>
    <n v="70000"/>
    <x v="1"/>
    <n v="0"/>
    <x v="0"/>
    <x v="2"/>
    <s v="No"/>
    <n v="1"/>
    <x v="1"/>
    <x v="2"/>
    <n v="38"/>
    <x v="2"/>
    <x v="1"/>
    <x v="1"/>
    <n v="1"/>
    <n v="70000"/>
  </r>
  <r>
    <n v="18435"/>
    <x v="1"/>
    <x v="0"/>
    <n v="70000"/>
    <x v="1"/>
    <n v="5"/>
    <x v="4"/>
    <x v="4"/>
    <s v="Yes"/>
    <n v="2"/>
    <x v="4"/>
    <x v="2"/>
    <n v="67"/>
    <x v="1"/>
    <x v="1"/>
    <x v="1"/>
    <n v="1"/>
    <n v="70000"/>
  </r>
  <r>
    <n v="14284"/>
    <x v="1"/>
    <x v="1"/>
    <n v="60000"/>
    <x v="0"/>
    <n v="0"/>
    <x v="1"/>
    <x v="2"/>
    <s v="No"/>
    <n v="2"/>
    <x v="3"/>
    <x v="2"/>
    <n v="32"/>
    <x v="2"/>
    <x v="1"/>
    <x v="1"/>
    <n v="1"/>
    <n v="60000"/>
  </r>
  <r>
    <n v="11287"/>
    <x v="0"/>
    <x v="1"/>
    <n v="70000"/>
    <x v="1"/>
    <n v="5"/>
    <x v="1"/>
    <x v="2"/>
    <s v="No"/>
    <n v="3"/>
    <x v="2"/>
    <x v="2"/>
    <n v="45"/>
    <x v="0"/>
    <x v="0"/>
    <x v="0"/>
    <n v="1"/>
    <n v="0"/>
  </r>
  <r>
    <n v="13066"/>
    <x v="1"/>
    <x v="1"/>
    <n v="30000"/>
    <x v="0"/>
    <n v="0"/>
    <x v="2"/>
    <x v="0"/>
    <s v="No"/>
    <n v="2"/>
    <x v="3"/>
    <x v="2"/>
    <n v="31"/>
    <x v="2"/>
    <x v="1"/>
    <x v="1"/>
    <n v="1"/>
    <n v="30000"/>
  </r>
  <r>
    <n v="29106"/>
    <x v="1"/>
    <x v="1"/>
    <n v="40000"/>
    <x v="0"/>
    <n v="0"/>
    <x v="2"/>
    <x v="0"/>
    <s v="No"/>
    <n v="2"/>
    <x v="3"/>
    <x v="2"/>
    <n v="31"/>
    <x v="2"/>
    <x v="1"/>
    <x v="1"/>
    <n v="1"/>
    <n v="40000"/>
  </r>
  <r>
    <n v="26236"/>
    <x v="0"/>
    <x v="0"/>
    <n v="40000"/>
    <x v="0"/>
    <n v="3"/>
    <x v="1"/>
    <x v="1"/>
    <s v="Yes"/>
    <n v="1"/>
    <x v="0"/>
    <x v="2"/>
    <n v="31"/>
    <x v="2"/>
    <x v="0"/>
    <x v="0"/>
    <n v="1"/>
    <n v="0"/>
  </r>
  <r>
    <n v="17531"/>
    <x v="0"/>
    <x v="1"/>
    <n v="60000"/>
    <x v="0"/>
    <n v="2"/>
    <x v="2"/>
    <x v="2"/>
    <s v="No"/>
    <n v="2"/>
    <x v="2"/>
    <x v="2"/>
    <n v="50"/>
    <x v="0"/>
    <x v="0"/>
    <x v="0"/>
    <n v="1"/>
    <n v="0"/>
  </r>
  <r>
    <n v="12964"/>
    <x v="0"/>
    <x v="1"/>
    <n v="70000"/>
    <x v="1"/>
    <n v="1"/>
    <x v="1"/>
    <x v="0"/>
    <s v="Yes"/>
    <n v="1"/>
    <x v="0"/>
    <x v="2"/>
    <n v="44"/>
    <x v="0"/>
    <x v="0"/>
    <x v="0"/>
    <n v="1"/>
    <n v="0"/>
  </r>
  <r>
    <n v="19133"/>
    <x v="1"/>
    <x v="1"/>
    <n v="50000"/>
    <x v="0"/>
    <n v="2"/>
    <x v="0"/>
    <x v="0"/>
    <s v="Yes"/>
    <n v="1"/>
    <x v="1"/>
    <x v="2"/>
    <n v="38"/>
    <x v="2"/>
    <x v="1"/>
    <x v="1"/>
    <n v="1"/>
    <n v="50000"/>
  </r>
  <r>
    <n v="24643"/>
    <x v="1"/>
    <x v="0"/>
    <n v="60000"/>
    <x v="0"/>
    <n v="4"/>
    <x v="0"/>
    <x v="4"/>
    <s v="Yes"/>
    <n v="2"/>
    <x v="4"/>
    <x v="2"/>
    <n v="63"/>
    <x v="1"/>
    <x v="0"/>
    <x v="0"/>
    <n v="1"/>
    <n v="0"/>
  </r>
  <r>
    <n v="21599"/>
    <x v="0"/>
    <x v="0"/>
    <n v="60000"/>
    <x v="0"/>
    <n v="1"/>
    <x v="4"/>
    <x v="2"/>
    <s v="Yes"/>
    <n v="0"/>
    <x v="1"/>
    <x v="2"/>
    <n v="36"/>
    <x v="2"/>
    <x v="1"/>
    <x v="1"/>
    <n v="1"/>
    <n v="60000"/>
  </r>
  <r>
    <n v="22976"/>
    <x v="1"/>
    <x v="1"/>
    <n v="40000"/>
    <x v="0"/>
    <n v="0"/>
    <x v="2"/>
    <x v="0"/>
    <s v="No"/>
    <n v="2"/>
    <x v="0"/>
    <x v="2"/>
    <n v="28"/>
    <x v="3"/>
    <x v="1"/>
    <x v="1"/>
    <n v="1"/>
    <n v="40000"/>
  </r>
  <r>
    <n v="27637"/>
    <x v="1"/>
    <x v="0"/>
    <n v="100000"/>
    <x v="1"/>
    <n v="1"/>
    <x v="1"/>
    <x v="2"/>
    <s v="No"/>
    <n v="3"/>
    <x v="3"/>
    <x v="2"/>
    <n v="44"/>
    <x v="0"/>
    <x v="0"/>
    <x v="0"/>
    <n v="1"/>
    <n v="0"/>
  </r>
  <r>
    <n v="11890"/>
    <x v="0"/>
    <x v="0"/>
    <n v="70000"/>
    <x v="1"/>
    <n v="5"/>
    <x v="4"/>
    <x v="2"/>
    <s v="Yes"/>
    <n v="1"/>
    <x v="0"/>
    <x v="2"/>
    <n v="47"/>
    <x v="0"/>
    <x v="0"/>
    <x v="0"/>
    <n v="1"/>
    <n v="0"/>
  </r>
  <r>
    <n v="28580"/>
    <x v="0"/>
    <x v="0"/>
    <n v="80000"/>
    <x v="1"/>
    <n v="0"/>
    <x v="4"/>
    <x v="0"/>
    <s v="Yes"/>
    <n v="0"/>
    <x v="3"/>
    <x v="2"/>
    <n v="40"/>
    <x v="0"/>
    <x v="1"/>
    <x v="1"/>
    <n v="1"/>
    <n v="80000"/>
  </r>
  <r>
    <n v="14443"/>
    <x v="0"/>
    <x v="1"/>
    <n v="130000"/>
    <x v="2"/>
    <n v="1"/>
    <x v="4"/>
    <x v="4"/>
    <s v="Yes"/>
    <n v="4"/>
    <x v="0"/>
    <x v="2"/>
    <n v="40"/>
    <x v="0"/>
    <x v="0"/>
    <x v="0"/>
    <n v="1"/>
    <n v="0"/>
  </r>
  <r>
    <n v="17864"/>
    <x v="0"/>
    <x v="0"/>
    <n v="60000"/>
    <x v="0"/>
    <n v="1"/>
    <x v="1"/>
    <x v="0"/>
    <s v="Yes"/>
    <n v="1"/>
    <x v="1"/>
    <x v="2"/>
    <n v="46"/>
    <x v="0"/>
    <x v="1"/>
    <x v="1"/>
    <n v="1"/>
    <n v="60000"/>
  </r>
  <r>
    <n v="20505"/>
    <x v="0"/>
    <x v="0"/>
    <n v="40000"/>
    <x v="0"/>
    <n v="5"/>
    <x v="2"/>
    <x v="2"/>
    <s v="No"/>
    <n v="2"/>
    <x v="4"/>
    <x v="2"/>
    <n v="61"/>
    <x v="1"/>
    <x v="0"/>
    <x v="0"/>
    <n v="1"/>
    <n v="0"/>
  </r>
  <r>
    <n v="14592"/>
    <x v="0"/>
    <x v="0"/>
    <n v="60000"/>
    <x v="0"/>
    <n v="0"/>
    <x v="4"/>
    <x v="2"/>
    <s v="Yes"/>
    <n v="0"/>
    <x v="0"/>
    <x v="2"/>
    <n v="40"/>
    <x v="0"/>
    <x v="0"/>
    <x v="0"/>
    <n v="1"/>
    <n v="0"/>
  </r>
  <r>
    <n v="22227"/>
    <x v="0"/>
    <x v="0"/>
    <n v="60000"/>
    <x v="0"/>
    <n v="2"/>
    <x v="2"/>
    <x v="2"/>
    <s v="Yes"/>
    <n v="2"/>
    <x v="2"/>
    <x v="2"/>
    <n v="50"/>
    <x v="0"/>
    <x v="0"/>
    <x v="0"/>
    <n v="1"/>
    <n v="0"/>
  </r>
  <r>
    <n v="21471"/>
    <x v="0"/>
    <x v="1"/>
    <n v="70000"/>
    <x v="1"/>
    <n v="2"/>
    <x v="1"/>
    <x v="2"/>
    <s v="Yes"/>
    <n v="1"/>
    <x v="4"/>
    <x v="2"/>
    <n v="59"/>
    <x v="0"/>
    <x v="0"/>
    <x v="0"/>
    <n v="1"/>
    <n v="0"/>
  </r>
  <r>
    <n v="22252"/>
    <x v="1"/>
    <x v="0"/>
    <n v="60000"/>
    <x v="0"/>
    <n v="1"/>
    <x v="4"/>
    <x v="2"/>
    <s v="Yes"/>
    <n v="0"/>
    <x v="1"/>
    <x v="2"/>
    <n v="36"/>
    <x v="2"/>
    <x v="1"/>
    <x v="1"/>
    <n v="1"/>
    <n v="60000"/>
  </r>
  <r>
    <n v="21260"/>
    <x v="1"/>
    <x v="0"/>
    <n v="40000"/>
    <x v="0"/>
    <n v="0"/>
    <x v="2"/>
    <x v="0"/>
    <s v="Yes"/>
    <n v="2"/>
    <x v="2"/>
    <x v="2"/>
    <n v="30"/>
    <x v="2"/>
    <x v="0"/>
    <x v="0"/>
    <n v="1"/>
    <n v="0"/>
  </r>
  <r>
    <n v="11817"/>
    <x v="1"/>
    <x v="0"/>
    <n v="70000"/>
    <x v="1"/>
    <n v="4"/>
    <x v="4"/>
    <x v="2"/>
    <s v="Yes"/>
    <n v="0"/>
    <x v="1"/>
    <x v="2"/>
    <n v="35"/>
    <x v="2"/>
    <x v="1"/>
    <x v="1"/>
    <n v="1"/>
    <n v="70000"/>
  </r>
  <r>
    <n v="19223"/>
    <x v="0"/>
    <x v="0"/>
    <n v="30000"/>
    <x v="0"/>
    <n v="2"/>
    <x v="2"/>
    <x v="0"/>
    <s v="Yes"/>
    <n v="2"/>
    <x v="3"/>
    <x v="2"/>
    <n v="48"/>
    <x v="0"/>
    <x v="0"/>
    <x v="0"/>
    <n v="1"/>
    <n v="0"/>
  </r>
  <r>
    <n v="18517"/>
    <x v="0"/>
    <x v="1"/>
    <n v="100000"/>
    <x v="1"/>
    <n v="3"/>
    <x v="0"/>
    <x v="4"/>
    <s v="Yes"/>
    <n v="4"/>
    <x v="0"/>
    <x v="2"/>
    <n v="41"/>
    <x v="0"/>
    <x v="0"/>
    <x v="0"/>
    <n v="1"/>
    <n v="0"/>
  </r>
  <r>
    <n v="21717"/>
    <x v="0"/>
    <x v="1"/>
    <n v="40000"/>
    <x v="0"/>
    <n v="2"/>
    <x v="1"/>
    <x v="1"/>
    <s v="Yes"/>
    <n v="1"/>
    <x v="0"/>
    <x v="2"/>
    <n v="47"/>
    <x v="0"/>
    <x v="0"/>
    <x v="0"/>
    <n v="1"/>
    <n v="0"/>
  </r>
  <r>
    <n v="13760"/>
    <x v="0"/>
    <x v="1"/>
    <n v="60000"/>
    <x v="0"/>
    <n v="4"/>
    <x v="4"/>
    <x v="0"/>
    <s v="No"/>
    <n v="0"/>
    <x v="0"/>
    <x v="2"/>
    <n v="47"/>
    <x v="0"/>
    <x v="0"/>
    <x v="0"/>
    <n v="1"/>
    <n v="0"/>
  </r>
  <r>
    <n v="18145"/>
    <x v="0"/>
    <x v="1"/>
    <n v="80000"/>
    <x v="1"/>
    <n v="5"/>
    <x v="0"/>
    <x v="4"/>
    <s v="No"/>
    <n v="2"/>
    <x v="1"/>
    <x v="0"/>
    <n v="62"/>
    <x v="1"/>
    <x v="0"/>
    <x v="0"/>
    <n v="1"/>
    <n v="0"/>
  </r>
  <r>
    <n v="21770"/>
    <x v="0"/>
    <x v="1"/>
    <n v="60000"/>
    <x v="0"/>
    <n v="4"/>
    <x v="0"/>
    <x v="4"/>
    <s v="Yes"/>
    <n v="2"/>
    <x v="4"/>
    <x v="2"/>
    <n v="60"/>
    <x v="1"/>
    <x v="0"/>
    <x v="0"/>
    <n v="1"/>
    <n v="0"/>
  </r>
  <r>
    <n v="11165"/>
    <x v="0"/>
    <x v="0"/>
    <n v="60000"/>
    <x v="0"/>
    <n v="0"/>
    <x v="1"/>
    <x v="0"/>
    <s v="No"/>
    <n v="1"/>
    <x v="3"/>
    <x v="2"/>
    <n v="33"/>
    <x v="2"/>
    <x v="0"/>
    <x v="0"/>
    <n v="1"/>
    <n v="0"/>
  </r>
  <r>
    <n v="16377"/>
    <x v="1"/>
    <x v="0"/>
    <n v="80000"/>
    <x v="1"/>
    <n v="4"/>
    <x v="4"/>
    <x v="0"/>
    <s v="No"/>
    <n v="0"/>
    <x v="0"/>
    <x v="2"/>
    <n v="47"/>
    <x v="0"/>
    <x v="0"/>
    <x v="0"/>
    <n v="1"/>
    <n v="0"/>
  </r>
  <r>
    <n v="26248"/>
    <x v="0"/>
    <x v="1"/>
    <n v="20000"/>
    <x v="0"/>
    <n v="3"/>
    <x v="3"/>
    <x v="1"/>
    <s v="No"/>
    <n v="2"/>
    <x v="0"/>
    <x v="2"/>
    <n v="52"/>
    <x v="0"/>
    <x v="0"/>
    <x v="0"/>
    <n v="1"/>
    <n v="0"/>
  </r>
  <r>
    <n v="23461"/>
    <x v="0"/>
    <x v="0"/>
    <n v="90000"/>
    <x v="1"/>
    <n v="5"/>
    <x v="1"/>
    <x v="2"/>
    <s v="Yes"/>
    <n v="3"/>
    <x v="1"/>
    <x v="2"/>
    <n v="40"/>
    <x v="0"/>
    <x v="0"/>
    <x v="0"/>
    <n v="1"/>
    <n v="0"/>
  </r>
  <r>
    <n v="29133"/>
    <x v="1"/>
    <x v="0"/>
    <n v="60000"/>
    <x v="0"/>
    <n v="4"/>
    <x v="0"/>
    <x v="0"/>
    <s v="No"/>
    <n v="2"/>
    <x v="0"/>
    <x v="2"/>
    <n v="42"/>
    <x v="0"/>
    <x v="0"/>
    <x v="0"/>
    <n v="1"/>
    <n v="0"/>
  </r>
  <r>
    <n v="27673"/>
    <x v="1"/>
    <x v="0"/>
    <n v="60000"/>
    <x v="0"/>
    <n v="3"/>
    <x v="4"/>
    <x v="4"/>
    <s v="Yes"/>
    <n v="2"/>
    <x v="2"/>
    <x v="2"/>
    <n v="53"/>
    <x v="0"/>
    <x v="1"/>
    <x v="1"/>
    <n v="1"/>
    <n v="60000"/>
  </r>
  <r>
    <n v="12774"/>
    <x v="0"/>
    <x v="0"/>
    <n v="40000"/>
    <x v="0"/>
    <n v="1"/>
    <x v="1"/>
    <x v="1"/>
    <s v="Yes"/>
    <n v="1"/>
    <x v="3"/>
    <x v="2"/>
    <n v="51"/>
    <x v="0"/>
    <x v="1"/>
    <x v="1"/>
    <n v="1"/>
    <n v="40000"/>
  </r>
  <r>
    <n v="18910"/>
    <x v="1"/>
    <x v="1"/>
    <n v="30000"/>
    <x v="0"/>
    <n v="0"/>
    <x v="1"/>
    <x v="0"/>
    <s v="Yes"/>
    <n v="2"/>
    <x v="2"/>
    <x v="2"/>
    <n v="30"/>
    <x v="2"/>
    <x v="0"/>
    <x v="0"/>
    <n v="1"/>
    <n v="0"/>
  </r>
  <r>
    <n v="11699"/>
    <x v="1"/>
    <x v="1"/>
    <n v="60000"/>
    <x v="0"/>
    <n v="0"/>
    <x v="0"/>
    <x v="0"/>
    <s v="No"/>
    <n v="2"/>
    <x v="0"/>
    <x v="2"/>
    <n v="30"/>
    <x v="2"/>
    <x v="0"/>
    <x v="0"/>
    <n v="1"/>
    <n v="0"/>
  </r>
  <r>
    <n v="16725"/>
    <x v="0"/>
    <x v="1"/>
    <n v="30000"/>
    <x v="0"/>
    <n v="0"/>
    <x v="2"/>
    <x v="0"/>
    <s v="Yes"/>
    <n v="2"/>
    <x v="2"/>
    <x v="2"/>
    <n v="26"/>
    <x v="3"/>
    <x v="0"/>
    <x v="0"/>
    <n v="1"/>
    <n v="0"/>
  </r>
  <r>
    <n v="28269"/>
    <x v="1"/>
    <x v="0"/>
    <n v="130000"/>
    <x v="2"/>
    <n v="1"/>
    <x v="0"/>
    <x v="4"/>
    <s v="No"/>
    <n v="1"/>
    <x v="1"/>
    <x v="2"/>
    <n v="45"/>
    <x v="0"/>
    <x v="0"/>
    <x v="0"/>
    <n v="1"/>
    <n v="0"/>
  </r>
  <r>
    <n v="23144"/>
    <x v="0"/>
    <x v="1"/>
    <n v="50000"/>
    <x v="0"/>
    <n v="1"/>
    <x v="0"/>
    <x v="0"/>
    <s v="Yes"/>
    <n v="0"/>
    <x v="0"/>
    <x v="2"/>
    <n v="34"/>
    <x v="2"/>
    <x v="1"/>
    <x v="1"/>
    <n v="1"/>
    <n v="50000"/>
  </r>
  <r>
    <n v="23376"/>
    <x v="0"/>
    <x v="1"/>
    <n v="70000"/>
    <x v="1"/>
    <n v="1"/>
    <x v="0"/>
    <x v="2"/>
    <s v="Yes"/>
    <n v="1"/>
    <x v="1"/>
    <x v="2"/>
    <n v="44"/>
    <x v="0"/>
    <x v="1"/>
    <x v="1"/>
    <n v="1"/>
    <n v="70000"/>
  </r>
  <r>
    <n v="25970"/>
    <x v="1"/>
    <x v="0"/>
    <n v="60000"/>
    <x v="0"/>
    <n v="4"/>
    <x v="0"/>
    <x v="0"/>
    <s v="No"/>
    <n v="2"/>
    <x v="0"/>
    <x v="2"/>
    <n v="41"/>
    <x v="0"/>
    <x v="1"/>
    <x v="1"/>
    <n v="1"/>
    <n v="60000"/>
  </r>
  <r>
    <n v="28068"/>
    <x v="1"/>
    <x v="0"/>
    <n v="80000"/>
    <x v="1"/>
    <n v="3"/>
    <x v="4"/>
    <x v="2"/>
    <s v="No"/>
    <n v="0"/>
    <x v="0"/>
    <x v="2"/>
    <n v="36"/>
    <x v="2"/>
    <x v="1"/>
    <x v="1"/>
    <n v="1"/>
    <n v="80000"/>
  </r>
  <r>
    <n v="18390"/>
    <x v="0"/>
    <x v="1"/>
    <n v="80000"/>
    <x v="1"/>
    <n v="5"/>
    <x v="1"/>
    <x v="2"/>
    <s v="Yes"/>
    <n v="2"/>
    <x v="0"/>
    <x v="2"/>
    <n v="44"/>
    <x v="0"/>
    <x v="0"/>
    <x v="0"/>
    <n v="1"/>
    <n v="0"/>
  </r>
  <r>
    <n v="29112"/>
    <x v="1"/>
    <x v="1"/>
    <n v="60000"/>
    <x v="0"/>
    <n v="0"/>
    <x v="1"/>
    <x v="2"/>
    <s v="No"/>
    <n v="2"/>
    <x v="3"/>
    <x v="2"/>
    <n v="30"/>
    <x v="2"/>
    <x v="0"/>
    <x v="0"/>
    <n v="1"/>
    <n v="0"/>
  </r>
  <r>
    <n v="14090"/>
    <x v="0"/>
    <x v="0"/>
    <n v="30000"/>
    <x v="0"/>
    <n v="0"/>
    <x v="3"/>
    <x v="1"/>
    <s v="No"/>
    <n v="2"/>
    <x v="0"/>
    <x v="2"/>
    <n v="28"/>
    <x v="3"/>
    <x v="0"/>
    <x v="0"/>
    <n v="1"/>
    <n v="0"/>
  </r>
  <r>
    <n v="27040"/>
    <x v="0"/>
    <x v="1"/>
    <n v="20000"/>
    <x v="0"/>
    <n v="2"/>
    <x v="3"/>
    <x v="1"/>
    <s v="Yes"/>
    <n v="2"/>
    <x v="3"/>
    <x v="2"/>
    <n v="49"/>
    <x v="0"/>
    <x v="0"/>
    <x v="0"/>
    <n v="1"/>
    <n v="0"/>
  </r>
  <r>
    <n v="23479"/>
    <x v="1"/>
    <x v="1"/>
    <n v="90000"/>
    <x v="1"/>
    <n v="0"/>
    <x v="1"/>
    <x v="2"/>
    <s v="No"/>
    <n v="2"/>
    <x v="0"/>
    <x v="2"/>
    <n v="43"/>
    <x v="0"/>
    <x v="1"/>
    <x v="1"/>
    <n v="1"/>
    <n v="90000"/>
  </r>
  <r>
    <n v="16795"/>
    <x v="0"/>
    <x v="0"/>
    <n v="70000"/>
    <x v="1"/>
    <n v="4"/>
    <x v="0"/>
    <x v="4"/>
    <s v="Yes"/>
    <n v="1"/>
    <x v="3"/>
    <x v="2"/>
    <n v="59"/>
    <x v="0"/>
    <x v="0"/>
    <x v="0"/>
    <n v="1"/>
    <n v="0"/>
  </r>
  <r>
    <n v="22014"/>
    <x v="1"/>
    <x v="1"/>
    <n v="30000"/>
    <x v="0"/>
    <n v="0"/>
    <x v="2"/>
    <x v="0"/>
    <s v="Yes"/>
    <n v="2"/>
    <x v="2"/>
    <x v="2"/>
    <n v="26"/>
    <x v="3"/>
    <x v="0"/>
    <x v="0"/>
    <n v="1"/>
    <n v="0"/>
  </r>
  <r>
    <n v="13314"/>
    <x v="0"/>
    <x v="1"/>
    <n v="120000"/>
    <x v="1"/>
    <n v="1"/>
    <x v="2"/>
    <x v="2"/>
    <s v="Yes"/>
    <n v="4"/>
    <x v="2"/>
    <x v="2"/>
    <n v="46"/>
    <x v="0"/>
    <x v="1"/>
    <x v="1"/>
    <n v="1"/>
    <n v="120000"/>
  </r>
  <r>
    <n v="11619"/>
    <x v="1"/>
    <x v="0"/>
    <n v="50000"/>
    <x v="0"/>
    <n v="0"/>
    <x v="4"/>
    <x v="0"/>
    <s v="Yes"/>
    <n v="0"/>
    <x v="3"/>
    <x v="2"/>
    <n v="33"/>
    <x v="2"/>
    <x v="0"/>
    <x v="0"/>
    <n v="1"/>
    <n v="0"/>
  </r>
  <r>
    <n v="29132"/>
    <x v="1"/>
    <x v="0"/>
    <n v="40000"/>
    <x v="0"/>
    <n v="0"/>
    <x v="0"/>
    <x v="2"/>
    <s v="Yes"/>
    <n v="1"/>
    <x v="1"/>
    <x v="2"/>
    <n v="42"/>
    <x v="0"/>
    <x v="1"/>
    <x v="1"/>
    <n v="1"/>
    <n v="40000"/>
  </r>
  <r>
    <n v="11199"/>
    <x v="0"/>
    <x v="0"/>
    <n v="70000"/>
    <x v="1"/>
    <n v="4"/>
    <x v="0"/>
    <x v="4"/>
    <s v="Yes"/>
    <n v="1"/>
    <x v="4"/>
    <x v="2"/>
    <n v="59"/>
    <x v="0"/>
    <x v="0"/>
    <x v="0"/>
    <n v="1"/>
    <n v="0"/>
  </r>
  <r>
    <n v="20296"/>
    <x v="1"/>
    <x v="0"/>
    <n v="60000"/>
    <x v="0"/>
    <n v="0"/>
    <x v="1"/>
    <x v="0"/>
    <s v="No"/>
    <n v="1"/>
    <x v="3"/>
    <x v="2"/>
    <n v="33"/>
    <x v="2"/>
    <x v="1"/>
    <x v="1"/>
    <n v="1"/>
    <n v="60000"/>
  </r>
  <r>
    <n v="17546"/>
    <x v="0"/>
    <x v="0"/>
    <n v="70000"/>
    <x v="1"/>
    <n v="1"/>
    <x v="1"/>
    <x v="0"/>
    <s v="Yes"/>
    <n v="1"/>
    <x v="0"/>
    <x v="2"/>
    <n v="44"/>
    <x v="0"/>
    <x v="1"/>
    <x v="1"/>
    <n v="1"/>
    <n v="70000"/>
  </r>
  <r>
    <n v="18069"/>
    <x v="0"/>
    <x v="1"/>
    <n v="70000"/>
    <x v="1"/>
    <n v="5"/>
    <x v="0"/>
    <x v="4"/>
    <s v="Yes"/>
    <n v="4"/>
    <x v="4"/>
    <x v="2"/>
    <n v="60"/>
    <x v="1"/>
    <x v="0"/>
    <x v="0"/>
    <n v="1"/>
    <n v="0"/>
  </r>
  <r>
    <n v="23712"/>
    <x v="1"/>
    <x v="0"/>
    <n v="70000"/>
    <x v="1"/>
    <n v="2"/>
    <x v="0"/>
    <x v="4"/>
    <s v="Yes"/>
    <n v="1"/>
    <x v="4"/>
    <x v="2"/>
    <n v="59"/>
    <x v="0"/>
    <x v="0"/>
    <x v="0"/>
    <n v="1"/>
    <n v="0"/>
  </r>
  <r>
    <n v="23358"/>
    <x v="0"/>
    <x v="1"/>
    <n v="60000"/>
    <x v="0"/>
    <n v="0"/>
    <x v="2"/>
    <x v="2"/>
    <s v="Yes"/>
    <n v="2"/>
    <x v="2"/>
    <x v="2"/>
    <n v="32"/>
    <x v="2"/>
    <x v="1"/>
    <x v="1"/>
    <n v="1"/>
    <n v="60000"/>
  </r>
  <r>
    <n v="20518"/>
    <x v="0"/>
    <x v="0"/>
    <n v="70000"/>
    <x v="1"/>
    <n v="2"/>
    <x v="1"/>
    <x v="2"/>
    <s v="Yes"/>
    <n v="1"/>
    <x v="4"/>
    <x v="2"/>
    <n v="58"/>
    <x v="0"/>
    <x v="0"/>
    <x v="0"/>
    <n v="1"/>
    <n v="0"/>
  </r>
  <r>
    <n v="28026"/>
    <x v="0"/>
    <x v="0"/>
    <n v="40000"/>
    <x v="0"/>
    <n v="2"/>
    <x v="2"/>
    <x v="2"/>
    <s v="No"/>
    <n v="2"/>
    <x v="1"/>
    <x v="2"/>
    <n v="59"/>
    <x v="0"/>
    <x v="0"/>
    <x v="0"/>
    <n v="1"/>
    <n v="0"/>
  </r>
  <r>
    <n v="11669"/>
    <x v="1"/>
    <x v="0"/>
    <n v="70000"/>
    <x v="1"/>
    <n v="2"/>
    <x v="0"/>
    <x v="0"/>
    <s v="Yes"/>
    <n v="1"/>
    <x v="1"/>
    <x v="2"/>
    <n v="38"/>
    <x v="2"/>
    <x v="0"/>
    <x v="0"/>
    <n v="1"/>
    <n v="0"/>
  </r>
  <r>
    <n v="16020"/>
    <x v="0"/>
    <x v="1"/>
    <n v="40000"/>
    <x v="0"/>
    <n v="0"/>
    <x v="2"/>
    <x v="0"/>
    <s v="Yes"/>
    <n v="2"/>
    <x v="2"/>
    <x v="2"/>
    <n v="28"/>
    <x v="3"/>
    <x v="1"/>
    <x v="1"/>
    <n v="1"/>
    <n v="40000"/>
  </r>
  <r>
    <n v="27090"/>
    <x v="0"/>
    <x v="0"/>
    <n v="60000"/>
    <x v="0"/>
    <n v="1"/>
    <x v="4"/>
    <x v="2"/>
    <s v="Yes"/>
    <n v="0"/>
    <x v="1"/>
    <x v="2"/>
    <n v="37"/>
    <x v="2"/>
    <x v="1"/>
    <x v="1"/>
    <n v="1"/>
    <n v="60000"/>
  </r>
  <r>
    <n v="27198"/>
    <x v="1"/>
    <x v="0"/>
    <n v="80000"/>
    <x v="1"/>
    <n v="0"/>
    <x v="4"/>
    <x v="0"/>
    <s v="No"/>
    <n v="0"/>
    <x v="0"/>
    <x v="2"/>
    <n v="40"/>
    <x v="0"/>
    <x v="0"/>
    <x v="0"/>
    <n v="1"/>
    <n v="0"/>
  </r>
  <r>
    <n v="19661"/>
    <x v="1"/>
    <x v="1"/>
    <n v="90000"/>
    <x v="1"/>
    <n v="4"/>
    <x v="0"/>
    <x v="4"/>
    <s v="Yes"/>
    <n v="1"/>
    <x v="3"/>
    <x v="2"/>
    <n v="38"/>
    <x v="2"/>
    <x v="1"/>
    <x v="1"/>
    <n v="1"/>
    <n v="90000"/>
  </r>
  <r>
    <n v="26327"/>
    <x v="0"/>
    <x v="1"/>
    <n v="70000"/>
    <x v="1"/>
    <n v="4"/>
    <x v="4"/>
    <x v="2"/>
    <s v="Yes"/>
    <n v="0"/>
    <x v="1"/>
    <x v="2"/>
    <n v="36"/>
    <x v="2"/>
    <x v="1"/>
    <x v="1"/>
    <n v="1"/>
    <n v="70000"/>
  </r>
  <r>
    <n v="26341"/>
    <x v="0"/>
    <x v="0"/>
    <n v="70000"/>
    <x v="1"/>
    <n v="5"/>
    <x v="4"/>
    <x v="2"/>
    <s v="Yes"/>
    <n v="2"/>
    <x v="0"/>
    <x v="2"/>
    <n v="37"/>
    <x v="2"/>
    <x v="0"/>
    <x v="0"/>
    <n v="1"/>
    <n v="0"/>
  </r>
  <r>
    <n v="24958"/>
    <x v="1"/>
    <x v="0"/>
    <n v="40000"/>
    <x v="0"/>
    <n v="5"/>
    <x v="2"/>
    <x v="2"/>
    <s v="No"/>
    <n v="3"/>
    <x v="1"/>
    <x v="2"/>
    <n v="60"/>
    <x v="1"/>
    <x v="1"/>
    <x v="1"/>
    <n v="1"/>
    <n v="40000"/>
  </r>
  <r>
    <n v="13287"/>
    <x v="1"/>
    <x v="1"/>
    <n v="110000"/>
    <x v="1"/>
    <n v="4"/>
    <x v="0"/>
    <x v="4"/>
    <s v="Yes"/>
    <n v="4"/>
    <x v="2"/>
    <x v="2"/>
    <n v="42"/>
    <x v="0"/>
    <x v="1"/>
    <x v="1"/>
    <n v="1"/>
    <n v="110000"/>
  </r>
  <r>
    <n v="14493"/>
    <x v="1"/>
    <x v="0"/>
    <n v="70000"/>
    <x v="1"/>
    <n v="3"/>
    <x v="4"/>
    <x v="4"/>
    <s v="No"/>
    <n v="2"/>
    <x v="3"/>
    <x v="2"/>
    <n v="53"/>
    <x v="0"/>
    <x v="0"/>
    <x v="0"/>
    <n v="1"/>
    <n v="0"/>
  </r>
  <r>
    <n v="26678"/>
    <x v="1"/>
    <x v="0"/>
    <n v="80000"/>
    <x v="1"/>
    <n v="2"/>
    <x v="3"/>
    <x v="0"/>
    <s v="Yes"/>
    <n v="2"/>
    <x v="2"/>
    <x v="2"/>
    <n v="49"/>
    <x v="0"/>
    <x v="0"/>
    <x v="0"/>
    <n v="1"/>
    <n v="0"/>
  </r>
  <r>
    <n v="23275"/>
    <x v="0"/>
    <x v="1"/>
    <n v="30000"/>
    <x v="0"/>
    <n v="2"/>
    <x v="2"/>
    <x v="0"/>
    <s v="Yes"/>
    <n v="2"/>
    <x v="3"/>
    <x v="2"/>
    <n v="49"/>
    <x v="0"/>
    <x v="0"/>
    <x v="0"/>
    <n v="1"/>
    <n v="0"/>
  </r>
  <r>
    <n v="11270"/>
    <x v="0"/>
    <x v="1"/>
    <n v="130000"/>
    <x v="2"/>
    <n v="2"/>
    <x v="4"/>
    <x v="4"/>
    <s v="Yes"/>
    <n v="3"/>
    <x v="0"/>
    <x v="2"/>
    <n v="42"/>
    <x v="0"/>
    <x v="1"/>
    <x v="1"/>
    <n v="1"/>
    <n v="130000"/>
  </r>
  <r>
    <n v="20084"/>
    <x v="0"/>
    <x v="1"/>
    <n v="20000"/>
    <x v="0"/>
    <n v="2"/>
    <x v="2"/>
    <x v="3"/>
    <s v="No"/>
    <n v="2"/>
    <x v="0"/>
    <x v="2"/>
    <n v="53"/>
    <x v="0"/>
    <x v="0"/>
    <x v="0"/>
    <n v="1"/>
    <n v="0"/>
  </r>
  <r>
    <n v="16144"/>
    <x v="0"/>
    <x v="1"/>
    <n v="70000"/>
    <x v="1"/>
    <n v="1"/>
    <x v="4"/>
    <x v="2"/>
    <s v="Yes"/>
    <n v="1"/>
    <x v="0"/>
    <x v="2"/>
    <n v="46"/>
    <x v="0"/>
    <x v="1"/>
    <x v="1"/>
    <n v="1"/>
    <n v="70000"/>
  </r>
  <r>
    <n v="27731"/>
    <x v="0"/>
    <x v="1"/>
    <n v="40000"/>
    <x v="0"/>
    <n v="0"/>
    <x v="2"/>
    <x v="0"/>
    <s v="Yes"/>
    <n v="2"/>
    <x v="2"/>
    <x v="2"/>
    <n v="27"/>
    <x v="3"/>
    <x v="0"/>
    <x v="0"/>
    <n v="1"/>
    <n v="0"/>
  </r>
  <r>
    <n v="11886"/>
    <x v="0"/>
    <x v="0"/>
    <n v="60000"/>
    <x v="0"/>
    <n v="3"/>
    <x v="0"/>
    <x v="2"/>
    <s v="Yes"/>
    <n v="1"/>
    <x v="0"/>
    <x v="2"/>
    <n v="48"/>
    <x v="0"/>
    <x v="1"/>
    <x v="1"/>
    <n v="1"/>
    <n v="60000"/>
  </r>
  <r>
    <n v="24324"/>
    <x v="1"/>
    <x v="0"/>
    <n v="60000"/>
    <x v="0"/>
    <n v="4"/>
    <x v="0"/>
    <x v="0"/>
    <s v="Yes"/>
    <n v="2"/>
    <x v="1"/>
    <x v="2"/>
    <n v="41"/>
    <x v="0"/>
    <x v="1"/>
    <x v="1"/>
    <n v="1"/>
    <n v="60000"/>
  </r>
  <r>
    <n v="22220"/>
    <x v="0"/>
    <x v="1"/>
    <n v="60000"/>
    <x v="0"/>
    <n v="2"/>
    <x v="2"/>
    <x v="2"/>
    <s v="No"/>
    <n v="2"/>
    <x v="3"/>
    <x v="2"/>
    <n v="49"/>
    <x v="0"/>
    <x v="1"/>
    <x v="1"/>
    <n v="1"/>
    <n v="60000"/>
  </r>
  <r>
    <n v="26625"/>
    <x v="1"/>
    <x v="0"/>
    <n v="60000"/>
    <x v="0"/>
    <n v="0"/>
    <x v="4"/>
    <x v="2"/>
    <s v="Yes"/>
    <n v="1"/>
    <x v="1"/>
    <x v="2"/>
    <n v="38"/>
    <x v="2"/>
    <x v="1"/>
    <x v="1"/>
    <n v="1"/>
    <n v="60000"/>
  </r>
  <r>
    <n v="23027"/>
    <x v="1"/>
    <x v="1"/>
    <n v="130000"/>
    <x v="2"/>
    <n v="1"/>
    <x v="0"/>
    <x v="4"/>
    <s v="No"/>
    <n v="4"/>
    <x v="0"/>
    <x v="2"/>
    <n v="44"/>
    <x v="0"/>
    <x v="0"/>
    <x v="0"/>
    <n v="1"/>
    <n v="0"/>
  </r>
  <r>
    <n v="16867"/>
    <x v="1"/>
    <x v="0"/>
    <n v="130000"/>
    <x v="2"/>
    <n v="1"/>
    <x v="0"/>
    <x v="4"/>
    <s v="No"/>
    <n v="3"/>
    <x v="0"/>
    <x v="2"/>
    <n v="45"/>
    <x v="0"/>
    <x v="1"/>
    <x v="1"/>
    <n v="1"/>
    <n v="130000"/>
  </r>
  <r>
    <n v="14514"/>
    <x v="1"/>
    <x v="0"/>
    <n v="30000"/>
    <x v="0"/>
    <n v="0"/>
    <x v="1"/>
    <x v="0"/>
    <s v="Yes"/>
    <n v="1"/>
    <x v="2"/>
    <x v="2"/>
    <n v="26"/>
    <x v="3"/>
    <x v="0"/>
    <x v="0"/>
    <n v="1"/>
    <n v="0"/>
  </r>
  <r>
    <n v="19634"/>
    <x v="0"/>
    <x v="1"/>
    <n v="40000"/>
    <x v="0"/>
    <n v="0"/>
    <x v="2"/>
    <x v="0"/>
    <s v="Yes"/>
    <n v="1"/>
    <x v="2"/>
    <x v="2"/>
    <n v="31"/>
    <x v="2"/>
    <x v="0"/>
    <x v="0"/>
    <n v="1"/>
    <n v="0"/>
  </r>
  <r>
    <n v="18504"/>
    <x v="0"/>
    <x v="1"/>
    <n v="70000"/>
    <x v="1"/>
    <n v="2"/>
    <x v="3"/>
    <x v="0"/>
    <s v="No"/>
    <n v="2"/>
    <x v="3"/>
    <x v="2"/>
    <n v="49"/>
    <x v="0"/>
    <x v="0"/>
    <x v="0"/>
    <n v="1"/>
    <n v="0"/>
  </r>
  <r>
    <n v="28799"/>
    <x v="1"/>
    <x v="0"/>
    <n v="40000"/>
    <x v="0"/>
    <n v="2"/>
    <x v="1"/>
    <x v="1"/>
    <s v="No"/>
    <n v="1"/>
    <x v="3"/>
    <x v="2"/>
    <n v="47"/>
    <x v="0"/>
    <x v="1"/>
    <x v="1"/>
    <n v="1"/>
    <n v="40000"/>
  </r>
  <r>
    <n v="11225"/>
    <x v="0"/>
    <x v="0"/>
    <n v="60000"/>
    <x v="0"/>
    <n v="2"/>
    <x v="1"/>
    <x v="2"/>
    <s v="Yes"/>
    <n v="1"/>
    <x v="4"/>
    <x v="2"/>
    <n v="55"/>
    <x v="0"/>
    <x v="0"/>
    <x v="0"/>
    <n v="1"/>
    <n v="0"/>
  </r>
  <r>
    <n v="17657"/>
    <x v="0"/>
    <x v="1"/>
    <n v="40000"/>
    <x v="0"/>
    <n v="4"/>
    <x v="1"/>
    <x v="1"/>
    <s v="No"/>
    <n v="0"/>
    <x v="0"/>
    <x v="2"/>
    <n v="30"/>
    <x v="2"/>
    <x v="0"/>
    <x v="0"/>
    <n v="1"/>
    <n v="0"/>
  </r>
  <r>
    <n v="14913"/>
    <x v="0"/>
    <x v="0"/>
    <n v="40000"/>
    <x v="0"/>
    <n v="1"/>
    <x v="1"/>
    <x v="1"/>
    <s v="Yes"/>
    <n v="1"/>
    <x v="3"/>
    <x v="2"/>
    <n v="48"/>
    <x v="0"/>
    <x v="1"/>
    <x v="1"/>
    <n v="1"/>
    <n v="40000"/>
  </r>
  <r>
    <n v="14077"/>
    <x v="1"/>
    <x v="1"/>
    <n v="30000"/>
    <x v="0"/>
    <n v="0"/>
    <x v="2"/>
    <x v="0"/>
    <s v="Yes"/>
    <n v="2"/>
    <x v="2"/>
    <x v="2"/>
    <n v="30"/>
    <x v="2"/>
    <x v="0"/>
    <x v="0"/>
    <n v="1"/>
    <n v="0"/>
  </r>
  <r>
    <n v="13296"/>
    <x v="0"/>
    <x v="1"/>
    <n v="110000"/>
    <x v="1"/>
    <n v="1"/>
    <x v="0"/>
    <x v="4"/>
    <s v="Yes"/>
    <n v="3"/>
    <x v="2"/>
    <x v="2"/>
    <n v="45"/>
    <x v="0"/>
    <x v="0"/>
    <x v="0"/>
    <n v="1"/>
    <n v="0"/>
  </r>
  <r>
    <n v="20535"/>
    <x v="0"/>
    <x v="0"/>
    <n v="70000"/>
    <x v="1"/>
    <n v="4"/>
    <x v="1"/>
    <x v="2"/>
    <s v="Yes"/>
    <n v="1"/>
    <x v="4"/>
    <x v="2"/>
    <n v="56"/>
    <x v="0"/>
    <x v="0"/>
    <x v="0"/>
    <n v="1"/>
    <n v="0"/>
  </r>
  <r>
    <n v="12452"/>
    <x v="0"/>
    <x v="1"/>
    <n v="60000"/>
    <x v="0"/>
    <n v="4"/>
    <x v="4"/>
    <x v="0"/>
    <s v="Yes"/>
    <n v="0"/>
    <x v="3"/>
    <x v="2"/>
    <n v="47"/>
    <x v="0"/>
    <x v="1"/>
    <x v="1"/>
    <n v="1"/>
    <n v="60000"/>
  </r>
  <r>
    <n v="28043"/>
    <x v="0"/>
    <x v="0"/>
    <n v="60000"/>
    <x v="0"/>
    <n v="2"/>
    <x v="0"/>
    <x v="4"/>
    <s v="Yes"/>
    <n v="0"/>
    <x v="4"/>
    <x v="2"/>
    <n v="56"/>
    <x v="0"/>
    <x v="0"/>
    <x v="0"/>
    <n v="1"/>
    <n v="0"/>
  </r>
  <r>
    <n v="12957"/>
    <x v="1"/>
    <x v="0"/>
    <n v="70000"/>
    <x v="1"/>
    <n v="1"/>
    <x v="0"/>
    <x v="2"/>
    <s v="No"/>
    <n v="1"/>
    <x v="0"/>
    <x v="2"/>
    <n v="44"/>
    <x v="0"/>
    <x v="0"/>
    <x v="0"/>
    <n v="1"/>
    <n v="0"/>
  </r>
  <r>
    <n v="15412"/>
    <x v="0"/>
    <x v="1"/>
    <n v="130000"/>
    <x v="2"/>
    <n v="2"/>
    <x v="4"/>
    <x v="4"/>
    <s v="Yes"/>
    <n v="3"/>
    <x v="1"/>
    <x v="2"/>
    <n v="69"/>
    <x v="1"/>
    <x v="0"/>
    <x v="0"/>
    <n v="1"/>
    <n v="0"/>
  </r>
  <r>
    <n v="20514"/>
    <x v="0"/>
    <x v="0"/>
    <n v="70000"/>
    <x v="1"/>
    <n v="2"/>
    <x v="1"/>
    <x v="2"/>
    <s v="Yes"/>
    <n v="1"/>
    <x v="1"/>
    <x v="2"/>
    <n v="59"/>
    <x v="0"/>
    <x v="0"/>
    <x v="0"/>
    <n v="1"/>
    <n v="0"/>
  </r>
  <r>
    <n v="20758"/>
    <x v="0"/>
    <x v="1"/>
    <n v="30000"/>
    <x v="0"/>
    <n v="2"/>
    <x v="2"/>
    <x v="0"/>
    <s v="Yes"/>
    <n v="2"/>
    <x v="3"/>
    <x v="2"/>
    <n v="50"/>
    <x v="0"/>
    <x v="0"/>
    <x v="0"/>
    <n v="1"/>
    <n v="0"/>
  </r>
  <r>
    <n v="11801"/>
    <x v="0"/>
    <x v="1"/>
    <n v="60000"/>
    <x v="0"/>
    <n v="1"/>
    <x v="4"/>
    <x v="2"/>
    <s v="Yes"/>
    <n v="0"/>
    <x v="1"/>
    <x v="2"/>
    <n v="36"/>
    <x v="2"/>
    <x v="0"/>
    <x v="0"/>
    <n v="1"/>
    <n v="0"/>
  </r>
  <r>
    <n v="22211"/>
    <x v="0"/>
    <x v="1"/>
    <n v="60000"/>
    <x v="0"/>
    <n v="0"/>
    <x v="1"/>
    <x v="2"/>
    <s v="Yes"/>
    <n v="2"/>
    <x v="2"/>
    <x v="2"/>
    <n v="32"/>
    <x v="2"/>
    <x v="0"/>
    <x v="0"/>
    <n v="1"/>
    <n v="0"/>
  </r>
  <r>
    <n v="28087"/>
    <x v="1"/>
    <x v="0"/>
    <n v="40000"/>
    <x v="0"/>
    <n v="0"/>
    <x v="1"/>
    <x v="0"/>
    <s v="No"/>
    <n v="1"/>
    <x v="3"/>
    <x v="2"/>
    <n v="27"/>
    <x v="3"/>
    <x v="0"/>
    <x v="0"/>
    <n v="1"/>
    <n v="0"/>
  </r>
  <r>
    <n v="23668"/>
    <x v="0"/>
    <x v="0"/>
    <n v="40000"/>
    <x v="0"/>
    <n v="4"/>
    <x v="2"/>
    <x v="2"/>
    <s v="Yes"/>
    <n v="2"/>
    <x v="2"/>
    <x v="2"/>
    <n v="59"/>
    <x v="0"/>
    <x v="1"/>
    <x v="1"/>
    <n v="1"/>
    <n v="40000"/>
  </r>
  <r>
    <n v="27441"/>
    <x v="0"/>
    <x v="1"/>
    <n v="60000"/>
    <x v="0"/>
    <n v="3"/>
    <x v="2"/>
    <x v="2"/>
    <s v="No"/>
    <n v="2"/>
    <x v="1"/>
    <x v="2"/>
    <n v="53"/>
    <x v="0"/>
    <x v="0"/>
    <x v="0"/>
    <n v="1"/>
    <n v="0"/>
  </r>
  <r>
    <n v="27261"/>
    <x v="0"/>
    <x v="1"/>
    <n v="40000"/>
    <x v="0"/>
    <n v="1"/>
    <x v="0"/>
    <x v="0"/>
    <s v="No"/>
    <n v="1"/>
    <x v="0"/>
    <x v="2"/>
    <n v="36"/>
    <x v="2"/>
    <x v="1"/>
    <x v="1"/>
    <n v="1"/>
    <n v="40000"/>
  </r>
  <r>
    <n v="18649"/>
    <x v="1"/>
    <x v="1"/>
    <n v="30000"/>
    <x v="0"/>
    <n v="1"/>
    <x v="2"/>
    <x v="1"/>
    <s v="Yes"/>
    <n v="2"/>
    <x v="3"/>
    <x v="2"/>
    <n v="51"/>
    <x v="0"/>
    <x v="1"/>
    <x v="1"/>
    <n v="1"/>
    <n v="30000"/>
  </r>
  <r>
    <n v="21714"/>
    <x v="1"/>
    <x v="0"/>
    <n v="80000"/>
    <x v="1"/>
    <n v="5"/>
    <x v="4"/>
    <x v="0"/>
    <s v="No"/>
    <n v="0"/>
    <x v="0"/>
    <x v="2"/>
    <n v="47"/>
    <x v="0"/>
    <x v="0"/>
    <x v="0"/>
    <n v="1"/>
    <n v="0"/>
  </r>
  <r>
    <n v="23217"/>
    <x v="1"/>
    <x v="0"/>
    <n v="60000"/>
    <x v="0"/>
    <n v="3"/>
    <x v="4"/>
    <x v="2"/>
    <s v="Yes"/>
    <n v="0"/>
    <x v="1"/>
    <x v="2"/>
    <n v="43"/>
    <x v="0"/>
    <x v="1"/>
    <x v="1"/>
    <n v="1"/>
    <n v="60000"/>
  </r>
  <r>
    <n v="23797"/>
    <x v="1"/>
    <x v="1"/>
    <n v="20000"/>
    <x v="0"/>
    <n v="3"/>
    <x v="3"/>
    <x v="1"/>
    <s v="No"/>
    <n v="2"/>
    <x v="0"/>
    <x v="2"/>
    <n v="50"/>
    <x v="0"/>
    <x v="0"/>
    <x v="0"/>
    <n v="1"/>
    <n v="0"/>
  </r>
  <r>
    <n v="13216"/>
    <x v="0"/>
    <x v="0"/>
    <n v="60000"/>
    <x v="0"/>
    <n v="5"/>
    <x v="0"/>
    <x v="4"/>
    <s v="Yes"/>
    <n v="3"/>
    <x v="4"/>
    <x v="2"/>
    <n v="59"/>
    <x v="0"/>
    <x v="0"/>
    <x v="0"/>
    <n v="1"/>
    <n v="0"/>
  </r>
  <r>
    <n v="20657"/>
    <x v="1"/>
    <x v="1"/>
    <n v="50000"/>
    <x v="0"/>
    <n v="2"/>
    <x v="0"/>
    <x v="0"/>
    <s v="Yes"/>
    <n v="0"/>
    <x v="1"/>
    <x v="2"/>
    <n v="37"/>
    <x v="2"/>
    <x v="1"/>
    <x v="1"/>
    <n v="1"/>
    <n v="50000"/>
  </r>
  <r>
    <n v="12882"/>
    <x v="0"/>
    <x v="1"/>
    <n v="50000"/>
    <x v="0"/>
    <n v="1"/>
    <x v="4"/>
    <x v="0"/>
    <s v="Yes"/>
    <n v="0"/>
    <x v="0"/>
    <x v="2"/>
    <n v="33"/>
    <x v="2"/>
    <x v="1"/>
    <x v="1"/>
    <n v="1"/>
    <n v="50000"/>
  </r>
  <r>
    <n v="25908"/>
    <x v="0"/>
    <x v="0"/>
    <n v="60000"/>
    <x v="0"/>
    <n v="0"/>
    <x v="1"/>
    <x v="0"/>
    <s v="No"/>
    <n v="1"/>
    <x v="3"/>
    <x v="2"/>
    <n v="27"/>
    <x v="3"/>
    <x v="0"/>
    <x v="0"/>
    <n v="1"/>
    <n v="0"/>
  </r>
  <r>
    <n v="16753"/>
    <x v="1"/>
    <x v="0"/>
    <n v="70000"/>
    <x v="1"/>
    <n v="0"/>
    <x v="1"/>
    <x v="0"/>
    <s v="Yes"/>
    <n v="2"/>
    <x v="2"/>
    <x v="2"/>
    <n v="34"/>
    <x v="2"/>
    <x v="1"/>
    <x v="1"/>
    <n v="1"/>
    <n v="70000"/>
  </r>
  <r>
    <n v="14608"/>
    <x v="0"/>
    <x v="1"/>
    <n v="50000"/>
    <x v="0"/>
    <n v="4"/>
    <x v="0"/>
    <x v="0"/>
    <s v="Yes"/>
    <n v="3"/>
    <x v="4"/>
    <x v="2"/>
    <n v="42"/>
    <x v="0"/>
    <x v="0"/>
    <x v="0"/>
    <n v="1"/>
    <n v="0"/>
  </r>
  <r>
    <n v="24979"/>
    <x v="0"/>
    <x v="0"/>
    <n v="60000"/>
    <x v="0"/>
    <n v="2"/>
    <x v="1"/>
    <x v="2"/>
    <s v="Yes"/>
    <n v="2"/>
    <x v="1"/>
    <x v="2"/>
    <n v="57"/>
    <x v="0"/>
    <x v="1"/>
    <x v="1"/>
    <n v="1"/>
    <n v="60000"/>
  </r>
  <r>
    <n v="13313"/>
    <x v="0"/>
    <x v="0"/>
    <n v="120000"/>
    <x v="1"/>
    <n v="1"/>
    <x v="2"/>
    <x v="2"/>
    <s v="No"/>
    <n v="4"/>
    <x v="1"/>
    <x v="2"/>
    <n v="45"/>
    <x v="0"/>
    <x v="0"/>
    <x v="0"/>
    <n v="1"/>
    <n v="0"/>
  </r>
  <r>
    <n v="18952"/>
    <x v="0"/>
    <x v="0"/>
    <n v="100000"/>
    <x v="1"/>
    <n v="4"/>
    <x v="0"/>
    <x v="4"/>
    <s v="Yes"/>
    <n v="4"/>
    <x v="0"/>
    <x v="2"/>
    <n v="40"/>
    <x v="0"/>
    <x v="0"/>
    <x v="0"/>
    <n v="1"/>
    <n v="0"/>
  </r>
  <r>
    <n v="17699"/>
    <x v="0"/>
    <x v="1"/>
    <n v="60000"/>
    <x v="0"/>
    <n v="1"/>
    <x v="4"/>
    <x v="0"/>
    <s v="No"/>
    <n v="0"/>
    <x v="0"/>
    <x v="2"/>
    <n v="55"/>
    <x v="0"/>
    <x v="0"/>
    <x v="0"/>
    <n v="1"/>
    <n v="0"/>
  </r>
  <r>
    <n v="14657"/>
    <x v="0"/>
    <x v="1"/>
    <n v="80000"/>
    <x v="1"/>
    <n v="1"/>
    <x v="1"/>
    <x v="0"/>
    <s v="No"/>
    <n v="1"/>
    <x v="0"/>
    <x v="2"/>
    <n v="47"/>
    <x v="0"/>
    <x v="1"/>
    <x v="1"/>
    <n v="1"/>
    <n v="80000"/>
  </r>
  <r>
    <n v="11540"/>
    <x v="1"/>
    <x v="1"/>
    <n v="60000"/>
    <x v="0"/>
    <n v="4"/>
    <x v="4"/>
    <x v="0"/>
    <s v="Yes"/>
    <n v="0"/>
    <x v="3"/>
    <x v="2"/>
    <n v="47"/>
    <x v="0"/>
    <x v="1"/>
    <x v="1"/>
    <n v="1"/>
    <n v="60000"/>
  </r>
  <r>
    <n v="11783"/>
    <x v="0"/>
    <x v="0"/>
    <n v="60000"/>
    <x v="0"/>
    <n v="1"/>
    <x v="4"/>
    <x v="0"/>
    <s v="Yes"/>
    <n v="0"/>
    <x v="0"/>
    <x v="2"/>
    <n v="34"/>
    <x v="2"/>
    <x v="0"/>
    <x v="0"/>
    <n v="1"/>
    <n v="0"/>
  </r>
  <r>
    <n v="14602"/>
    <x v="0"/>
    <x v="0"/>
    <n v="80000"/>
    <x v="1"/>
    <n v="3"/>
    <x v="4"/>
    <x v="2"/>
    <s v="Yes"/>
    <n v="0"/>
    <x v="0"/>
    <x v="2"/>
    <n v="36"/>
    <x v="2"/>
    <x v="1"/>
    <x v="1"/>
    <n v="1"/>
    <n v="80000"/>
  </r>
  <r>
    <n v="29030"/>
    <x v="0"/>
    <x v="1"/>
    <n v="70000"/>
    <x v="1"/>
    <n v="2"/>
    <x v="3"/>
    <x v="0"/>
    <s v="Yes"/>
    <n v="2"/>
    <x v="4"/>
    <x v="2"/>
    <n v="54"/>
    <x v="0"/>
    <x v="0"/>
    <x v="0"/>
    <n v="1"/>
    <n v="0"/>
  </r>
  <r>
    <n v="26490"/>
    <x v="1"/>
    <x v="1"/>
    <n v="70000"/>
    <x v="1"/>
    <n v="2"/>
    <x v="0"/>
    <x v="4"/>
    <s v="No"/>
    <n v="1"/>
    <x v="1"/>
    <x v="2"/>
    <n v="59"/>
    <x v="0"/>
    <x v="1"/>
    <x v="1"/>
    <n v="1"/>
    <n v="70000"/>
  </r>
  <r>
    <n v="13151"/>
    <x v="1"/>
    <x v="1"/>
    <n v="40000"/>
    <x v="0"/>
    <n v="0"/>
    <x v="2"/>
    <x v="0"/>
    <s v="Yes"/>
    <n v="2"/>
    <x v="2"/>
    <x v="2"/>
    <n v="27"/>
    <x v="3"/>
    <x v="0"/>
    <x v="0"/>
    <n v="1"/>
    <n v="0"/>
  </r>
  <r>
    <n v="17260"/>
    <x v="0"/>
    <x v="1"/>
    <n v="90000"/>
    <x v="1"/>
    <n v="5"/>
    <x v="1"/>
    <x v="2"/>
    <s v="Yes"/>
    <n v="3"/>
    <x v="0"/>
    <x v="2"/>
    <n v="41"/>
    <x v="0"/>
    <x v="0"/>
    <x v="0"/>
    <n v="1"/>
    <n v="0"/>
  </r>
  <r>
    <n v="15372"/>
    <x v="0"/>
    <x v="1"/>
    <n v="80000"/>
    <x v="1"/>
    <n v="3"/>
    <x v="1"/>
    <x v="2"/>
    <s v="No"/>
    <n v="2"/>
    <x v="1"/>
    <x v="2"/>
    <n v="50"/>
    <x v="0"/>
    <x v="1"/>
    <x v="1"/>
    <n v="1"/>
    <n v="80000"/>
  </r>
  <r>
    <n v="18105"/>
    <x v="0"/>
    <x v="0"/>
    <n v="60000"/>
    <x v="0"/>
    <n v="2"/>
    <x v="1"/>
    <x v="2"/>
    <s v="Yes"/>
    <n v="1"/>
    <x v="4"/>
    <x v="2"/>
    <n v="55"/>
    <x v="0"/>
    <x v="0"/>
    <x v="0"/>
    <n v="1"/>
    <n v="0"/>
  </r>
  <r>
    <n v="19660"/>
    <x v="0"/>
    <x v="1"/>
    <n v="80000"/>
    <x v="1"/>
    <n v="4"/>
    <x v="0"/>
    <x v="4"/>
    <s v="Yes"/>
    <n v="0"/>
    <x v="0"/>
    <x v="2"/>
    <n v="43"/>
    <x v="0"/>
    <x v="0"/>
    <x v="0"/>
    <n v="1"/>
    <n v="0"/>
  </r>
  <r>
    <n v="16112"/>
    <x v="1"/>
    <x v="1"/>
    <n v="70000"/>
    <x v="1"/>
    <n v="4"/>
    <x v="0"/>
    <x v="2"/>
    <s v="Yes"/>
    <n v="2"/>
    <x v="1"/>
    <x v="2"/>
    <n v="43"/>
    <x v="0"/>
    <x v="1"/>
    <x v="1"/>
    <n v="1"/>
    <n v="70000"/>
  </r>
  <r>
    <n v="20698"/>
    <x v="0"/>
    <x v="1"/>
    <n v="60000"/>
    <x v="0"/>
    <n v="4"/>
    <x v="0"/>
    <x v="0"/>
    <s v="Yes"/>
    <n v="3"/>
    <x v="2"/>
    <x v="2"/>
    <n v="42"/>
    <x v="0"/>
    <x v="0"/>
    <x v="0"/>
    <n v="1"/>
    <n v="0"/>
  </r>
  <r>
    <n v="20076"/>
    <x v="1"/>
    <x v="0"/>
    <n v="10000"/>
    <x v="0"/>
    <n v="2"/>
    <x v="2"/>
    <x v="3"/>
    <s v="Yes"/>
    <n v="2"/>
    <x v="3"/>
    <x v="2"/>
    <n v="53"/>
    <x v="0"/>
    <x v="1"/>
    <x v="1"/>
    <n v="1"/>
    <n v="10000"/>
  </r>
  <r>
    <n v="24496"/>
    <x v="1"/>
    <x v="0"/>
    <n v="40000"/>
    <x v="0"/>
    <n v="0"/>
    <x v="2"/>
    <x v="0"/>
    <s v="No"/>
    <n v="2"/>
    <x v="0"/>
    <x v="2"/>
    <n v="28"/>
    <x v="3"/>
    <x v="1"/>
    <x v="1"/>
    <n v="1"/>
    <n v="40000"/>
  </r>
  <r>
    <n v="15468"/>
    <x v="0"/>
    <x v="0"/>
    <n v="50000"/>
    <x v="0"/>
    <n v="1"/>
    <x v="0"/>
    <x v="0"/>
    <s v="Yes"/>
    <n v="1"/>
    <x v="0"/>
    <x v="2"/>
    <n v="35"/>
    <x v="2"/>
    <x v="0"/>
    <x v="0"/>
    <n v="1"/>
    <n v="0"/>
  </r>
  <r>
    <n v="28031"/>
    <x v="1"/>
    <x v="0"/>
    <n v="70000"/>
    <x v="1"/>
    <n v="2"/>
    <x v="0"/>
    <x v="4"/>
    <s v="No"/>
    <n v="1"/>
    <x v="1"/>
    <x v="2"/>
    <n v="59"/>
    <x v="0"/>
    <x v="1"/>
    <x v="1"/>
    <n v="1"/>
    <n v="70000"/>
  </r>
  <r>
    <n v="26270"/>
    <x v="1"/>
    <x v="0"/>
    <n v="20000"/>
    <x v="0"/>
    <n v="2"/>
    <x v="3"/>
    <x v="1"/>
    <s v="Yes"/>
    <n v="2"/>
    <x v="3"/>
    <x v="2"/>
    <n v="49"/>
    <x v="0"/>
    <x v="0"/>
    <x v="0"/>
    <n v="1"/>
    <n v="0"/>
  </r>
  <r>
    <n v="22221"/>
    <x v="0"/>
    <x v="1"/>
    <n v="60000"/>
    <x v="0"/>
    <n v="2"/>
    <x v="2"/>
    <x v="2"/>
    <s v="No"/>
    <n v="2"/>
    <x v="3"/>
    <x v="2"/>
    <n v="48"/>
    <x v="0"/>
    <x v="1"/>
    <x v="1"/>
    <n v="1"/>
    <n v="60000"/>
  </r>
  <r>
    <n v="28228"/>
    <x v="1"/>
    <x v="0"/>
    <n v="80000"/>
    <x v="1"/>
    <n v="2"/>
    <x v="3"/>
    <x v="0"/>
    <s v="No"/>
    <n v="2"/>
    <x v="3"/>
    <x v="2"/>
    <n v="50"/>
    <x v="0"/>
    <x v="0"/>
    <x v="0"/>
    <n v="1"/>
    <n v="0"/>
  </r>
  <r>
    <n v="18363"/>
    <x v="0"/>
    <x v="1"/>
    <n v="40000"/>
    <x v="0"/>
    <n v="0"/>
    <x v="2"/>
    <x v="0"/>
    <s v="Yes"/>
    <n v="2"/>
    <x v="2"/>
    <x v="2"/>
    <n v="28"/>
    <x v="3"/>
    <x v="1"/>
    <x v="1"/>
    <n v="1"/>
    <n v="40000"/>
  </r>
  <r>
    <n v="23256"/>
    <x v="1"/>
    <x v="1"/>
    <n v="30000"/>
    <x v="0"/>
    <n v="1"/>
    <x v="2"/>
    <x v="1"/>
    <s v="No"/>
    <n v="1"/>
    <x v="2"/>
    <x v="2"/>
    <n v="52"/>
    <x v="0"/>
    <x v="0"/>
    <x v="0"/>
    <n v="1"/>
    <n v="0"/>
  </r>
  <r>
    <n v="12768"/>
    <x v="0"/>
    <x v="1"/>
    <n v="30000"/>
    <x v="0"/>
    <n v="1"/>
    <x v="2"/>
    <x v="1"/>
    <s v="Yes"/>
    <n v="1"/>
    <x v="1"/>
    <x v="2"/>
    <n v="52"/>
    <x v="0"/>
    <x v="1"/>
    <x v="1"/>
    <n v="1"/>
    <n v="30000"/>
  </r>
  <r>
    <n v="20361"/>
    <x v="0"/>
    <x v="1"/>
    <n v="50000"/>
    <x v="0"/>
    <n v="2"/>
    <x v="4"/>
    <x v="4"/>
    <s v="Yes"/>
    <n v="2"/>
    <x v="2"/>
    <x v="2"/>
    <n v="69"/>
    <x v="1"/>
    <x v="0"/>
    <x v="0"/>
    <n v="1"/>
    <n v="0"/>
  </r>
  <r>
    <n v="21306"/>
    <x v="1"/>
    <x v="1"/>
    <n v="60000"/>
    <x v="0"/>
    <n v="2"/>
    <x v="2"/>
    <x v="2"/>
    <s v="Yes"/>
    <n v="2"/>
    <x v="2"/>
    <x v="2"/>
    <n v="51"/>
    <x v="0"/>
    <x v="0"/>
    <x v="0"/>
    <n v="1"/>
    <n v="0"/>
  </r>
  <r>
    <n v="13382"/>
    <x v="0"/>
    <x v="1"/>
    <n v="70000"/>
    <x v="1"/>
    <n v="5"/>
    <x v="1"/>
    <x v="2"/>
    <s v="Yes"/>
    <n v="2"/>
    <x v="3"/>
    <x v="2"/>
    <n v="57"/>
    <x v="0"/>
    <x v="1"/>
    <x v="1"/>
    <n v="1"/>
    <n v="70000"/>
  </r>
  <r>
    <n v="20310"/>
    <x v="1"/>
    <x v="1"/>
    <n v="60000"/>
    <x v="0"/>
    <n v="0"/>
    <x v="1"/>
    <x v="0"/>
    <s v="Yes"/>
    <n v="1"/>
    <x v="2"/>
    <x v="2"/>
    <n v="27"/>
    <x v="3"/>
    <x v="1"/>
    <x v="1"/>
    <n v="1"/>
    <n v="60000"/>
  </r>
  <r>
    <n v="22971"/>
    <x v="1"/>
    <x v="0"/>
    <n v="30000"/>
    <x v="0"/>
    <n v="0"/>
    <x v="2"/>
    <x v="0"/>
    <s v="No"/>
    <n v="2"/>
    <x v="0"/>
    <x v="2"/>
    <n v="25"/>
    <x v="3"/>
    <x v="1"/>
    <x v="1"/>
    <n v="1"/>
    <n v="30000"/>
  </r>
  <r>
    <n v="15287"/>
    <x v="1"/>
    <x v="0"/>
    <n v="50000"/>
    <x v="0"/>
    <n v="1"/>
    <x v="4"/>
    <x v="0"/>
    <s v="Yes"/>
    <n v="0"/>
    <x v="3"/>
    <x v="2"/>
    <n v="33"/>
    <x v="2"/>
    <x v="1"/>
    <x v="1"/>
    <n v="1"/>
    <n v="50000"/>
  </r>
  <r>
    <n v="15532"/>
    <x v="1"/>
    <x v="1"/>
    <n v="60000"/>
    <x v="0"/>
    <n v="4"/>
    <x v="0"/>
    <x v="2"/>
    <s v="Yes"/>
    <n v="2"/>
    <x v="1"/>
    <x v="2"/>
    <n v="43"/>
    <x v="0"/>
    <x v="1"/>
    <x v="1"/>
    <n v="1"/>
    <n v="60000"/>
  </r>
  <r>
    <n v="11255"/>
    <x v="0"/>
    <x v="1"/>
    <n v="70000"/>
    <x v="1"/>
    <n v="4"/>
    <x v="4"/>
    <x v="4"/>
    <s v="Yes"/>
    <n v="2"/>
    <x v="2"/>
    <x v="2"/>
    <n v="73"/>
    <x v="1"/>
    <x v="0"/>
    <x v="0"/>
    <n v="1"/>
    <n v="0"/>
  </r>
  <r>
    <n v="28090"/>
    <x v="0"/>
    <x v="1"/>
    <n v="40000"/>
    <x v="0"/>
    <n v="0"/>
    <x v="1"/>
    <x v="0"/>
    <s v="Yes"/>
    <n v="1"/>
    <x v="2"/>
    <x v="2"/>
    <n v="27"/>
    <x v="3"/>
    <x v="0"/>
    <x v="0"/>
    <n v="1"/>
    <n v="0"/>
  </r>
  <r>
    <n v="15255"/>
    <x v="0"/>
    <x v="1"/>
    <n v="40000"/>
    <x v="0"/>
    <n v="0"/>
    <x v="2"/>
    <x v="0"/>
    <s v="Yes"/>
    <n v="2"/>
    <x v="2"/>
    <x v="2"/>
    <n v="28"/>
    <x v="3"/>
    <x v="1"/>
    <x v="1"/>
    <n v="1"/>
    <n v="40000"/>
  </r>
  <r>
    <n v="13154"/>
    <x v="0"/>
    <x v="1"/>
    <n v="40000"/>
    <x v="0"/>
    <n v="0"/>
    <x v="2"/>
    <x v="0"/>
    <s v="No"/>
    <n v="2"/>
    <x v="0"/>
    <x v="2"/>
    <n v="27"/>
    <x v="3"/>
    <x v="1"/>
    <x v="1"/>
    <n v="1"/>
    <n v="40000"/>
  </r>
  <r>
    <n v="26778"/>
    <x v="1"/>
    <x v="0"/>
    <n v="40000"/>
    <x v="0"/>
    <n v="0"/>
    <x v="2"/>
    <x v="0"/>
    <s v="Yes"/>
    <n v="2"/>
    <x v="2"/>
    <x v="2"/>
    <n v="31"/>
    <x v="2"/>
    <x v="0"/>
    <x v="0"/>
    <n v="1"/>
    <n v="0"/>
  </r>
  <r>
    <n v="23248"/>
    <x v="0"/>
    <x v="0"/>
    <n v="10000"/>
    <x v="0"/>
    <n v="2"/>
    <x v="2"/>
    <x v="3"/>
    <s v="Yes"/>
    <n v="2"/>
    <x v="3"/>
    <x v="2"/>
    <n v="53"/>
    <x v="0"/>
    <x v="0"/>
    <x v="0"/>
    <n v="1"/>
    <n v="0"/>
  </r>
  <r>
    <n v="21417"/>
    <x v="1"/>
    <x v="0"/>
    <n v="60000"/>
    <x v="0"/>
    <n v="0"/>
    <x v="1"/>
    <x v="2"/>
    <s v="No"/>
    <n v="2"/>
    <x v="3"/>
    <x v="2"/>
    <n v="32"/>
    <x v="2"/>
    <x v="1"/>
    <x v="1"/>
    <n v="1"/>
    <n v="60000"/>
  </r>
  <r>
    <n v="17668"/>
    <x v="1"/>
    <x v="1"/>
    <n v="30000"/>
    <x v="0"/>
    <n v="2"/>
    <x v="2"/>
    <x v="0"/>
    <s v="Yes"/>
    <n v="2"/>
    <x v="3"/>
    <x v="2"/>
    <n v="50"/>
    <x v="0"/>
    <x v="1"/>
    <x v="1"/>
    <n v="1"/>
    <n v="30000"/>
  </r>
  <r>
    <n v="27994"/>
    <x v="0"/>
    <x v="0"/>
    <n v="40000"/>
    <x v="0"/>
    <n v="4"/>
    <x v="2"/>
    <x v="2"/>
    <s v="Yes"/>
    <n v="2"/>
    <x v="2"/>
    <x v="2"/>
    <n v="69"/>
    <x v="1"/>
    <x v="0"/>
    <x v="0"/>
    <n v="1"/>
    <n v="0"/>
  </r>
  <r>
    <n v="20376"/>
    <x v="1"/>
    <x v="0"/>
    <n v="70000"/>
    <x v="1"/>
    <n v="3"/>
    <x v="4"/>
    <x v="4"/>
    <s v="Yes"/>
    <n v="2"/>
    <x v="2"/>
    <x v="2"/>
    <n v="52"/>
    <x v="0"/>
    <x v="1"/>
    <x v="1"/>
    <n v="1"/>
    <n v="70000"/>
  </r>
  <r>
    <n v="25954"/>
    <x v="0"/>
    <x v="1"/>
    <n v="60000"/>
    <x v="0"/>
    <n v="0"/>
    <x v="1"/>
    <x v="0"/>
    <s v="No"/>
    <n v="2"/>
    <x v="3"/>
    <x v="2"/>
    <n v="31"/>
    <x v="2"/>
    <x v="0"/>
    <x v="0"/>
    <n v="1"/>
    <n v="0"/>
  </r>
  <r>
    <n v="15749"/>
    <x v="1"/>
    <x v="0"/>
    <n v="70000"/>
    <x v="1"/>
    <n v="4"/>
    <x v="0"/>
    <x v="4"/>
    <s v="Yes"/>
    <n v="2"/>
    <x v="4"/>
    <x v="2"/>
    <n v="61"/>
    <x v="1"/>
    <x v="0"/>
    <x v="0"/>
    <n v="1"/>
    <n v="0"/>
  </r>
  <r>
    <n v="25899"/>
    <x v="0"/>
    <x v="0"/>
    <n v="70000"/>
    <x v="1"/>
    <n v="2"/>
    <x v="2"/>
    <x v="2"/>
    <s v="Yes"/>
    <n v="2"/>
    <x v="4"/>
    <x v="2"/>
    <n v="53"/>
    <x v="0"/>
    <x v="0"/>
    <x v="0"/>
    <n v="1"/>
    <n v="0"/>
  </r>
  <r>
    <n v="13351"/>
    <x v="1"/>
    <x v="0"/>
    <n v="70000"/>
    <x v="1"/>
    <n v="4"/>
    <x v="0"/>
    <x v="4"/>
    <s v="Yes"/>
    <n v="2"/>
    <x v="3"/>
    <x v="2"/>
    <n v="62"/>
    <x v="1"/>
    <x v="1"/>
    <x v="1"/>
    <n v="1"/>
    <n v="70000"/>
  </r>
  <r>
    <n v="23333"/>
    <x v="0"/>
    <x v="1"/>
    <n v="40000"/>
    <x v="0"/>
    <n v="0"/>
    <x v="1"/>
    <x v="0"/>
    <s v="No"/>
    <n v="2"/>
    <x v="3"/>
    <x v="2"/>
    <n v="30"/>
    <x v="2"/>
    <x v="0"/>
    <x v="0"/>
    <n v="1"/>
    <n v="0"/>
  </r>
  <r>
    <n v="21660"/>
    <x v="0"/>
    <x v="0"/>
    <n v="60000"/>
    <x v="0"/>
    <n v="3"/>
    <x v="4"/>
    <x v="2"/>
    <s v="Yes"/>
    <n v="0"/>
    <x v="1"/>
    <x v="2"/>
    <n v="43"/>
    <x v="0"/>
    <x v="1"/>
    <x v="1"/>
    <n v="1"/>
    <n v="60000"/>
  </r>
  <r>
    <n v="17012"/>
    <x v="0"/>
    <x v="0"/>
    <n v="60000"/>
    <x v="0"/>
    <n v="3"/>
    <x v="4"/>
    <x v="2"/>
    <s v="Yes"/>
    <n v="0"/>
    <x v="1"/>
    <x v="2"/>
    <n v="42"/>
    <x v="0"/>
    <x v="1"/>
    <x v="1"/>
    <n v="1"/>
    <n v="60000"/>
  </r>
  <r>
    <n v="24514"/>
    <x v="0"/>
    <x v="1"/>
    <n v="40000"/>
    <x v="0"/>
    <n v="0"/>
    <x v="1"/>
    <x v="0"/>
    <s v="Yes"/>
    <n v="1"/>
    <x v="2"/>
    <x v="2"/>
    <n v="30"/>
    <x v="2"/>
    <x v="0"/>
    <x v="0"/>
    <n v="1"/>
    <n v="0"/>
  </r>
  <r>
    <n v="27505"/>
    <x v="1"/>
    <x v="0"/>
    <n v="40000"/>
    <x v="0"/>
    <n v="0"/>
    <x v="2"/>
    <x v="0"/>
    <s v="Yes"/>
    <n v="2"/>
    <x v="2"/>
    <x v="2"/>
    <n v="30"/>
    <x v="2"/>
    <x v="0"/>
    <x v="0"/>
    <n v="1"/>
    <n v="0"/>
  </r>
  <r>
    <n v="29243"/>
    <x v="1"/>
    <x v="1"/>
    <n v="110000"/>
    <x v="1"/>
    <n v="1"/>
    <x v="0"/>
    <x v="4"/>
    <s v="Yes"/>
    <n v="1"/>
    <x v="2"/>
    <x v="2"/>
    <n v="43"/>
    <x v="0"/>
    <x v="0"/>
    <x v="0"/>
    <n v="1"/>
    <n v="0"/>
  </r>
  <r>
    <n v="26582"/>
    <x v="0"/>
    <x v="1"/>
    <n v="60000"/>
    <x v="0"/>
    <n v="0"/>
    <x v="1"/>
    <x v="0"/>
    <s v="Yes"/>
    <n v="2"/>
    <x v="2"/>
    <x v="2"/>
    <n v="33"/>
    <x v="2"/>
    <x v="1"/>
    <x v="1"/>
    <n v="1"/>
    <n v="60000"/>
  </r>
  <r>
    <n v="14271"/>
    <x v="0"/>
    <x v="1"/>
    <n v="30000"/>
    <x v="0"/>
    <n v="0"/>
    <x v="2"/>
    <x v="0"/>
    <s v="Yes"/>
    <n v="2"/>
    <x v="2"/>
    <x v="2"/>
    <n v="32"/>
    <x v="2"/>
    <x v="0"/>
    <x v="0"/>
    <n v="1"/>
    <n v="0"/>
  </r>
  <r>
    <n v="23041"/>
    <x v="1"/>
    <x v="0"/>
    <n v="70000"/>
    <x v="1"/>
    <n v="4"/>
    <x v="2"/>
    <x v="2"/>
    <s v="Yes"/>
    <n v="0"/>
    <x v="2"/>
    <x v="2"/>
    <n v="50"/>
    <x v="0"/>
    <x v="1"/>
    <x v="1"/>
    <n v="1"/>
    <n v="70000"/>
  </r>
  <r>
    <n v="29048"/>
    <x v="1"/>
    <x v="1"/>
    <n v="110000"/>
    <x v="1"/>
    <n v="2"/>
    <x v="0"/>
    <x v="4"/>
    <s v="No"/>
    <n v="3"/>
    <x v="0"/>
    <x v="2"/>
    <n v="37"/>
    <x v="2"/>
    <x v="1"/>
    <x v="1"/>
    <n v="1"/>
    <n v="110000"/>
  </r>
  <r>
    <n v="24433"/>
    <x v="0"/>
    <x v="1"/>
    <n v="70000"/>
    <x v="1"/>
    <n v="3"/>
    <x v="2"/>
    <x v="2"/>
    <s v="No"/>
    <n v="1"/>
    <x v="3"/>
    <x v="2"/>
    <n v="52"/>
    <x v="0"/>
    <x v="1"/>
    <x v="1"/>
    <n v="1"/>
    <n v="70000"/>
  </r>
  <r>
    <n v="15501"/>
    <x v="0"/>
    <x v="1"/>
    <n v="70000"/>
    <x v="1"/>
    <n v="4"/>
    <x v="4"/>
    <x v="2"/>
    <s v="Yes"/>
    <n v="0"/>
    <x v="1"/>
    <x v="2"/>
    <n v="36"/>
    <x v="2"/>
    <x v="1"/>
    <x v="1"/>
    <n v="1"/>
    <n v="70000"/>
  </r>
  <r>
    <n v="13911"/>
    <x v="1"/>
    <x v="0"/>
    <n v="80000"/>
    <x v="1"/>
    <n v="3"/>
    <x v="0"/>
    <x v="0"/>
    <s v="Yes"/>
    <n v="2"/>
    <x v="1"/>
    <x v="2"/>
    <n v="41"/>
    <x v="0"/>
    <x v="1"/>
    <x v="1"/>
    <n v="1"/>
    <n v="80000"/>
  </r>
  <r>
    <n v="20421"/>
    <x v="1"/>
    <x v="0"/>
    <n v="40000"/>
    <x v="0"/>
    <n v="0"/>
    <x v="3"/>
    <x v="1"/>
    <s v="Yes"/>
    <n v="2"/>
    <x v="2"/>
    <x v="2"/>
    <n v="26"/>
    <x v="3"/>
    <x v="0"/>
    <x v="0"/>
    <n v="1"/>
    <n v="0"/>
  </r>
  <r>
    <n v="16009"/>
    <x v="1"/>
    <x v="1"/>
    <n v="170000"/>
    <x v="2"/>
    <n v="1"/>
    <x v="4"/>
    <x v="4"/>
    <s v="No"/>
    <n v="4"/>
    <x v="0"/>
    <x v="2"/>
    <n v="66"/>
    <x v="1"/>
    <x v="0"/>
    <x v="0"/>
    <n v="1"/>
    <n v="0"/>
  </r>
  <r>
    <n v="18411"/>
    <x v="0"/>
    <x v="1"/>
    <n v="60000"/>
    <x v="0"/>
    <n v="2"/>
    <x v="2"/>
    <x v="2"/>
    <s v="No"/>
    <n v="2"/>
    <x v="2"/>
    <x v="2"/>
    <n v="51"/>
    <x v="0"/>
    <x v="0"/>
    <x v="0"/>
    <n v="1"/>
    <n v="0"/>
  </r>
  <r>
    <n v="19163"/>
    <x v="0"/>
    <x v="0"/>
    <n v="70000"/>
    <x v="1"/>
    <n v="4"/>
    <x v="0"/>
    <x v="2"/>
    <s v="Yes"/>
    <n v="2"/>
    <x v="0"/>
    <x v="2"/>
    <n v="43"/>
    <x v="0"/>
    <x v="1"/>
    <x v="1"/>
    <n v="1"/>
    <n v="70000"/>
  </r>
  <r>
    <n v="18572"/>
    <x v="0"/>
    <x v="0"/>
    <n v="60000"/>
    <x v="0"/>
    <n v="0"/>
    <x v="4"/>
    <x v="2"/>
    <s v="Yes"/>
    <n v="0"/>
    <x v="0"/>
    <x v="2"/>
    <n v="39"/>
    <x v="2"/>
    <x v="0"/>
    <x v="0"/>
    <n v="1"/>
    <n v="0"/>
  </r>
  <r>
    <n v="27540"/>
    <x v="1"/>
    <x v="0"/>
    <n v="70000"/>
    <x v="1"/>
    <n v="0"/>
    <x v="0"/>
    <x v="2"/>
    <s v="No"/>
    <n v="1"/>
    <x v="0"/>
    <x v="2"/>
    <n v="37"/>
    <x v="2"/>
    <x v="1"/>
    <x v="1"/>
    <n v="1"/>
    <n v="70000"/>
  </r>
  <r>
    <n v="19889"/>
    <x v="1"/>
    <x v="0"/>
    <n v="70000"/>
    <x v="1"/>
    <n v="2"/>
    <x v="3"/>
    <x v="0"/>
    <s v="No"/>
    <n v="2"/>
    <x v="1"/>
    <x v="2"/>
    <n v="54"/>
    <x v="0"/>
    <x v="1"/>
    <x v="1"/>
    <n v="1"/>
    <n v="70000"/>
  </r>
  <r>
    <n v="12922"/>
    <x v="1"/>
    <x v="0"/>
    <n v="60000"/>
    <x v="0"/>
    <n v="3"/>
    <x v="0"/>
    <x v="0"/>
    <s v="Yes"/>
    <n v="0"/>
    <x v="1"/>
    <x v="2"/>
    <n v="40"/>
    <x v="0"/>
    <x v="1"/>
    <x v="1"/>
    <n v="1"/>
    <n v="60000"/>
  </r>
  <r>
    <n v="18891"/>
    <x v="0"/>
    <x v="0"/>
    <n v="40000"/>
    <x v="0"/>
    <n v="0"/>
    <x v="1"/>
    <x v="0"/>
    <s v="Yes"/>
    <n v="2"/>
    <x v="2"/>
    <x v="2"/>
    <n v="28"/>
    <x v="3"/>
    <x v="0"/>
    <x v="0"/>
    <n v="1"/>
    <n v="0"/>
  </r>
  <r>
    <n v="16773"/>
    <x v="0"/>
    <x v="1"/>
    <n v="60000"/>
    <x v="0"/>
    <n v="1"/>
    <x v="4"/>
    <x v="0"/>
    <s v="Yes"/>
    <n v="0"/>
    <x v="0"/>
    <x v="2"/>
    <n v="33"/>
    <x v="2"/>
    <x v="0"/>
    <x v="0"/>
    <n v="1"/>
    <n v="0"/>
  </r>
  <r>
    <n v="19143"/>
    <x v="1"/>
    <x v="0"/>
    <n v="80000"/>
    <x v="1"/>
    <n v="3"/>
    <x v="0"/>
    <x v="0"/>
    <s v="Yes"/>
    <n v="2"/>
    <x v="1"/>
    <x v="2"/>
    <n v="41"/>
    <x v="0"/>
    <x v="1"/>
    <x v="1"/>
    <n v="1"/>
    <n v="80000"/>
  </r>
  <r>
    <n v="23882"/>
    <x v="1"/>
    <x v="0"/>
    <n v="80000"/>
    <x v="1"/>
    <n v="3"/>
    <x v="4"/>
    <x v="2"/>
    <s v="Yes"/>
    <n v="0"/>
    <x v="0"/>
    <x v="2"/>
    <n v="37"/>
    <x v="2"/>
    <x v="1"/>
    <x v="1"/>
    <n v="1"/>
    <n v="80000"/>
  </r>
  <r>
    <n v="11233"/>
    <x v="0"/>
    <x v="1"/>
    <n v="70000"/>
    <x v="1"/>
    <n v="4"/>
    <x v="1"/>
    <x v="2"/>
    <s v="Yes"/>
    <n v="2"/>
    <x v="4"/>
    <x v="2"/>
    <n v="53"/>
    <x v="0"/>
    <x v="0"/>
    <x v="0"/>
    <n v="1"/>
    <n v="0"/>
  </r>
  <r>
    <n v="12056"/>
    <x v="0"/>
    <x v="1"/>
    <n v="120000"/>
    <x v="1"/>
    <n v="2"/>
    <x v="4"/>
    <x v="4"/>
    <s v="Yes"/>
    <n v="3"/>
    <x v="2"/>
    <x v="2"/>
    <n v="64"/>
    <x v="1"/>
    <x v="0"/>
    <x v="0"/>
    <n v="1"/>
    <n v="0"/>
  </r>
  <r>
    <n v="15555"/>
    <x v="0"/>
    <x v="0"/>
    <n v="60000"/>
    <x v="0"/>
    <n v="1"/>
    <x v="1"/>
    <x v="0"/>
    <s v="Yes"/>
    <n v="1"/>
    <x v="1"/>
    <x v="2"/>
    <n v="45"/>
    <x v="0"/>
    <x v="1"/>
    <x v="1"/>
    <n v="1"/>
    <n v="60000"/>
  </r>
  <r>
    <n v="18423"/>
    <x v="1"/>
    <x v="1"/>
    <n v="80000"/>
    <x v="1"/>
    <n v="2"/>
    <x v="3"/>
    <x v="0"/>
    <s v="No"/>
    <n v="2"/>
    <x v="3"/>
    <x v="2"/>
    <n v="52"/>
    <x v="0"/>
    <x v="0"/>
    <x v="0"/>
    <n v="1"/>
    <n v="0"/>
  </r>
  <r>
    <n v="22743"/>
    <x v="0"/>
    <x v="0"/>
    <n v="40000"/>
    <x v="0"/>
    <n v="5"/>
    <x v="2"/>
    <x v="2"/>
    <s v="Yes"/>
    <n v="2"/>
    <x v="4"/>
    <x v="2"/>
    <n v="60"/>
    <x v="1"/>
    <x v="0"/>
    <x v="0"/>
    <n v="1"/>
    <n v="0"/>
  </r>
  <r>
    <n v="25343"/>
    <x v="1"/>
    <x v="0"/>
    <n v="20000"/>
    <x v="0"/>
    <n v="3"/>
    <x v="3"/>
    <x v="1"/>
    <s v="Yes"/>
    <n v="2"/>
    <x v="3"/>
    <x v="2"/>
    <n v="50"/>
    <x v="0"/>
    <x v="0"/>
    <x v="0"/>
    <n v="1"/>
    <n v="0"/>
  </r>
  <r>
    <n v="13390"/>
    <x v="0"/>
    <x v="0"/>
    <n v="70000"/>
    <x v="1"/>
    <n v="4"/>
    <x v="1"/>
    <x v="2"/>
    <s v="No"/>
    <n v="1"/>
    <x v="3"/>
    <x v="2"/>
    <n v="56"/>
    <x v="0"/>
    <x v="0"/>
    <x v="0"/>
    <n v="1"/>
    <n v="0"/>
  </r>
  <r>
    <n v="17482"/>
    <x v="1"/>
    <x v="0"/>
    <n v="40000"/>
    <x v="0"/>
    <n v="0"/>
    <x v="3"/>
    <x v="1"/>
    <s v="Yes"/>
    <n v="2"/>
    <x v="2"/>
    <x v="2"/>
    <n v="29"/>
    <x v="3"/>
    <x v="0"/>
    <x v="0"/>
    <n v="1"/>
    <n v="0"/>
  </r>
  <r>
    <n v="13176"/>
    <x v="1"/>
    <x v="1"/>
    <n v="130000"/>
    <x v="2"/>
    <n v="0"/>
    <x v="4"/>
    <x v="4"/>
    <s v="No"/>
    <n v="2"/>
    <x v="0"/>
    <x v="2"/>
    <n v="38"/>
    <x v="2"/>
    <x v="1"/>
    <x v="1"/>
    <n v="1"/>
    <n v="130000"/>
  </r>
  <r>
    <n v="20504"/>
    <x v="0"/>
    <x v="0"/>
    <n v="40000"/>
    <x v="0"/>
    <n v="5"/>
    <x v="2"/>
    <x v="2"/>
    <s v="No"/>
    <n v="2"/>
    <x v="1"/>
    <x v="2"/>
    <n v="60"/>
    <x v="1"/>
    <x v="0"/>
    <x v="0"/>
    <n v="1"/>
    <n v="0"/>
  </r>
  <r>
    <n v="12205"/>
    <x v="1"/>
    <x v="0"/>
    <n v="130000"/>
    <x v="2"/>
    <n v="2"/>
    <x v="0"/>
    <x v="4"/>
    <s v="No"/>
    <n v="4"/>
    <x v="0"/>
    <x v="2"/>
    <n v="67"/>
    <x v="1"/>
    <x v="0"/>
    <x v="0"/>
    <n v="1"/>
    <n v="0"/>
  </r>
  <r>
    <n v="16751"/>
    <x v="0"/>
    <x v="1"/>
    <n v="60000"/>
    <x v="0"/>
    <n v="0"/>
    <x v="1"/>
    <x v="0"/>
    <s v="Yes"/>
    <n v="1"/>
    <x v="2"/>
    <x v="2"/>
    <n v="32"/>
    <x v="2"/>
    <x v="1"/>
    <x v="1"/>
    <n v="1"/>
    <n v="60000"/>
  </r>
  <r>
    <n v="21613"/>
    <x v="1"/>
    <x v="1"/>
    <n v="50000"/>
    <x v="0"/>
    <n v="2"/>
    <x v="0"/>
    <x v="0"/>
    <s v="No"/>
    <n v="1"/>
    <x v="0"/>
    <x v="2"/>
    <n v="39"/>
    <x v="2"/>
    <x v="1"/>
    <x v="1"/>
    <n v="1"/>
    <n v="50000"/>
  </r>
  <r>
    <n v="24801"/>
    <x v="1"/>
    <x v="1"/>
    <n v="60000"/>
    <x v="0"/>
    <n v="1"/>
    <x v="4"/>
    <x v="2"/>
    <s v="Yes"/>
    <n v="0"/>
    <x v="1"/>
    <x v="2"/>
    <n v="35"/>
    <x v="2"/>
    <x v="1"/>
    <x v="1"/>
    <n v="1"/>
    <n v="60000"/>
  </r>
  <r>
    <n v="17519"/>
    <x v="0"/>
    <x v="0"/>
    <n v="60000"/>
    <x v="0"/>
    <n v="0"/>
    <x v="1"/>
    <x v="2"/>
    <s v="Yes"/>
    <n v="2"/>
    <x v="2"/>
    <x v="2"/>
    <n v="32"/>
    <x v="2"/>
    <x v="0"/>
    <x v="0"/>
    <n v="1"/>
    <n v="0"/>
  </r>
  <r>
    <n v="18347"/>
    <x v="1"/>
    <x v="0"/>
    <n v="30000"/>
    <x v="0"/>
    <n v="0"/>
    <x v="1"/>
    <x v="0"/>
    <s v="No"/>
    <n v="1"/>
    <x v="3"/>
    <x v="2"/>
    <n v="31"/>
    <x v="2"/>
    <x v="0"/>
    <x v="0"/>
    <n v="1"/>
    <n v="0"/>
  </r>
  <r>
    <n v="29052"/>
    <x v="1"/>
    <x v="1"/>
    <n v="40000"/>
    <x v="0"/>
    <n v="0"/>
    <x v="1"/>
    <x v="0"/>
    <s v="Yes"/>
    <n v="1"/>
    <x v="2"/>
    <x v="2"/>
    <n v="27"/>
    <x v="3"/>
    <x v="0"/>
    <x v="0"/>
    <n v="1"/>
    <n v="0"/>
  </r>
  <r>
    <n v="11745"/>
    <x v="0"/>
    <x v="0"/>
    <n v="60000"/>
    <x v="0"/>
    <n v="1"/>
    <x v="0"/>
    <x v="2"/>
    <s v="Yes"/>
    <n v="1"/>
    <x v="0"/>
    <x v="2"/>
    <n v="47"/>
    <x v="0"/>
    <x v="1"/>
    <x v="1"/>
    <n v="1"/>
    <n v="60000"/>
  </r>
  <r>
    <n v="19147"/>
    <x v="0"/>
    <x v="1"/>
    <n v="40000"/>
    <x v="0"/>
    <n v="0"/>
    <x v="0"/>
    <x v="2"/>
    <s v="No"/>
    <n v="1"/>
    <x v="0"/>
    <x v="2"/>
    <n v="42"/>
    <x v="0"/>
    <x v="0"/>
    <x v="0"/>
    <n v="1"/>
    <n v="0"/>
  </r>
  <r>
    <n v="19217"/>
    <x v="0"/>
    <x v="1"/>
    <n v="30000"/>
    <x v="0"/>
    <n v="2"/>
    <x v="2"/>
    <x v="0"/>
    <s v="Yes"/>
    <n v="2"/>
    <x v="3"/>
    <x v="2"/>
    <n v="49"/>
    <x v="0"/>
    <x v="0"/>
    <x v="0"/>
    <n v="1"/>
    <n v="0"/>
  </r>
  <r>
    <n v="15839"/>
    <x v="1"/>
    <x v="1"/>
    <n v="30000"/>
    <x v="0"/>
    <n v="0"/>
    <x v="1"/>
    <x v="0"/>
    <s v="Yes"/>
    <n v="1"/>
    <x v="2"/>
    <x v="2"/>
    <n v="32"/>
    <x v="2"/>
    <x v="0"/>
    <x v="0"/>
    <n v="1"/>
    <n v="0"/>
  </r>
  <r>
    <n v="13714"/>
    <x v="0"/>
    <x v="0"/>
    <n v="20000"/>
    <x v="0"/>
    <n v="2"/>
    <x v="2"/>
    <x v="3"/>
    <s v="No"/>
    <n v="2"/>
    <x v="3"/>
    <x v="2"/>
    <n v="53"/>
    <x v="0"/>
    <x v="1"/>
    <x v="1"/>
    <n v="1"/>
    <n v="20000"/>
  </r>
  <r>
    <n v="22330"/>
    <x v="0"/>
    <x v="1"/>
    <n v="50000"/>
    <x v="0"/>
    <n v="0"/>
    <x v="4"/>
    <x v="0"/>
    <s v="Yes"/>
    <n v="0"/>
    <x v="3"/>
    <x v="2"/>
    <n v="32"/>
    <x v="2"/>
    <x v="1"/>
    <x v="1"/>
    <n v="1"/>
    <n v="50000"/>
  </r>
  <r>
    <n v="18783"/>
    <x v="1"/>
    <x v="1"/>
    <n v="80000"/>
    <x v="1"/>
    <n v="0"/>
    <x v="0"/>
    <x v="4"/>
    <s v="No"/>
    <n v="1"/>
    <x v="0"/>
    <x v="2"/>
    <n v="38"/>
    <x v="2"/>
    <x v="1"/>
    <x v="1"/>
    <n v="1"/>
    <n v="80000"/>
  </r>
  <r>
    <n v="25041"/>
    <x v="1"/>
    <x v="1"/>
    <n v="40000"/>
    <x v="0"/>
    <n v="0"/>
    <x v="2"/>
    <x v="0"/>
    <s v="Yes"/>
    <n v="2"/>
    <x v="2"/>
    <x v="2"/>
    <n v="31"/>
    <x v="2"/>
    <x v="0"/>
    <x v="0"/>
    <n v="1"/>
    <n v="0"/>
  </r>
  <r>
    <n v="22046"/>
    <x v="1"/>
    <x v="0"/>
    <n v="80000"/>
    <x v="1"/>
    <n v="0"/>
    <x v="0"/>
    <x v="4"/>
    <s v="No"/>
    <n v="1"/>
    <x v="0"/>
    <x v="2"/>
    <n v="38"/>
    <x v="2"/>
    <x v="1"/>
    <x v="1"/>
    <n v="1"/>
    <n v="80000"/>
  </r>
  <r>
    <n v="28052"/>
    <x v="0"/>
    <x v="1"/>
    <n v="60000"/>
    <x v="0"/>
    <n v="2"/>
    <x v="2"/>
    <x v="2"/>
    <s v="Yes"/>
    <n v="2"/>
    <x v="4"/>
    <x v="2"/>
    <n v="55"/>
    <x v="0"/>
    <x v="0"/>
    <x v="0"/>
    <n v="1"/>
    <n v="0"/>
  </r>
  <r>
    <n v="26693"/>
    <x v="0"/>
    <x v="1"/>
    <n v="70000"/>
    <x v="1"/>
    <n v="3"/>
    <x v="1"/>
    <x v="2"/>
    <s v="Yes"/>
    <n v="1"/>
    <x v="2"/>
    <x v="2"/>
    <n v="49"/>
    <x v="0"/>
    <x v="0"/>
    <x v="0"/>
    <n v="1"/>
    <n v="0"/>
  </r>
  <r>
    <n v="24955"/>
    <x v="1"/>
    <x v="1"/>
    <n v="30000"/>
    <x v="0"/>
    <n v="5"/>
    <x v="3"/>
    <x v="0"/>
    <s v="Yes"/>
    <n v="3"/>
    <x v="4"/>
    <x v="2"/>
    <n v="60"/>
    <x v="1"/>
    <x v="1"/>
    <x v="1"/>
    <n v="1"/>
    <n v="30000"/>
  </r>
  <r>
    <n v="26065"/>
    <x v="1"/>
    <x v="0"/>
    <n v="110000"/>
    <x v="1"/>
    <n v="3"/>
    <x v="0"/>
    <x v="4"/>
    <s v="No"/>
    <n v="4"/>
    <x v="3"/>
    <x v="2"/>
    <n v="42"/>
    <x v="0"/>
    <x v="0"/>
    <x v="0"/>
    <n v="1"/>
    <n v="0"/>
  </r>
  <r>
    <n v="13942"/>
    <x v="0"/>
    <x v="1"/>
    <n v="60000"/>
    <x v="0"/>
    <n v="1"/>
    <x v="1"/>
    <x v="0"/>
    <s v="Yes"/>
    <n v="1"/>
    <x v="0"/>
    <x v="2"/>
    <n v="46"/>
    <x v="0"/>
    <x v="0"/>
    <x v="0"/>
    <n v="1"/>
    <n v="0"/>
  </r>
  <r>
    <n v="11219"/>
    <x v="0"/>
    <x v="1"/>
    <n v="60000"/>
    <x v="0"/>
    <n v="2"/>
    <x v="2"/>
    <x v="2"/>
    <s v="Yes"/>
    <n v="2"/>
    <x v="4"/>
    <x v="2"/>
    <n v="55"/>
    <x v="0"/>
    <x v="0"/>
    <x v="0"/>
    <n v="1"/>
    <n v="0"/>
  </r>
  <r>
    <n v="22118"/>
    <x v="1"/>
    <x v="0"/>
    <n v="70000"/>
    <x v="1"/>
    <n v="3"/>
    <x v="4"/>
    <x v="4"/>
    <s v="Yes"/>
    <n v="2"/>
    <x v="2"/>
    <x v="2"/>
    <n v="53"/>
    <x v="0"/>
    <x v="1"/>
    <x v="1"/>
    <n v="1"/>
    <n v="70000"/>
  </r>
  <r>
    <n v="23197"/>
    <x v="0"/>
    <x v="1"/>
    <n v="50000"/>
    <x v="0"/>
    <n v="3"/>
    <x v="0"/>
    <x v="0"/>
    <s v="Yes"/>
    <n v="2"/>
    <x v="1"/>
    <x v="2"/>
    <n v="40"/>
    <x v="0"/>
    <x v="0"/>
    <x v="0"/>
    <n v="1"/>
    <n v="0"/>
  </r>
  <r>
    <n v="14883"/>
    <x v="0"/>
    <x v="0"/>
    <n v="30000"/>
    <x v="0"/>
    <n v="1"/>
    <x v="0"/>
    <x v="0"/>
    <s v="Yes"/>
    <n v="1"/>
    <x v="2"/>
    <x v="2"/>
    <n v="53"/>
    <x v="0"/>
    <x v="1"/>
    <x v="1"/>
    <n v="1"/>
    <n v="30000"/>
  </r>
  <r>
    <n v="27279"/>
    <x v="1"/>
    <x v="0"/>
    <n v="70000"/>
    <x v="1"/>
    <n v="2"/>
    <x v="0"/>
    <x v="0"/>
    <s v="Yes"/>
    <n v="0"/>
    <x v="1"/>
    <x v="2"/>
    <n v="38"/>
    <x v="2"/>
    <x v="1"/>
    <x v="1"/>
    <n v="1"/>
    <n v="70000"/>
  </r>
  <r>
    <n v="18322"/>
    <x v="1"/>
    <x v="1"/>
    <n v="30000"/>
    <x v="0"/>
    <n v="0"/>
    <x v="3"/>
    <x v="1"/>
    <s v="No"/>
    <n v="2"/>
    <x v="0"/>
    <x v="2"/>
    <n v="26"/>
    <x v="3"/>
    <x v="0"/>
    <x v="0"/>
    <n v="1"/>
    <n v="0"/>
  </r>
  <r>
    <n v="15879"/>
    <x v="0"/>
    <x v="1"/>
    <n v="70000"/>
    <x v="1"/>
    <n v="5"/>
    <x v="0"/>
    <x v="4"/>
    <s v="Yes"/>
    <n v="2"/>
    <x v="1"/>
    <x v="2"/>
    <n v="61"/>
    <x v="1"/>
    <x v="0"/>
    <x v="0"/>
    <n v="1"/>
    <n v="0"/>
  </r>
  <r>
    <n v="28278"/>
    <x v="0"/>
    <x v="1"/>
    <n v="50000"/>
    <x v="0"/>
    <n v="2"/>
    <x v="4"/>
    <x v="4"/>
    <s v="Yes"/>
    <n v="2"/>
    <x v="2"/>
    <x v="2"/>
    <n v="71"/>
    <x v="1"/>
    <x v="0"/>
    <x v="0"/>
    <n v="1"/>
    <n v="0"/>
  </r>
  <r>
    <n v="24416"/>
    <x v="0"/>
    <x v="1"/>
    <n v="90000"/>
    <x v="1"/>
    <n v="4"/>
    <x v="2"/>
    <x v="2"/>
    <s v="Yes"/>
    <n v="2"/>
    <x v="3"/>
    <x v="2"/>
    <n v="45"/>
    <x v="0"/>
    <x v="0"/>
    <x v="0"/>
    <n v="1"/>
    <n v="0"/>
  </r>
  <r>
    <n v="28066"/>
    <x v="0"/>
    <x v="1"/>
    <n v="80000"/>
    <x v="1"/>
    <n v="2"/>
    <x v="4"/>
    <x v="2"/>
    <s v="Yes"/>
    <n v="0"/>
    <x v="0"/>
    <x v="2"/>
    <n v="37"/>
    <x v="2"/>
    <x v="1"/>
    <x v="1"/>
    <n v="1"/>
    <n v="80000"/>
  </r>
  <r>
    <n v="11275"/>
    <x v="0"/>
    <x v="0"/>
    <n v="80000"/>
    <x v="1"/>
    <n v="4"/>
    <x v="4"/>
    <x v="4"/>
    <s v="Yes"/>
    <n v="2"/>
    <x v="0"/>
    <x v="2"/>
    <n v="72"/>
    <x v="1"/>
    <x v="1"/>
    <x v="1"/>
    <n v="1"/>
    <n v="80000"/>
  </r>
  <r>
    <n v="14872"/>
    <x v="0"/>
    <x v="1"/>
    <n v="30000"/>
    <x v="0"/>
    <n v="0"/>
    <x v="4"/>
    <x v="0"/>
    <s v="Yes"/>
    <n v="0"/>
    <x v="0"/>
    <x v="2"/>
    <n v="32"/>
    <x v="2"/>
    <x v="0"/>
    <x v="0"/>
    <n v="1"/>
    <n v="0"/>
  </r>
  <r>
    <n v="16151"/>
    <x v="0"/>
    <x v="0"/>
    <n v="60000"/>
    <x v="0"/>
    <n v="1"/>
    <x v="0"/>
    <x v="2"/>
    <s v="Yes"/>
    <n v="1"/>
    <x v="1"/>
    <x v="2"/>
    <n v="48"/>
    <x v="0"/>
    <x v="1"/>
    <x v="1"/>
    <n v="1"/>
    <n v="60000"/>
  </r>
  <r>
    <n v="19731"/>
    <x v="0"/>
    <x v="1"/>
    <n v="80000"/>
    <x v="1"/>
    <n v="4"/>
    <x v="4"/>
    <x v="4"/>
    <s v="Yes"/>
    <n v="2"/>
    <x v="2"/>
    <x v="2"/>
    <n v="68"/>
    <x v="1"/>
    <x v="0"/>
    <x v="0"/>
    <n v="1"/>
    <n v="0"/>
  </r>
  <r>
    <n v="23801"/>
    <x v="0"/>
    <x v="0"/>
    <n v="20000"/>
    <x v="0"/>
    <n v="2"/>
    <x v="3"/>
    <x v="1"/>
    <s v="Yes"/>
    <n v="2"/>
    <x v="0"/>
    <x v="2"/>
    <n v="49"/>
    <x v="0"/>
    <x v="0"/>
    <x v="0"/>
    <n v="1"/>
    <n v="0"/>
  </r>
  <r>
    <n v="11807"/>
    <x v="0"/>
    <x v="1"/>
    <n v="70000"/>
    <x v="1"/>
    <n v="3"/>
    <x v="4"/>
    <x v="2"/>
    <s v="Yes"/>
    <n v="0"/>
    <x v="1"/>
    <x v="2"/>
    <n v="34"/>
    <x v="2"/>
    <x v="0"/>
    <x v="0"/>
    <n v="1"/>
    <n v="0"/>
  </r>
  <r>
    <n v="11622"/>
    <x v="0"/>
    <x v="1"/>
    <n v="50000"/>
    <x v="0"/>
    <n v="0"/>
    <x v="4"/>
    <x v="0"/>
    <s v="Yes"/>
    <n v="0"/>
    <x v="0"/>
    <x v="2"/>
    <n v="32"/>
    <x v="2"/>
    <x v="0"/>
    <x v="0"/>
    <n v="1"/>
    <n v="0"/>
  </r>
  <r>
    <n v="26597"/>
    <x v="1"/>
    <x v="0"/>
    <n v="60000"/>
    <x v="0"/>
    <n v="4"/>
    <x v="0"/>
    <x v="0"/>
    <s v="No"/>
    <n v="2"/>
    <x v="0"/>
    <x v="2"/>
    <n v="42"/>
    <x v="0"/>
    <x v="0"/>
    <x v="0"/>
    <n v="1"/>
    <n v="0"/>
  </r>
  <r>
    <n v="27074"/>
    <x v="0"/>
    <x v="0"/>
    <n v="70000"/>
    <x v="1"/>
    <n v="1"/>
    <x v="4"/>
    <x v="0"/>
    <s v="Yes"/>
    <n v="0"/>
    <x v="0"/>
    <x v="2"/>
    <n v="35"/>
    <x v="2"/>
    <x v="1"/>
    <x v="1"/>
    <n v="1"/>
    <n v="70000"/>
  </r>
  <r>
    <n v="19228"/>
    <x v="0"/>
    <x v="0"/>
    <n v="40000"/>
    <x v="0"/>
    <n v="2"/>
    <x v="1"/>
    <x v="1"/>
    <s v="Yes"/>
    <n v="1"/>
    <x v="0"/>
    <x v="2"/>
    <n v="48"/>
    <x v="0"/>
    <x v="0"/>
    <x v="0"/>
    <n v="1"/>
    <n v="0"/>
  </r>
  <r>
    <n v="13415"/>
    <x v="1"/>
    <x v="1"/>
    <n v="100000"/>
    <x v="1"/>
    <n v="1"/>
    <x v="4"/>
    <x v="4"/>
    <s v="Yes"/>
    <n v="3"/>
    <x v="1"/>
    <x v="2"/>
    <n v="73"/>
    <x v="1"/>
    <x v="1"/>
    <x v="1"/>
    <n v="1"/>
    <n v="100000"/>
  </r>
  <r>
    <n v="17000"/>
    <x v="1"/>
    <x v="0"/>
    <n v="70000"/>
    <x v="1"/>
    <n v="4"/>
    <x v="0"/>
    <x v="0"/>
    <s v="Yes"/>
    <n v="2"/>
    <x v="1"/>
    <x v="2"/>
    <n v="43"/>
    <x v="0"/>
    <x v="1"/>
    <x v="1"/>
    <n v="1"/>
    <n v="70000"/>
  </r>
  <r>
    <n v="14569"/>
    <x v="0"/>
    <x v="1"/>
    <n v="60000"/>
    <x v="0"/>
    <n v="1"/>
    <x v="4"/>
    <x v="2"/>
    <s v="Yes"/>
    <n v="0"/>
    <x v="0"/>
    <x v="2"/>
    <n v="35"/>
    <x v="2"/>
    <x v="0"/>
    <x v="0"/>
    <n v="1"/>
    <n v="0"/>
  </r>
  <r>
    <n v="13873"/>
    <x v="0"/>
    <x v="1"/>
    <n v="70000"/>
    <x v="1"/>
    <n v="3"/>
    <x v="4"/>
    <x v="2"/>
    <s v="Yes"/>
    <n v="0"/>
    <x v="0"/>
    <x v="2"/>
    <n v="35"/>
    <x v="2"/>
    <x v="1"/>
    <x v="1"/>
    <n v="1"/>
    <n v="70000"/>
  </r>
  <r>
    <n v="20401"/>
    <x v="0"/>
    <x v="0"/>
    <n v="50000"/>
    <x v="0"/>
    <n v="4"/>
    <x v="0"/>
    <x v="4"/>
    <s v="Yes"/>
    <n v="2"/>
    <x v="3"/>
    <x v="2"/>
    <n v="64"/>
    <x v="1"/>
    <x v="1"/>
    <x v="1"/>
    <n v="1"/>
    <n v="50000"/>
  </r>
  <r>
    <n v="21583"/>
    <x v="0"/>
    <x v="0"/>
    <n v="50000"/>
    <x v="0"/>
    <n v="1"/>
    <x v="0"/>
    <x v="0"/>
    <s v="Yes"/>
    <n v="0"/>
    <x v="0"/>
    <x v="2"/>
    <n v="34"/>
    <x v="2"/>
    <x v="1"/>
    <x v="1"/>
    <n v="1"/>
    <n v="50000"/>
  </r>
  <r>
    <n v="12029"/>
    <x v="0"/>
    <x v="1"/>
    <n v="30000"/>
    <x v="0"/>
    <n v="0"/>
    <x v="3"/>
    <x v="1"/>
    <s v="No"/>
    <n v="2"/>
    <x v="0"/>
    <x v="2"/>
    <n v="28"/>
    <x v="3"/>
    <x v="0"/>
    <x v="0"/>
    <n v="1"/>
    <n v="0"/>
  </r>
  <r>
    <n v="18066"/>
    <x v="1"/>
    <x v="1"/>
    <n v="70000"/>
    <x v="1"/>
    <n v="5"/>
    <x v="0"/>
    <x v="4"/>
    <s v="Yes"/>
    <n v="3"/>
    <x v="4"/>
    <x v="2"/>
    <n v="60"/>
    <x v="1"/>
    <x v="1"/>
    <x v="1"/>
    <n v="1"/>
    <n v="70000"/>
  </r>
  <r>
    <n v="28192"/>
    <x v="0"/>
    <x v="0"/>
    <n v="70000"/>
    <x v="1"/>
    <n v="5"/>
    <x v="4"/>
    <x v="2"/>
    <s v="Yes"/>
    <n v="3"/>
    <x v="4"/>
    <x v="2"/>
    <n v="46"/>
    <x v="0"/>
    <x v="0"/>
    <x v="0"/>
    <n v="1"/>
    <n v="0"/>
  </r>
  <r>
    <n v="16122"/>
    <x v="0"/>
    <x v="1"/>
    <n v="40000"/>
    <x v="0"/>
    <n v="4"/>
    <x v="2"/>
    <x v="0"/>
    <s v="Yes"/>
    <n v="2"/>
    <x v="0"/>
    <x v="2"/>
    <n v="44"/>
    <x v="0"/>
    <x v="1"/>
    <x v="1"/>
    <n v="1"/>
    <n v="40000"/>
  </r>
  <r>
    <n v="18607"/>
    <x v="1"/>
    <x v="0"/>
    <n v="60000"/>
    <x v="0"/>
    <n v="4"/>
    <x v="0"/>
    <x v="0"/>
    <s v="Yes"/>
    <n v="2"/>
    <x v="1"/>
    <x v="2"/>
    <n v="42"/>
    <x v="0"/>
    <x v="1"/>
    <x v="1"/>
    <n v="1"/>
    <n v="60000"/>
  </r>
  <r>
    <n v="28858"/>
    <x v="1"/>
    <x v="1"/>
    <n v="80000"/>
    <x v="1"/>
    <n v="3"/>
    <x v="0"/>
    <x v="0"/>
    <s v="Yes"/>
    <n v="0"/>
    <x v="1"/>
    <x v="2"/>
    <n v="40"/>
    <x v="0"/>
    <x v="0"/>
    <x v="0"/>
    <n v="1"/>
    <n v="0"/>
  </r>
  <r>
    <n v="14432"/>
    <x v="1"/>
    <x v="1"/>
    <n v="90000"/>
    <x v="1"/>
    <n v="4"/>
    <x v="4"/>
    <x v="4"/>
    <s v="Yes"/>
    <n v="1"/>
    <x v="2"/>
    <x v="2"/>
    <n v="73"/>
    <x v="1"/>
    <x v="0"/>
    <x v="0"/>
    <n v="1"/>
    <n v="0"/>
  </r>
  <r>
    <n v="26305"/>
    <x v="1"/>
    <x v="0"/>
    <n v="60000"/>
    <x v="0"/>
    <n v="2"/>
    <x v="0"/>
    <x v="0"/>
    <s v="No"/>
    <n v="0"/>
    <x v="0"/>
    <x v="2"/>
    <n v="36"/>
    <x v="2"/>
    <x v="1"/>
    <x v="1"/>
    <n v="1"/>
    <n v="60000"/>
  </r>
  <r>
    <n v="22050"/>
    <x v="1"/>
    <x v="1"/>
    <n v="90000"/>
    <x v="1"/>
    <n v="4"/>
    <x v="0"/>
    <x v="4"/>
    <s v="Yes"/>
    <n v="1"/>
    <x v="3"/>
    <x v="2"/>
    <n v="38"/>
    <x v="2"/>
    <x v="1"/>
    <x v="1"/>
    <n v="1"/>
    <n v="90000"/>
  </r>
  <r>
    <n v="25394"/>
    <x v="0"/>
    <x v="1"/>
    <n v="60000"/>
    <x v="0"/>
    <n v="1"/>
    <x v="4"/>
    <x v="2"/>
    <s v="Yes"/>
    <n v="0"/>
    <x v="1"/>
    <x v="2"/>
    <n v="34"/>
    <x v="2"/>
    <x v="1"/>
    <x v="1"/>
    <n v="1"/>
    <n v="60000"/>
  </r>
  <r>
    <n v="19747"/>
    <x v="0"/>
    <x v="1"/>
    <n v="50000"/>
    <x v="0"/>
    <n v="4"/>
    <x v="0"/>
    <x v="4"/>
    <s v="Yes"/>
    <n v="2"/>
    <x v="4"/>
    <x v="2"/>
    <n v="63"/>
    <x v="1"/>
    <x v="0"/>
    <x v="0"/>
    <n v="1"/>
    <n v="0"/>
  </r>
  <r>
    <n v="23195"/>
    <x v="1"/>
    <x v="1"/>
    <n v="50000"/>
    <x v="0"/>
    <n v="3"/>
    <x v="0"/>
    <x v="0"/>
    <s v="Yes"/>
    <n v="2"/>
    <x v="1"/>
    <x v="2"/>
    <n v="41"/>
    <x v="0"/>
    <x v="1"/>
    <x v="1"/>
    <n v="1"/>
    <n v="50000"/>
  </r>
  <r>
    <n v="21695"/>
    <x v="0"/>
    <x v="1"/>
    <n v="60000"/>
    <x v="0"/>
    <n v="0"/>
    <x v="4"/>
    <x v="0"/>
    <s v="Yes"/>
    <n v="0"/>
    <x v="3"/>
    <x v="2"/>
    <n v="39"/>
    <x v="2"/>
    <x v="1"/>
    <x v="1"/>
    <n v="1"/>
    <n v="60000"/>
  </r>
  <r>
    <n v="13934"/>
    <x v="0"/>
    <x v="1"/>
    <n v="40000"/>
    <x v="0"/>
    <n v="4"/>
    <x v="2"/>
    <x v="0"/>
    <s v="Yes"/>
    <n v="2"/>
    <x v="1"/>
    <x v="2"/>
    <n v="46"/>
    <x v="0"/>
    <x v="0"/>
    <x v="0"/>
    <n v="1"/>
    <n v="0"/>
  </r>
  <r>
    <n v="13337"/>
    <x v="0"/>
    <x v="0"/>
    <n v="80000"/>
    <x v="1"/>
    <n v="5"/>
    <x v="0"/>
    <x v="4"/>
    <s v="Yes"/>
    <n v="2"/>
    <x v="2"/>
    <x v="2"/>
    <n v="64"/>
    <x v="1"/>
    <x v="0"/>
    <x v="0"/>
    <n v="1"/>
    <n v="0"/>
  </r>
  <r>
    <n v="27190"/>
    <x v="0"/>
    <x v="0"/>
    <n v="40000"/>
    <x v="0"/>
    <n v="3"/>
    <x v="1"/>
    <x v="1"/>
    <s v="Yes"/>
    <n v="1"/>
    <x v="3"/>
    <x v="2"/>
    <n v="32"/>
    <x v="2"/>
    <x v="0"/>
    <x v="0"/>
    <n v="1"/>
    <n v="0"/>
  </r>
  <r>
    <n v="28657"/>
    <x v="1"/>
    <x v="1"/>
    <n v="60000"/>
    <x v="0"/>
    <n v="2"/>
    <x v="0"/>
    <x v="0"/>
    <s v="Yes"/>
    <n v="0"/>
    <x v="1"/>
    <x v="2"/>
    <n v="36"/>
    <x v="2"/>
    <x v="1"/>
    <x v="1"/>
    <n v="1"/>
    <n v="60000"/>
  </r>
  <r>
    <n v="21713"/>
    <x v="1"/>
    <x v="1"/>
    <n v="80000"/>
    <x v="1"/>
    <n v="5"/>
    <x v="4"/>
    <x v="0"/>
    <s v="No"/>
    <n v="0"/>
    <x v="0"/>
    <x v="2"/>
    <n v="47"/>
    <x v="0"/>
    <x v="0"/>
    <x v="0"/>
    <n v="1"/>
    <n v="0"/>
  </r>
  <r>
    <n v="21752"/>
    <x v="0"/>
    <x v="1"/>
    <n v="60000"/>
    <x v="0"/>
    <n v="3"/>
    <x v="4"/>
    <x v="4"/>
    <s v="Yes"/>
    <n v="2"/>
    <x v="4"/>
    <x v="2"/>
    <n v="64"/>
    <x v="1"/>
    <x v="0"/>
    <x v="0"/>
    <n v="1"/>
    <n v="0"/>
  </r>
  <r>
    <n v="27273"/>
    <x v="1"/>
    <x v="1"/>
    <n v="70000"/>
    <x v="1"/>
    <n v="3"/>
    <x v="4"/>
    <x v="2"/>
    <s v="No"/>
    <n v="0"/>
    <x v="0"/>
    <x v="2"/>
    <n v="35"/>
    <x v="2"/>
    <x v="1"/>
    <x v="1"/>
    <n v="1"/>
    <n v="70000"/>
  </r>
  <r>
    <n v="22719"/>
    <x v="1"/>
    <x v="1"/>
    <n v="110000"/>
    <x v="1"/>
    <n v="3"/>
    <x v="0"/>
    <x v="4"/>
    <s v="Yes"/>
    <n v="4"/>
    <x v="1"/>
    <x v="2"/>
    <n v="40"/>
    <x v="0"/>
    <x v="1"/>
    <x v="1"/>
    <n v="1"/>
    <n v="110000"/>
  </r>
  <r>
    <n v="22042"/>
    <x v="0"/>
    <x v="0"/>
    <n v="70000"/>
    <x v="1"/>
    <n v="0"/>
    <x v="1"/>
    <x v="0"/>
    <s v="Yes"/>
    <n v="2"/>
    <x v="2"/>
    <x v="2"/>
    <n v="34"/>
    <x v="2"/>
    <x v="1"/>
    <x v="1"/>
    <n v="1"/>
    <n v="70000"/>
  </r>
  <r>
    <n v="21451"/>
    <x v="0"/>
    <x v="0"/>
    <n v="40000"/>
    <x v="0"/>
    <n v="4"/>
    <x v="2"/>
    <x v="2"/>
    <s v="Yes"/>
    <n v="2"/>
    <x v="4"/>
    <x v="2"/>
    <n v="61"/>
    <x v="1"/>
    <x v="0"/>
    <x v="0"/>
    <n v="1"/>
    <n v="0"/>
  </r>
  <r>
    <n v="20754"/>
    <x v="0"/>
    <x v="1"/>
    <n v="30000"/>
    <x v="0"/>
    <n v="2"/>
    <x v="2"/>
    <x v="0"/>
    <s v="Yes"/>
    <n v="2"/>
    <x v="3"/>
    <x v="2"/>
    <n v="51"/>
    <x v="0"/>
    <x v="0"/>
    <x v="0"/>
    <n v="1"/>
    <n v="0"/>
  </r>
  <r>
    <n v="12153"/>
    <x v="1"/>
    <x v="0"/>
    <n v="70000"/>
    <x v="1"/>
    <n v="3"/>
    <x v="1"/>
    <x v="2"/>
    <s v="Yes"/>
    <n v="1"/>
    <x v="2"/>
    <x v="2"/>
    <n v="49"/>
    <x v="0"/>
    <x v="1"/>
    <x v="1"/>
    <n v="1"/>
    <n v="70000"/>
  </r>
  <r>
    <n v="16895"/>
    <x v="0"/>
    <x v="0"/>
    <n v="40000"/>
    <x v="0"/>
    <n v="3"/>
    <x v="1"/>
    <x v="2"/>
    <s v="No"/>
    <n v="2"/>
    <x v="3"/>
    <x v="2"/>
    <n v="54"/>
    <x v="0"/>
    <x v="1"/>
    <x v="1"/>
    <n v="1"/>
    <n v="40000"/>
  </r>
  <r>
    <n v="26728"/>
    <x v="1"/>
    <x v="1"/>
    <n v="70000"/>
    <x v="1"/>
    <n v="3"/>
    <x v="4"/>
    <x v="4"/>
    <s v="No"/>
    <n v="2"/>
    <x v="3"/>
    <x v="2"/>
    <n v="53"/>
    <x v="0"/>
    <x v="1"/>
    <x v="1"/>
    <n v="1"/>
    <n v="70000"/>
  </r>
  <r>
    <n v="11090"/>
    <x v="1"/>
    <x v="1"/>
    <n v="90000"/>
    <x v="1"/>
    <n v="2"/>
    <x v="1"/>
    <x v="2"/>
    <s v="Yes"/>
    <n v="1"/>
    <x v="1"/>
    <x v="2"/>
    <n v="48"/>
    <x v="0"/>
    <x v="1"/>
    <x v="1"/>
    <n v="1"/>
    <n v="90000"/>
  </r>
  <r>
    <n v="15862"/>
    <x v="1"/>
    <x v="0"/>
    <n v="50000"/>
    <x v="0"/>
    <n v="0"/>
    <x v="4"/>
    <x v="0"/>
    <s v="Yes"/>
    <n v="0"/>
    <x v="3"/>
    <x v="2"/>
    <n v="33"/>
    <x v="2"/>
    <x v="1"/>
    <x v="1"/>
    <n v="1"/>
    <n v="50000"/>
  </r>
  <r>
    <n v="26495"/>
    <x v="1"/>
    <x v="0"/>
    <n v="40000"/>
    <x v="0"/>
    <n v="2"/>
    <x v="2"/>
    <x v="2"/>
    <s v="Yes"/>
    <n v="2"/>
    <x v="4"/>
    <x v="2"/>
    <n v="57"/>
    <x v="0"/>
    <x v="0"/>
    <x v="0"/>
    <n v="1"/>
    <n v="0"/>
  </r>
  <r>
    <n v="11823"/>
    <x v="0"/>
    <x v="0"/>
    <n v="70000"/>
    <x v="1"/>
    <n v="0"/>
    <x v="4"/>
    <x v="2"/>
    <s v="Yes"/>
    <n v="0"/>
    <x v="1"/>
    <x v="2"/>
    <n v="39"/>
    <x v="2"/>
    <x v="0"/>
    <x v="0"/>
    <n v="1"/>
    <n v="0"/>
  </r>
  <r>
    <n v="23449"/>
    <x v="0"/>
    <x v="1"/>
    <n v="60000"/>
    <x v="0"/>
    <n v="2"/>
    <x v="2"/>
    <x v="2"/>
    <s v="Yes"/>
    <n v="2"/>
    <x v="2"/>
    <x v="2"/>
    <n v="48"/>
    <x v="0"/>
    <x v="0"/>
    <x v="0"/>
    <n v="1"/>
    <n v="0"/>
  </r>
  <r>
    <n v="23459"/>
    <x v="0"/>
    <x v="1"/>
    <n v="60000"/>
    <x v="0"/>
    <n v="2"/>
    <x v="2"/>
    <x v="2"/>
    <s v="Yes"/>
    <n v="2"/>
    <x v="2"/>
    <x v="2"/>
    <n v="50"/>
    <x v="0"/>
    <x v="0"/>
    <x v="0"/>
    <n v="1"/>
    <n v="0"/>
  </r>
  <r>
    <n v="19543"/>
    <x v="0"/>
    <x v="1"/>
    <n v="70000"/>
    <x v="1"/>
    <n v="5"/>
    <x v="4"/>
    <x v="2"/>
    <s v="No"/>
    <n v="3"/>
    <x v="4"/>
    <x v="2"/>
    <n v="47"/>
    <x v="0"/>
    <x v="0"/>
    <x v="0"/>
    <n v="1"/>
    <n v="0"/>
  </r>
  <r>
    <n v="14914"/>
    <x v="0"/>
    <x v="0"/>
    <n v="40000"/>
    <x v="0"/>
    <n v="1"/>
    <x v="1"/>
    <x v="1"/>
    <s v="Yes"/>
    <n v="1"/>
    <x v="3"/>
    <x v="2"/>
    <n v="49"/>
    <x v="0"/>
    <x v="1"/>
    <x v="1"/>
    <n v="1"/>
    <n v="40000"/>
  </r>
  <r>
    <n v="12033"/>
    <x v="1"/>
    <x v="0"/>
    <n v="40000"/>
    <x v="0"/>
    <n v="0"/>
    <x v="2"/>
    <x v="0"/>
    <s v="No"/>
    <n v="2"/>
    <x v="0"/>
    <x v="2"/>
    <n v="27"/>
    <x v="3"/>
    <x v="1"/>
    <x v="1"/>
    <n v="1"/>
    <n v="40000"/>
  </r>
  <r>
    <n v="11941"/>
    <x v="1"/>
    <x v="1"/>
    <n v="60000"/>
    <x v="0"/>
    <n v="0"/>
    <x v="1"/>
    <x v="0"/>
    <s v="Yes"/>
    <n v="0"/>
    <x v="2"/>
    <x v="2"/>
    <n v="29"/>
    <x v="3"/>
    <x v="0"/>
    <x v="0"/>
    <n v="1"/>
    <n v="0"/>
  </r>
  <r>
    <n v="14389"/>
    <x v="0"/>
    <x v="1"/>
    <n v="60000"/>
    <x v="0"/>
    <n v="2"/>
    <x v="0"/>
    <x v="4"/>
    <s v="Yes"/>
    <n v="0"/>
    <x v="1"/>
    <x v="2"/>
    <n v="59"/>
    <x v="0"/>
    <x v="0"/>
    <x v="0"/>
    <n v="1"/>
    <n v="0"/>
  </r>
  <r>
    <n v="18050"/>
    <x v="0"/>
    <x v="0"/>
    <n v="60000"/>
    <x v="0"/>
    <n v="1"/>
    <x v="1"/>
    <x v="0"/>
    <s v="Yes"/>
    <n v="1"/>
    <x v="0"/>
    <x v="2"/>
    <n v="45"/>
    <x v="0"/>
    <x v="1"/>
    <x v="1"/>
    <n v="1"/>
    <n v="60000"/>
  </r>
  <r>
    <n v="19856"/>
    <x v="0"/>
    <x v="0"/>
    <n v="60000"/>
    <x v="0"/>
    <n v="4"/>
    <x v="0"/>
    <x v="4"/>
    <s v="Yes"/>
    <n v="2"/>
    <x v="1"/>
    <x v="2"/>
    <n v="60"/>
    <x v="1"/>
    <x v="0"/>
    <x v="0"/>
    <n v="1"/>
    <n v="0"/>
  </r>
  <r>
    <n v="11663"/>
    <x v="0"/>
    <x v="1"/>
    <n v="70000"/>
    <x v="1"/>
    <n v="4"/>
    <x v="4"/>
    <x v="2"/>
    <s v="Yes"/>
    <n v="0"/>
    <x v="0"/>
    <x v="2"/>
    <n v="36"/>
    <x v="2"/>
    <x v="1"/>
    <x v="1"/>
    <n v="1"/>
    <n v="70000"/>
  </r>
  <r>
    <n v="27740"/>
    <x v="0"/>
    <x v="0"/>
    <n v="40000"/>
    <x v="0"/>
    <n v="0"/>
    <x v="2"/>
    <x v="0"/>
    <s v="Yes"/>
    <n v="2"/>
    <x v="2"/>
    <x v="2"/>
    <n v="27"/>
    <x v="3"/>
    <x v="0"/>
    <x v="0"/>
    <n v="1"/>
    <n v="0"/>
  </r>
  <r>
    <n v="23455"/>
    <x v="1"/>
    <x v="1"/>
    <n v="80000"/>
    <x v="1"/>
    <n v="2"/>
    <x v="3"/>
    <x v="0"/>
    <s v="No"/>
    <n v="2"/>
    <x v="3"/>
    <x v="2"/>
    <n v="50"/>
    <x v="0"/>
    <x v="0"/>
    <x v="0"/>
    <n v="1"/>
    <n v="0"/>
  </r>
  <r>
    <n v="15292"/>
    <x v="1"/>
    <x v="0"/>
    <n v="60000"/>
    <x v="0"/>
    <n v="1"/>
    <x v="4"/>
    <x v="0"/>
    <s v="Yes"/>
    <n v="0"/>
    <x v="3"/>
    <x v="2"/>
    <n v="35"/>
    <x v="2"/>
    <x v="0"/>
    <x v="0"/>
    <n v="1"/>
    <n v="0"/>
  </r>
  <r>
    <n v="21587"/>
    <x v="0"/>
    <x v="0"/>
    <n v="60000"/>
    <x v="0"/>
    <n v="1"/>
    <x v="4"/>
    <x v="0"/>
    <s v="Yes"/>
    <n v="0"/>
    <x v="1"/>
    <x v="2"/>
    <n v="34"/>
    <x v="2"/>
    <x v="1"/>
    <x v="1"/>
    <n v="1"/>
    <n v="60000"/>
  </r>
  <r>
    <n v="23513"/>
    <x v="0"/>
    <x v="0"/>
    <n v="40000"/>
    <x v="0"/>
    <n v="3"/>
    <x v="1"/>
    <x v="2"/>
    <s v="Yes"/>
    <n v="2"/>
    <x v="2"/>
    <x v="2"/>
    <n v="54"/>
    <x v="0"/>
    <x v="0"/>
    <x v="0"/>
    <n v="1"/>
    <n v="0"/>
  </r>
  <r>
    <n v="24322"/>
    <x v="0"/>
    <x v="0"/>
    <n v="60000"/>
    <x v="0"/>
    <n v="4"/>
    <x v="0"/>
    <x v="0"/>
    <s v="No"/>
    <n v="2"/>
    <x v="0"/>
    <x v="2"/>
    <n v="42"/>
    <x v="0"/>
    <x v="0"/>
    <x v="0"/>
    <n v="1"/>
    <n v="0"/>
  </r>
  <r>
    <n v="26298"/>
    <x v="0"/>
    <x v="0"/>
    <n v="50000"/>
    <x v="0"/>
    <n v="1"/>
    <x v="0"/>
    <x v="0"/>
    <s v="Yes"/>
    <n v="0"/>
    <x v="1"/>
    <x v="2"/>
    <n v="34"/>
    <x v="2"/>
    <x v="1"/>
    <x v="1"/>
    <n v="1"/>
    <n v="50000"/>
  </r>
  <r>
    <n v="25419"/>
    <x v="1"/>
    <x v="1"/>
    <n v="50000"/>
    <x v="0"/>
    <n v="2"/>
    <x v="0"/>
    <x v="0"/>
    <s v="No"/>
    <n v="1"/>
    <x v="0"/>
    <x v="2"/>
    <n v="38"/>
    <x v="2"/>
    <x v="1"/>
    <x v="1"/>
    <n v="1"/>
    <n v="50000"/>
  </r>
  <r>
    <n v="13343"/>
    <x v="0"/>
    <x v="0"/>
    <n v="90000"/>
    <x v="1"/>
    <n v="5"/>
    <x v="0"/>
    <x v="4"/>
    <s v="Yes"/>
    <n v="2"/>
    <x v="3"/>
    <x v="2"/>
    <n v="63"/>
    <x v="1"/>
    <x v="1"/>
    <x v="1"/>
    <n v="1"/>
    <n v="90000"/>
  </r>
  <r>
    <n v="11303"/>
    <x v="1"/>
    <x v="0"/>
    <n v="90000"/>
    <x v="1"/>
    <n v="4"/>
    <x v="2"/>
    <x v="2"/>
    <s v="No"/>
    <n v="3"/>
    <x v="3"/>
    <x v="2"/>
    <n v="45"/>
    <x v="0"/>
    <x v="1"/>
    <x v="1"/>
    <n v="1"/>
    <n v="90000"/>
  </r>
  <r>
    <n v="21693"/>
    <x v="1"/>
    <x v="0"/>
    <n v="60000"/>
    <x v="0"/>
    <n v="0"/>
    <x v="4"/>
    <x v="0"/>
    <s v="No"/>
    <n v="0"/>
    <x v="0"/>
    <x v="2"/>
    <n v="40"/>
    <x v="0"/>
    <x v="0"/>
    <x v="0"/>
    <n v="1"/>
    <n v="0"/>
  </r>
  <r>
    <n v="28056"/>
    <x v="0"/>
    <x v="1"/>
    <n v="70000"/>
    <x v="1"/>
    <n v="2"/>
    <x v="3"/>
    <x v="0"/>
    <s v="Yes"/>
    <n v="2"/>
    <x v="4"/>
    <x v="2"/>
    <n v="53"/>
    <x v="0"/>
    <x v="0"/>
    <x v="0"/>
    <n v="1"/>
    <n v="0"/>
  </r>
  <r>
    <n v="11788"/>
    <x v="1"/>
    <x v="0"/>
    <n v="70000"/>
    <x v="1"/>
    <n v="1"/>
    <x v="4"/>
    <x v="2"/>
    <s v="Yes"/>
    <n v="0"/>
    <x v="1"/>
    <x v="2"/>
    <n v="34"/>
    <x v="2"/>
    <x v="0"/>
    <x v="0"/>
    <n v="1"/>
    <n v="0"/>
  </r>
  <r>
    <n v="22296"/>
    <x v="0"/>
    <x v="1"/>
    <n v="70000"/>
    <x v="1"/>
    <n v="0"/>
    <x v="0"/>
    <x v="2"/>
    <s v="No"/>
    <n v="1"/>
    <x v="0"/>
    <x v="2"/>
    <n v="38"/>
    <x v="2"/>
    <x v="0"/>
    <x v="0"/>
    <n v="1"/>
    <n v="0"/>
  </r>
  <r>
    <n v="15319"/>
    <x v="0"/>
    <x v="0"/>
    <n v="70000"/>
    <x v="1"/>
    <n v="4"/>
    <x v="0"/>
    <x v="4"/>
    <s v="No"/>
    <n v="1"/>
    <x v="3"/>
    <x v="2"/>
    <n v="59"/>
    <x v="0"/>
    <x v="0"/>
    <x v="0"/>
    <n v="1"/>
    <n v="0"/>
  </r>
  <r>
    <n v="17654"/>
    <x v="1"/>
    <x v="0"/>
    <n v="40000"/>
    <x v="0"/>
    <n v="3"/>
    <x v="1"/>
    <x v="1"/>
    <s v="Yes"/>
    <n v="1"/>
    <x v="3"/>
    <x v="2"/>
    <n v="30"/>
    <x v="2"/>
    <x v="1"/>
    <x v="1"/>
    <n v="1"/>
    <n v="40000"/>
  </r>
  <r>
    <n v="14662"/>
    <x v="0"/>
    <x v="1"/>
    <n v="60000"/>
    <x v="0"/>
    <n v="1"/>
    <x v="0"/>
    <x v="2"/>
    <s v="Yes"/>
    <n v="1"/>
    <x v="0"/>
    <x v="2"/>
    <n v="48"/>
    <x v="0"/>
    <x v="1"/>
    <x v="1"/>
    <n v="1"/>
    <n v="60000"/>
  </r>
  <r>
    <n v="17541"/>
    <x v="0"/>
    <x v="0"/>
    <n v="40000"/>
    <x v="0"/>
    <n v="4"/>
    <x v="2"/>
    <x v="0"/>
    <s v="Yes"/>
    <n v="2"/>
    <x v="1"/>
    <x v="2"/>
    <n v="43"/>
    <x v="0"/>
    <x v="0"/>
    <x v="0"/>
    <n v="1"/>
    <n v="0"/>
  </r>
  <r>
    <n v="13886"/>
    <x v="0"/>
    <x v="0"/>
    <n v="70000"/>
    <x v="1"/>
    <n v="4"/>
    <x v="4"/>
    <x v="2"/>
    <s v="Yes"/>
    <n v="0"/>
    <x v="1"/>
    <x v="2"/>
    <n v="35"/>
    <x v="2"/>
    <x v="1"/>
    <x v="1"/>
    <n v="1"/>
    <n v="70000"/>
  </r>
  <r>
    <n v="13073"/>
    <x v="0"/>
    <x v="0"/>
    <n v="60000"/>
    <x v="0"/>
    <n v="0"/>
    <x v="1"/>
    <x v="2"/>
    <s v="Yes"/>
    <n v="2"/>
    <x v="2"/>
    <x v="2"/>
    <n v="30"/>
    <x v="2"/>
    <x v="0"/>
    <x v="0"/>
    <n v="1"/>
    <n v="0"/>
  </r>
  <r>
    <n v="21940"/>
    <x v="0"/>
    <x v="1"/>
    <n v="90000"/>
    <x v="1"/>
    <n v="5"/>
    <x v="4"/>
    <x v="2"/>
    <s v="Yes"/>
    <n v="0"/>
    <x v="0"/>
    <x v="2"/>
    <n v="47"/>
    <x v="0"/>
    <x v="1"/>
    <x v="1"/>
    <n v="1"/>
    <n v="90000"/>
  </r>
  <r>
    <n v="20196"/>
    <x v="0"/>
    <x v="1"/>
    <n v="60000"/>
    <x v="0"/>
    <n v="1"/>
    <x v="1"/>
    <x v="0"/>
    <s v="Yes"/>
    <n v="1"/>
    <x v="1"/>
    <x v="2"/>
    <n v="45"/>
    <x v="0"/>
    <x v="1"/>
    <x v="1"/>
    <n v="1"/>
    <n v="60000"/>
  </r>
  <r>
    <n v="23491"/>
    <x v="1"/>
    <x v="1"/>
    <n v="100000"/>
    <x v="1"/>
    <n v="0"/>
    <x v="1"/>
    <x v="2"/>
    <s v="No"/>
    <n v="4"/>
    <x v="3"/>
    <x v="2"/>
    <n v="45"/>
    <x v="0"/>
    <x v="0"/>
    <x v="0"/>
    <n v="1"/>
    <n v="0"/>
  </r>
  <r>
    <n v="16651"/>
    <x v="0"/>
    <x v="0"/>
    <n v="120000"/>
    <x v="1"/>
    <n v="2"/>
    <x v="0"/>
    <x v="4"/>
    <s v="Yes"/>
    <n v="3"/>
    <x v="2"/>
    <x v="2"/>
    <n v="62"/>
    <x v="1"/>
    <x v="0"/>
    <x v="0"/>
    <n v="1"/>
    <n v="0"/>
  </r>
  <r>
    <n v="16813"/>
    <x v="0"/>
    <x v="1"/>
    <n v="60000"/>
    <x v="0"/>
    <n v="2"/>
    <x v="1"/>
    <x v="2"/>
    <s v="Yes"/>
    <n v="2"/>
    <x v="4"/>
    <x v="2"/>
    <n v="55"/>
    <x v="0"/>
    <x v="0"/>
    <x v="0"/>
    <n v="1"/>
    <n v="0"/>
  </r>
  <r>
    <n v="16007"/>
    <x v="0"/>
    <x v="0"/>
    <n v="90000"/>
    <x v="1"/>
    <n v="5"/>
    <x v="0"/>
    <x v="4"/>
    <s v="Yes"/>
    <n v="2"/>
    <x v="3"/>
    <x v="2"/>
    <n v="66"/>
    <x v="1"/>
    <x v="1"/>
    <x v="1"/>
    <n v="1"/>
    <n v="90000"/>
  </r>
  <r>
    <n v="27434"/>
    <x v="1"/>
    <x v="1"/>
    <n v="70000"/>
    <x v="1"/>
    <n v="4"/>
    <x v="1"/>
    <x v="2"/>
    <s v="Yes"/>
    <n v="1"/>
    <x v="4"/>
    <x v="2"/>
    <n v="56"/>
    <x v="0"/>
    <x v="0"/>
    <x v="0"/>
    <n v="1"/>
    <n v="0"/>
  </r>
  <r>
    <n v="27756"/>
    <x v="1"/>
    <x v="0"/>
    <n v="50000"/>
    <x v="0"/>
    <n v="3"/>
    <x v="0"/>
    <x v="0"/>
    <s v="No"/>
    <n v="1"/>
    <x v="0"/>
    <x v="2"/>
    <n v="40"/>
    <x v="0"/>
    <x v="0"/>
    <x v="0"/>
    <n v="1"/>
    <n v="0"/>
  </r>
  <r>
    <n v="23818"/>
    <x v="0"/>
    <x v="0"/>
    <n v="50000"/>
    <x v="0"/>
    <n v="0"/>
    <x v="4"/>
    <x v="0"/>
    <s v="Yes"/>
    <n v="0"/>
    <x v="3"/>
    <x v="2"/>
    <n v="33"/>
    <x v="2"/>
    <x v="1"/>
    <x v="1"/>
    <n v="1"/>
    <n v="50000"/>
  </r>
  <r>
    <n v="19012"/>
    <x v="0"/>
    <x v="1"/>
    <n v="80000"/>
    <x v="1"/>
    <n v="3"/>
    <x v="0"/>
    <x v="4"/>
    <s v="Yes"/>
    <n v="1"/>
    <x v="3"/>
    <x v="2"/>
    <n v="56"/>
    <x v="0"/>
    <x v="0"/>
    <x v="0"/>
    <n v="1"/>
    <n v="0"/>
  </r>
  <r>
    <n v="18329"/>
    <x v="1"/>
    <x v="1"/>
    <n v="30000"/>
    <x v="0"/>
    <n v="0"/>
    <x v="3"/>
    <x v="1"/>
    <s v="No"/>
    <n v="2"/>
    <x v="2"/>
    <x v="2"/>
    <n v="27"/>
    <x v="3"/>
    <x v="0"/>
    <x v="0"/>
    <n v="1"/>
    <n v="0"/>
  </r>
  <r>
    <n v="29037"/>
    <x v="0"/>
    <x v="1"/>
    <n v="60000"/>
    <x v="0"/>
    <n v="0"/>
    <x v="4"/>
    <x v="2"/>
    <s v="No"/>
    <n v="0"/>
    <x v="0"/>
    <x v="2"/>
    <n v="39"/>
    <x v="2"/>
    <x v="0"/>
    <x v="0"/>
    <n v="1"/>
    <n v="0"/>
  </r>
  <r>
    <n v="26576"/>
    <x v="0"/>
    <x v="0"/>
    <n v="60000"/>
    <x v="0"/>
    <n v="0"/>
    <x v="1"/>
    <x v="0"/>
    <s v="Yes"/>
    <n v="2"/>
    <x v="2"/>
    <x v="2"/>
    <n v="31"/>
    <x v="2"/>
    <x v="0"/>
    <x v="0"/>
    <n v="1"/>
    <n v="0"/>
  </r>
  <r>
    <n v="12192"/>
    <x v="1"/>
    <x v="0"/>
    <n v="60000"/>
    <x v="0"/>
    <n v="2"/>
    <x v="3"/>
    <x v="0"/>
    <s v="No"/>
    <n v="2"/>
    <x v="3"/>
    <x v="2"/>
    <n v="51"/>
    <x v="0"/>
    <x v="0"/>
    <x v="0"/>
    <n v="1"/>
    <n v="0"/>
  </r>
  <r>
    <n v="14887"/>
    <x v="0"/>
    <x v="0"/>
    <n v="30000"/>
    <x v="0"/>
    <n v="1"/>
    <x v="2"/>
    <x v="1"/>
    <s v="Yes"/>
    <n v="1"/>
    <x v="2"/>
    <x v="2"/>
    <n v="52"/>
    <x v="0"/>
    <x v="0"/>
    <x v="0"/>
    <n v="1"/>
    <n v="0"/>
  </r>
  <r>
    <n v="11734"/>
    <x v="0"/>
    <x v="1"/>
    <n v="60000"/>
    <x v="0"/>
    <n v="1"/>
    <x v="1"/>
    <x v="0"/>
    <s v="No"/>
    <n v="1"/>
    <x v="0"/>
    <x v="2"/>
    <n v="47"/>
    <x v="0"/>
    <x v="0"/>
    <x v="0"/>
    <n v="1"/>
    <n v="0"/>
  </r>
  <r>
    <n v="17462"/>
    <x v="0"/>
    <x v="1"/>
    <n v="70000"/>
    <x v="1"/>
    <n v="3"/>
    <x v="4"/>
    <x v="4"/>
    <s v="Yes"/>
    <n v="2"/>
    <x v="2"/>
    <x v="2"/>
    <n v="53"/>
    <x v="0"/>
    <x v="1"/>
    <x v="1"/>
    <n v="1"/>
    <n v="70000"/>
  </r>
  <r>
    <n v="20659"/>
    <x v="0"/>
    <x v="1"/>
    <n v="70000"/>
    <x v="1"/>
    <n v="3"/>
    <x v="4"/>
    <x v="2"/>
    <s v="Yes"/>
    <n v="0"/>
    <x v="0"/>
    <x v="2"/>
    <n v="35"/>
    <x v="2"/>
    <x v="1"/>
    <x v="1"/>
    <n v="1"/>
    <n v="70000"/>
  </r>
  <r>
    <n v="28004"/>
    <x v="0"/>
    <x v="0"/>
    <n v="60000"/>
    <x v="0"/>
    <n v="3"/>
    <x v="0"/>
    <x v="4"/>
    <s v="Yes"/>
    <n v="2"/>
    <x v="4"/>
    <x v="2"/>
    <n v="66"/>
    <x v="1"/>
    <x v="0"/>
    <x v="0"/>
    <n v="1"/>
    <n v="0"/>
  </r>
  <r>
    <n v="19741"/>
    <x v="1"/>
    <x v="0"/>
    <n v="80000"/>
    <x v="1"/>
    <n v="4"/>
    <x v="4"/>
    <x v="4"/>
    <s v="Yes"/>
    <n v="2"/>
    <x v="2"/>
    <x v="2"/>
    <n v="65"/>
    <x v="1"/>
    <x v="0"/>
    <x v="0"/>
    <n v="1"/>
    <n v="0"/>
  </r>
  <r>
    <n v="17450"/>
    <x v="0"/>
    <x v="1"/>
    <n v="80000"/>
    <x v="1"/>
    <n v="5"/>
    <x v="1"/>
    <x v="2"/>
    <s v="Yes"/>
    <n v="3"/>
    <x v="2"/>
    <x v="2"/>
    <n v="45"/>
    <x v="0"/>
    <x v="0"/>
    <x v="0"/>
    <n v="1"/>
    <n v="0"/>
  </r>
  <r>
    <n v="17337"/>
    <x v="1"/>
    <x v="1"/>
    <n v="40000"/>
    <x v="0"/>
    <n v="0"/>
    <x v="2"/>
    <x v="0"/>
    <s v="Yes"/>
    <n v="1"/>
    <x v="2"/>
    <x v="2"/>
    <n v="31"/>
    <x v="2"/>
    <x v="0"/>
    <x v="0"/>
    <n v="1"/>
    <n v="0"/>
  </r>
  <r>
    <n v="18594"/>
    <x v="1"/>
    <x v="0"/>
    <n v="80000"/>
    <x v="1"/>
    <n v="3"/>
    <x v="0"/>
    <x v="0"/>
    <s v="Yes"/>
    <n v="3"/>
    <x v="4"/>
    <x v="2"/>
    <n v="40"/>
    <x v="0"/>
    <x v="1"/>
    <x v="1"/>
    <n v="1"/>
    <n v="80000"/>
  </r>
  <r>
    <n v="15982"/>
    <x v="0"/>
    <x v="1"/>
    <n v="110000"/>
    <x v="1"/>
    <n v="5"/>
    <x v="1"/>
    <x v="2"/>
    <s v="Yes"/>
    <n v="4"/>
    <x v="1"/>
    <x v="2"/>
    <n v="46"/>
    <x v="0"/>
    <x v="0"/>
    <x v="0"/>
    <n v="1"/>
    <n v="0"/>
  </r>
  <r>
    <n v="28625"/>
    <x v="1"/>
    <x v="1"/>
    <n v="40000"/>
    <x v="0"/>
    <n v="2"/>
    <x v="1"/>
    <x v="1"/>
    <s v="No"/>
    <n v="1"/>
    <x v="3"/>
    <x v="2"/>
    <n v="47"/>
    <x v="0"/>
    <x v="1"/>
    <x v="1"/>
    <n v="1"/>
    <n v="40000"/>
  </r>
  <r>
    <n v="11269"/>
    <x v="0"/>
    <x v="1"/>
    <n v="130000"/>
    <x v="2"/>
    <n v="2"/>
    <x v="4"/>
    <x v="4"/>
    <s v="Yes"/>
    <n v="2"/>
    <x v="0"/>
    <x v="2"/>
    <n v="41"/>
    <x v="0"/>
    <x v="0"/>
    <x v="0"/>
    <n v="1"/>
    <n v="0"/>
  </r>
  <r>
    <n v="25148"/>
    <x v="0"/>
    <x v="1"/>
    <n v="60000"/>
    <x v="0"/>
    <n v="2"/>
    <x v="2"/>
    <x v="2"/>
    <s v="No"/>
    <n v="2"/>
    <x v="3"/>
    <x v="2"/>
    <n v="48"/>
    <x v="0"/>
    <x v="1"/>
    <x v="1"/>
    <n v="1"/>
    <n v="60000"/>
  </r>
  <r>
    <n v="13920"/>
    <x v="1"/>
    <x v="0"/>
    <n v="50000"/>
    <x v="0"/>
    <n v="4"/>
    <x v="0"/>
    <x v="0"/>
    <s v="Yes"/>
    <n v="2"/>
    <x v="0"/>
    <x v="2"/>
    <n v="42"/>
    <x v="0"/>
    <x v="0"/>
    <x v="0"/>
    <n v="1"/>
    <n v="0"/>
  </r>
  <r>
    <n v="23704"/>
    <x v="1"/>
    <x v="1"/>
    <n v="40000"/>
    <x v="0"/>
    <n v="5"/>
    <x v="2"/>
    <x v="2"/>
    <s v="Yes"/>
    <n v="4"/>
    <x v="4"/>
    <x v="2"/>
    <n v="60"/>
    <x v="1"/>
    <x v="1"/>
    <x v="1"/>
    <n v="1"/>
    <n v="40000"/>
  </r>
  <r>
    <n v="28972"/>
    <x v="1"/>
    <x v="0"/>
    <n v="60000"/>
    <x v="0"/>
    <n v="3"/>
    <x v="4"/>
    <x v="4"/>
    <s v="Yes"/>
    <n v="2"/>
    <x v="4"/>
    <x v="2"/>
    <n v="66"/>
    <x v="1"/>
    <x v="0"/>
    <x v="0"/>
    <n v="1"/>
    <n v="0"/>
  </r>
  <r>
    <n v="22730"/>
    <x v="0"/>
    <x v="1"/>
    <n v="70000"/>
    <x v="1"/>
    <n v="5"/>
    <x v="0"/>
    <x v="4"/>
    <s v="Yes"/>
    <n v="2"/>
    <x v="4"/>
    <x v="2"/>
    <n v="63"/>
    <x v="1"/>
    <x v="0"/>
    <x v="0"/>
    <n v="1"/>
    <n v="0"/>
  </r>
  <r>
    <n v="29134"/>
    <x v="0"/>
    <x v="1"/>
    <n v="60000"/>
    <x v="0"/>
    <n v="4"/>
    <x v="0"/>
    <x v="0"/>
    <s v="No"/>
    <n v="3"/>
    <x v="4"/>
    <x v="2"/>
    <n v="42"/>
    <x v="0"/>
    <x v="0"/>
    <x v="0"/>
    <n v="1"/>
    <n v="0"/>
  </r>
  <r>
    <n v="14332"/>
    <x v="1"/>
    <x v="0"/>
    <n v="30000"/>
    <x v="0"/>
    <n v="0"/>
    <x v="2"/>
    <x v="0"/>
    <s v="No"/>
    <n v="2"/>
    <x v="2"/>
    <x v="2"/>
    <n v="26"/>
    <x v="3"/>
    <x v="0"/>
    <x v="0"/>
    <n v="1"/>
    <n v="0"/>
  </r>
  <r>
    <n v="19117"/>
    <x v="1"/>
    <x v="0"/>
    <n v="60000"/>
    <x v="0"/>
    <n v="1"/>
    <x v="4"/>
    <x v="2"/>
    <s v="Yes"/>
    <n v="0"/>
    <x v="1"/>
    <x v="2"/>
    <n v="36"/>
    <x v="2"/>
    <x v="1"/>
    <x v="1"/>
    <n v="1"/>
    <n v="60000"/>
  </r>
  <r>
    <n v="22864"/>
    <x v="0"/>
    <x v="1"/>
    <n v="90000"/>
    <x v="1"/>
    <n v="2"/>
    <x v="1"/>
    <x v="2"/>
    <s v="No"/>
    <n v="0"/>
    <x v="2"/>
    <x v="2"/>
    <n v="49"/>
    <x v="0"/>
    <x v="1"/>
    <x v="1"/>
    <n v="1"/>
    <n v="90000"/>
  </r>
  <r>
    <n v="11292"/>
    <x v="1"/>
    <x v="1"/>
    <n v="150000"/>
    <x v="2"/>
    <n v="1"/>
    <x v="1"/>
    <x v="2"/>
    <s v="No"/>
    <n v="3"/>
    <x v="0"/>
    <x v="2"/>
    <n v="44"/>
    <x v="0"/>
    <x v="1"/>
    <x v="1"/>
    <n v="1"/>
    <n v="150000"/>
  </r>
  <r>
    <n v="13466"/>
    <x v="0"/>
    <x v="1"/>
    <n v="80000"/>
    <x v="1"/>
    <n v="5"/>
    <x v="1"/>
    <x v="2"/>
    <s v="Yes"/>
    <n v="3"/>
    <x v="3"/>
    <x v="2"/>
    <n v="46"/>
    <x v="0"/>
    <x v="0"/>
    <x v="0"/>
    <n v="1"/>
    <n v="0"/>
  </r>
  <r>
    <n v="23731"/>
    <x v="0"/>
    <x v="1"/>
    <n v="60000"/>
    <x v="0"/>
    <n v="2"/>
    <x v="2"/>
    <x v="2"/>
    <s v="Yes"/>
    <n v="2"/>
    <x v="1"/>
    <x v="2"/>
    <n v="54"/>
    <x v="0"/>
    <x v="1"/>
    <x v="1"/>
    <n v="1"/>
    <n v="60000"/>
  </r>
  <r>
    <n v="28672"/>
    <x v="1"/>
    <x v="1"/>
    <n v="70000"/>
    <x v="1"/>
    <n v="4"/>
    <x v="4"/>
    <x v="2"/>
    <s v="Yes"/>
    <n v="0"/>
    <x v="1"/>
    <x v="2"/>
    <n v="35"/>
    <x v="2"/>
    <x v="1"/>
    <x v="1"/>
    <n v="1"/>
    <n v="70000"/>
  </r>
  <r>
    <n v="11809"/>
    <x v="0"/>
    <x v="1"/>
    <n v="60000"/>
    <x v="0"/>
    <n v="2"/>
    <x v="0"/>
    <x v="0"/>
    <s v="Yes"/>
    <n v="0"/>
    <x v="0"/>
    <x v="2"/>
    <n v="38"/>
    <x v="2"/>
    <x v="1"/>
    <x v="1"/>
    <n v="1"/>
    <n v="60000"/>
  </r>
  <r>
    <n v="19664"/>
    <x v="1"/>
    <x v="1"/>
    <n v="100000"/>
    <x v="1"/>
    <n v="3"/>
    <x v="0"/>
    <x v="4"/>
    <s v="No"/>
    <n v="3"/>
    <x v="3"/>
    <x v="2"/>
    <n v="38"/>
    <x v="2"/>
    <x v="0"/>
    <x v="0"/>
    <n v="1"/>
    <n v="0"/>
  </r>
  <r>
    <n v="12121"/>
    <x v="1"/>
    <x v="1"/>
    <n v="60000"/>
    <x v="0"/>
    <n v="3"/>
    <x v="2"/>
    <x v="2"/>
    <s v="Yes"/>
    <n v="2"/>
    <x v="4"/>
    <x v="2"/>
    <n v="53"/>
    <x v="0"/>
    <x v="1"/>
    <x v="1"/>
    <n v="1"/>
    <n v="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2159B-8EFD-4E78-B032-9B827814570D}"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C14" firstHeaderRow="1"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13"/>
    <field x="4"/>
  </rowFields>
  <rowItems count="11">
    <i>
      <x/>
      <x/>
    </i>
    <i r="1">
      <x v="1"/>
    </i>
    <i r="1">
      <x v="2"/>
    </i>
    <i>
      <x v="1"/>
      <x/>
    </i>
    <i r="1">
      <x v="1"/>
    </i>
    <i r="1">
      <x v="2"/>
    </i>
    <i>
      <x v="2"/>
      <x/>
    </i>
    <i r="1">
      <x v="1"/>
    </i>
    <i r="1">
      <x v="2"/>
    </i>
    <i>
      <x v="3"/>
      <x v="1"/>
    </i>
    <i r="1">
      <x v="2"/>
    </i>
  </rowItems>
  <colItems count="1">
    <i/>
  </colItems>
  <dataFields count="1">
    <dataField name="Sum of Buyer or not" fld="15"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5AC99-EAEA-4BF7-B666-FDB67FD3A723}" name="PivotTable2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0:C144" firstHeaderRow="1" firstDataRow="1" firstDataCol="1"/>
  <pivotFields count="19">
    <pivotField showAll="0"/>
    <pivotField showAll="0"/>
    <pivotField showAll="0"/>
    <pivotField numFmtId="165"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dragToRow="0" dragToCol="0" dragToPage="0" showAll="0" defaultSubtotal="0"/>
  </pivotFields>
  <rowFields count="1">
    <field x="4"/>
  </rowFields>
  <rowItems count="4">
    <i>
      <x/>
    </i>
    <i>
      <x v="1"/>
    </i>
    <i>
      <x v="2"/>
    </i>
    <i t="grand">
      <x/>
    </i>
  </rowItems>
  <colItems count="1">
    <i/>
  </colItems>
  <dataFields count="1">
    <dataField name="Average of Purchased Rate" fld="18" subtotal="average" baseField="4" baseItem="0" numFmtId="10"/>
  </dataFields>
  <conditionalFormats count="1">
    <conditionalFormat priority="4">
      <pivotAreas count="1">
        <pivotArea type="data" collapsedLevelsAreSubtotals="1" fieldPosition="0">
          <references count="2">
            <reference field="4294967294" count="1" selected="0">
              <x v="0"/>
            </reference>
            <reference field="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21A715-AFD5-4EDE-9A98-EB45713C266E}" name="PivotTable3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2:G116" firstHeaderRow="0" firstDataRow="1" firstDataCol="1"/>
  <pivotFields count="19">
    <pivotField showAll="0"/>
    <pivotField showAll="0">
      <items count="3">
        <item x="0"/>
        <item x="1"/>
        <item t="default"/>
      </items>
    </pivotField>
    <pivotField showAll="0">
      <items count="3">
        <item x="0"/>
        <item x="1"/>
        <item t="default"/>
      </items>
    </pivotField>
    <pivotField dataField="1" numFmtId="165"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6">
        <item x="0"/>
        <item x="3"/>
        <item x="1"/>
        <item x="2"/>
        <item x="4"/>
        <item t="default"/>
      </items>
    </pivotField>
    <pivotField axis="axisRow" showAll="0">
      <items count="4">
        <item x="0"/>
        <item x="2"/>
        <item x="1"/>
        <item t="default"/>
      </items>
    </pivotField>
    <pivotField showAll="0"/>
    <pivotField showAll="0">
      <items count="5">
        <item x="2"/>
        <item x="0"/>
        <item x="1"/>
        <item x="3"/>
        <item t="default"/>
      </items>
    </pivotField>
    <pivotField showAll="0"/>
    <pivotField dataField="1" showAll="0"/>
    <pivotField dataField="1" showAll="0"/>
    <pivotField dataField="1" numFmtId="165" showAll="0"/>
    <pivotField dataField="1" dragToRow="0" dragToCol="0" dragToPage="0" showAll="0" defaultSubtotal="0"/>
  </pivotFields>
  <rowFields count="1">
    <field x="11"/>
  </rowFields>
  <rowItems count="4">
    <i>
      <x/>
    </i>
    <i>
      <x v="1"/>
    </i>
    <i>
      <x v="2"/>
    </i>
    <i t="grand">
      <x/>
    </i>
  </rowItems>
  <colFields count="1">
    <field x="-2"/>
  </colFields>
  <colItems count="5">
    <i>
      <x/>
    </i>
    <i i="1">
      <x v="1"/>
    </i>
    <i i="2">
      <x v="2"/>
    </i>
    <i i="3">
      <x v="3"/>
    </i>
    <i i="4">
      <x v="4"/>
    </i>
  </colItems>
  <dataFields count="5">
    <dataField name="Total Sales " fld="17" showDataAs="percentOfTotal" baseField="0" baseItem="0" numFmtId="10"/>
    <dataField name="Average Income" fld="3" subtotal="average" baseField="11" baseItem="0" numFmtId="165"/>
    <dataField name="Total Buyers" fld="15" baseField="11" baseItem="0"/>
    <dataField name="Customer_Count" fld="16" baseField="11" baseItem="0"/>
    <dataField name="Purchased Rate (in %)" fld="18" baseField="11" baseItem="0" numFmtId="10"/>
  </dataFields>
  <formats count="8">
    <format dxfId="106">
      <pivotArea outline="0" collapsedLevelsAreSubtotals="1" fieldPosition="0">
        <references count="1">
          <reference field="4294967294" count="1" selected="0">
            <x v="4"/>
          </reference>
        </references>
      </pivotArea>
    </format>
    <format dxfId="105">
      <pivotArea dataOnly="0" labelOnly="1" outline="0" fieldPosition="0">
        <references count="1">
          <reference field="4294967294" count="1">
            <x v="4"/>
          </reference>
        </references>
      </pivotArea>
    </format>
    <format dxfId="104">
      <pivotArea type="all" dataOnly="0" outline="0" fieldPosition="0"/>
    </format>
    <format dxfId="103">
      <pivotArea outline="0" collapsedLevelsAreSubtotals="1" fieldPosition="0"/>
    </format>
    <format dxfId="102">
      <pivotArea field="11" type="button" dataOnly="0" labelOnly="1" outline="0" axis="axisRow" fieldPosition="0"/>
    </format>
    <format dxfId="101">
      <pivotArea dataOnly="0" labelOnly="1" fieldPosition="0">
        <references count="1">
          <reference field="11" count="0"/>
        </references>
      </pivotArea>
    </format>
    <format dxfId="100">
      <pivotArea dataOnly="0" labelOnly="1" grandRow="1" outline="0" fieldPosition="0"/>
    </format>
    <format dxfId="99">
      <pivotArea dataOnly="0" labelOnly="1" outline="0" fieldPosition="0">
        <references count="1">
          <reference field="4294967294" count="5">
            <x v="0"/>
            <x v="1"/>
            <x v="2"/>
            <x v="3"/>
            <x v="4"/>
          </reference>
        </references>
      </pivotArea>
    </format>
  </formats>
  <conditionalFormats count="1">
    <conditionalFormat priority="1">
      <pivotAreas count="1">
        <pivotArea type="data" collapsedLevelsAreSubtotals="1" fieldPosition="0">
          <references count="2">
            <reference field="4294967294" count="1" selected="0">
              <x v="4"/>
            </reference>
            <reference field="11"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69EB79-1E6E-47A5-969C-89954F8E277F}" name="PivotTable3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90:C109" firstHeaderRow="1" firstDataRow="1" firstDataCol="1"/>
  <pivotFields count="19">
    <pivotField showAll="0"/>
    <pivotField showAll="0"/>
    <pivotField showAll="0"/>
    <pivotField numFmtId="165" showAll="0"/>
    <pivotField showAll="0"/>
    <pivotField showAll="0"/>
    <pivotField showAll="0"/>
    <pivotField axis="axisRow"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numFmtId="165" showAll="0"/>
    <pivotField dataField="1" dragToRow="0" dragToCol="0" dragToPage="0" showAll="0" defaultSubtotal="0"/>
  </pivotFields>
  <rowFields count="2">
    <field x="11"/>
    <field x="7"/>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Average of Purchased Rate" fld="18" subtotal="average" baseField="11" baseItem="0" numFmtId="10"/>
  </dataFields>
  <conditionalFormats count="2">
    <conditionalFormat priority="2">
      <pivotAreas count="2">
        <pivotArea type="data" collapsedLevelsAreSubtotals="1" fieldPosition="0">
          <references count="3">
            <reference field="4294967294" count="1" selected="0">
              <x v="0"/>
            </reference>
            <reference field="7" count="5">
              <x v="0"/>
              <x v="1"/>
              <x v="2"/>
              <x v="3"/>
              <x v="4"/>
            </reference>
            <reference field="11" count="1" selected="0">
              <x v="1"/>
            </reference>
          </references>
        </pivotArea>
        <pivotArea type="data" collapsedLevelsAreSubtotals="1" fieldPosition="0">
          <references count="3">
            <reference field="4294967294" count="1" selected="0">
              <x v="0"/>
            </reference>
            <reference field="7" count="5">
              <x v="0"/>
              <x v="1"/>
              <x v="2"/>
              <x v="3"/>
              <x v="4"/>
            </reference>
            <reference field="11" count="1" selected="0">
              <x v="2"/>
            </reference>
          </references>
        </pivotArea>
      </pivotAreas>
    </conditionalFormat>
    <conditionalFormat priority="3">
      <pivotAreas count="1">
        <pivotArea type="data" collapsedLevelsAreSubtotals="1" fieldPosition="0">
          <references count="3">
            <reference field="4294967294" count="1" selected="0">
              <x v="0"/>
            </reference>
            <reference field="7" count="5">
              <x v="0"/>
              <x v="1"/>
              <x v="2"/>
              <x v="3"/>
              <x v="4"/>
            </reference>
            <reference field="11"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0FB84F-4183-43BD-B484-A35D84C6F559}" name="PivotTable2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9:H83" firstHeaderRow="1" firstDataRow="1" firstDataCol="1" rowPageCount="1" colPageCount="1"/>
  <pivotFields count="19">
    <pivotField showAll="0"/>
    <pivotField showAll="0"/>
    <pivotField showAll="0"/>
    <pivotField numFmtId="165" showAll="0"/>
    <pivotField showAll="0"/>
    <pivotField showAll="0"/>
    <pivotField showAll="0"/>
    <pivotField axis="axisRow" showAll="0">
      <items count="6">
        <item x="1"/>
        <item x="4"/>
        <item x="3"/>
        <item x="2"/>
        <item x="0"/>
        <item t="default"/>
      </items>
    </pivotField>
    <pivotField showAll="0"/>
    <pivotField showAll="0"/>
    <pivotField axis="axisPage" showAll="0">
      <items count="6">
        <item x="0"/>
        <item x="3"/>
        <item x="1"/>
        <item x="2"/>
        <item x="4"/>
        <item t="default"/>
      </items>
    </pivotField>
    <pivotField showAll="0"/>
    <pivotField showAll="0"/>
    <pivotField showAll="0"/>
    <pivotField showAll="0"/>
    <pivotField dataField="1" showAll="0"/>
    <pivotField showAll="0"/>
    <pivotField numFmtId="165" showAll="0"/>
    <pivotField dragToRow="0" dragToCol="0" dragToPage="0" showAll="0" defaultSubtotal="0"/>
  </pivotFields>
  <rowFields count="1">
    <field x="7"/>
  </rowFields>
  <rowItems count="4">
    <i>
      <x v="1"/>
    </i>
    <i>
      <x v="3"/>
    </i>
    <i>
      <x v="4"/>
    </i>
    <i t="grand">
      <x/>
    </i>
  </rowItems>
  <colItems count="1">
    <i/>
  </colItems>
  <pageFields count="1">
    <pageField fld="10" item="4" hier="-1"/>
  </pageFields>
  <dataFields count="1">
    <dataField name="Count of Buyer or not" fld="15"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F90995-624F-47B0-82C5-269CF99C583B}" name="PivotTable2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9:D82" firstHeaderRow="0" firstDataRow="1" firstDataCol="1" rowPageCount="1" colPageCount="1"/>
  <pivotFields count="19">
    <pivotField showAll="0"/>
    <pivotField showAll="0"/>
    <pivotField showAll="0"/>
    <pivotField dataField="1" numFmtId="165" showAll="0"/>
    <pivotField showAll="0"/>
    <pivotField showAll="0"/>
    <pivotField showAll="0"/>
    <pivotField showAll="0"/>
    <pivotField showAll="0"/>
    <pivotField showAll="0"/>
    <pivotField axis="axisPage" showAll="0">
      <items count="6">
        <item x="0"/>
        <item x="3"/>
        <item x="1"/>
        <item x="2"/>
        <item x="4"/>
        <item t="default"/>
      </items>
    </pivotField>
    <pivotField showAll="0"/>
    <pivotField showAll="0"/>
    <pivotField showAll="0"/>
    <pivotField showAll="0"/>
    <pivotField axis="axisRow" dataField="1" showAll="0">
      <items count="3">
        <item x="0"/>
        <item x="1"/>
        <item t="default"/>
      </items>
    </pivotField>
    <pivotField showAll="0"/>
    <pivotField numFmtId="165" showAll="0"/>
    <pivotField dragToRow="0" dragToCol="0" dragToPage="0" showAll="0" defaultSubtotal="0"/>
  </pivotFields>
  <rowFields count="1">
    <field x="15"/>
  </rowFields>
  <rowItems count="3">
    <i>
      <x/>
    </i>
    <i>
      <x v="1"/>
    </i>
    <i t="grand">
      <x/>
    </i>
  </rowItems>
  <colFields count="1">
    <field x="-2"/>
  </colFields>
  <colItems count="2">
    <i>
      <x/>
    </i>
    <i i="1">
      <x v="1"/>
    </i>
  </colItems>
  <pageFields count="1">
    <pageField fld="10" item="4" hier="-1"/>
  </pageFields>
  <dataFields count="2">
    <dataField name="Average of Income" fld="3" subtotal="average" baseField="10" baseItem="0" numFmtId="165"/>
    <dataField name="Count of Buyer or not" fld="15"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C351B4-D6E1-437F-AF83-B547913B587E}"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D119" firstHeaderRow="0" firstDataRow="1" firstDataCol="1"/>
  <pivotFields count="18">
    <pivotField showAll="0"/>
    <pivotField showAll="0"/>
    <pivotField showAll="0"/>
    <pivotField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dataField="1" showAll="0"/>
    <pivotField dataField="1" showAll="0"/>
    <pivotField dataField="1" dragToRow="0" dragToCol="0" dragToPage="0" showAll="0" defaultSubtotal="0"/>
  </pivotFields>
  <rowFields count="1">
    <field x="11"/>
  </rowFields>
  <rowItems count="4">
    <i>
      <x/>
    </i>
    <i>
      <x v="1"/>
    </i>
    <i>
      <x v="2"/>
    </i>
    <i t="grand">
      <x/>
    </i>
  </rowItems>
  <colFields count="1">
    <field x="-2"/>
  </colFields>
  <colItems count="3">
    <i>
      <x/>
    </i>
    <i i="1">
      <x v="1"/>
    </i>
    <i i="2">
      <x v="2"/>
    </i>
  </colItems>
  <dataFields count="3">
    <dataField name="Sum of Buyer or not" fld="15" baseField="0" baseItem="0"/>
    <dataField name="Sum of Customer Count" fld="16" baseField="0" baseItem="0"/>
    <dataField name="Sum of Purchase Rate" fld="17" baseField="11" baseItem="0" numFmtId="10"/>
  </dataFields>
  <formats count="6">
    <format dxfId="14">
      <pivotArea type="all" dataOnly="0" outline="0" fieldPosition="0"/>
    </format>
    <format dxfId="13">
      <pivotArea outline="0" collapsedLevelsAreSubtotals="1" fieldPosition="0"/>
    </format>
    <format dxfId="12">
      <pivotArea field="11" type="button" dataOnly="0" labelOnly="1" outline="0" axis="axisRow" fieldPosition="0"/>
    </format>
    <format dxfId="11">
      <pivotArea dataOnly="0" labelOnly="1" fieldPosition="0">
        <references count="1">
          <reference field="11" count="0"/>
        </references>
      </pivotArea>
    </format>
    <format dxfId="10">
      <pivotArea dataOnly="0" labelOnly="1" grandRow="1" outline="0" fieldPosition="0"/>
    </format>
    <format dxfId="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75B884-9BC5-4503-8E3F-4466DD34350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5">
    <pivotField showAll="0"/>
    <pivotField showAll="0">
      <items count="3">
        <item x="0"/>
        <item h="1" x="1"/>
        <item t="default"/>
      </items>
    </pivotField>
    <pivotField showAll="0"/>
    <pivotField numFmtId="165" showAll="0"/>
    <pivotField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x="0"/>
        <item x="2"/>
        <item x="1"/>
        <item t="default"/>
      </items>
    </pivotField>
    <pivotField showAll="0"/>
    <pivotField axis="axisRow" showAll="0" sortType="descending">
      <items count="5">
        <item x="3"/>
        <item x="1"/>
        <item x="0"/>
        <item x="2"/>
        <item t="default"/>
      </items>
    </pivotField>
    <pivotField axis="axisCol" dataField="1" showAll="0">
      <items count="3">
        <item x="0"/>
        <item x="1"/>
        <item t="default"/>
      </items>
    </pivotField>
  </pivotFields>
  <rowFields count="1">
    <field x="13"/>
  </rowFields>
  <rowItems count="4">
    <i>
      <x v="1"/>
    </i>
    <i>
      <x v="2"/>
    </i>
    <i>
      <x v="3"/>
    </i>
    <i t="grand">
      <x/>
    </i>
  </rowItems>
  <colFields count="1">
    <field x="14"/>
  </colFields>
  <colItems count="3">
    <i>
      <x/>
    </i>
    <i>
      <x v="1"/>
    </i>
    <i t="grand">
      <x/>
    </i>
  </colItems>
  <dataFields count="1">
    <dataField name="Count of Purchased Bike" fld="14" subtotal="count" baseField="0" baseItem="0"/>
  </dataFields>
  <formats count="10">
    <format dxfId="24">
      <pivotArea type="all" dataOnly="0" outline="0" fieldPosition="0"/>
    </format>
    <format dxfId="23">
      <pivotArea outline="0" collapsedLevelsAreSubtotals="1" fieldPosition="0"/>
    </format>
    <format dxfId="22">
      <pivotArea type="origin" dataOnly="0" labelOnly="1" outline="0" fieldPosition="0"/>
    </format>
    <format dxfId="21">
      <pivotArea field="14" type="button" dataOnly="0" labelOnly="1" outline="0" axis="axisCol" fieldPosition="0"/>
    </format>
    <format dxfId="20">
      <pivotArea type="topRight" dataOnly="0" labelOnly="1" outline="0" fieldPosition="0"/>
    </format>
    <format dxfId="19">
      <pivotArea field="13" type="button" dataOnly="0" labelOnly="1" outline="0" axis="axisRow" fieldPosition="0"/>
    </format>
    <format dxfId="18">
      <pivotArea dataOnly="0" labelOnly="1" fieldPosition="0">
        <references count="1">
          <reference field="13" count="3">
            <x v="1"/>
            <x v="2"/>
            <x v="3"/>
          </reference>
        </references>
      </pivotArea>
    </format>
    <format dxfId="17">
      <pivotArea dataOnly="0" labelOnly="1" grandRow="1" outline="0" fieldPosition="0"/>
    </format>
    <format dxfId="16">
      <pivotArea dataOnly="0" labelOnly="1" fieldPosition="0">
        <references count="1">
          <reference field="14" count="0"/>
        </references>
      </pivotArea>
    </format>
    <format dxfId="15">
      <pivotArea dataOnly="0" labelOnly="1" grandCol="1" outline="0"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34A29E-56E4-4FBC-B849-2A0B2208507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B113" firstHeaderRow="1" firstDataRow="1" firstDataCol="1"/>
  <pivotFields count="16">
    <pivotField showAll="0"/>
    <pivotField showAll="0"/>
    <pivotField showAll="0"/>
    <pivotField dataField="1"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avgSubtotal="1"/>
  </pivotFields>
  <rowFields count="1">
    <field x="11"/>
  </rowFields>
  <rowItems count="4">
    <i>
      <x/>
    </i>
    <i>
      <x v="1"/>
    </i>
    <i>
      <x v="2"/>
    </i>
    <i t="grand">
      <x/>
    </i>
  </rowItems>
  <colItems count="1">
    <i/>
  </colItems>
  <dataFields count="1">
    <dataField name="Average of Income" fld="3" subtotal="average" baseField="11" baseItem="0" numFmtId="165"/>
  </dataFields>
  <formats count="6">
    <format dxfId="30">
      <pivotArea type="all" dataOnly="0" outline="0" fieldPosition="0"/>
    </format>
    <format dxfId="29">
      <pivotArea outline="0" collapsedLevelsAreSubtotals="1" fieldPosition="0"/>
    </format>
    <format dxfId="28">
      <pivotArea field="11" type="button" dataOnly="0" labelOnly="1" outline="0" axis="axisRow" fieldPosition="0"/>
    </format>
    <format dxfId="27">
      <pivotArea dataOnly="0" labelOnly="1" fieldPosition="0">
        <references count="1">
          <reference field="11" count="0"/>
        </references>
      </pivotArea>
    </format>
    <format dxfId="26">
      <pivotArea dataOnly="0" labelOnly="1" grandRow="1" outline="0"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2FED84-9F8B-49FC-B473-F132667F4827}" name="PivotTable2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3:B157" firstHeaderRow="1" firstDataRow="1" firstDataCol="1"/>
  <pivotFields count="19">
    <pivotField showAll="0"/>
    <pivotField showAll="0"/>
    <pivotField showAll="0"/>
    <pivotField numFmtId="165"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dragToRow="0" dragToCol="0" dragToPage="0" showAll="0" defaultSubtotal="0"/>
  </pivotFields>
  <rowFields count="1">
    <field x="4"/>
  </rowFields>
  <rowItems count="4">
    <i>
      <x/>
    </i>
    <i>
      <x v="1"/>
    </i>
    <i>
      <x v="2"/>
    </i>
    <i t="grand">
      <x/>
    </i>
  </rowItems>
  <colItems count="1">
    <i/>
  </colItems>
  <dataFields count="1">
    <dataField name="Average of Purchased Rate" fld="18" subtotal="average" baseField="4" baseItem="0" numFmtId="10"/>
  </dataFields>
  <conditionalFormats count="1">
    <conditionalFormat priority="1">
      <pivotAreas count="1">
        <pivotArea type="data" collapsedLevelsAreSubtotals="1" fieldPosition="0">
          <references count="2">
            <reference field="4294967294" count="1" selected="0">
              <x v="0"/>
            </reference>
            <reference field="4"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2D2D70-D21B-49F9-BEA3-F8D8D9B4AC3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6:E93" firstHeaderRow="1" firstDataRow="2" firstDataCol="1"/>
  <pivotFields count="16">
    <pivotField showAll="0"/>
    <pivotField showAll="0"/>
    <pivotField showAll="0"/>
    <pivotField numFmtId="165" showAll="0"/>
    <pivotField axis="axisCol" showAll="0">
      <items count="4">
        <item x="2"/>
        <item x="0"/>
        <item x="1"/>
        <item t="default"/>
      </items>
    </pivotField>
    <pivotField showAll="0"/>
    <pivotField axis="axisRow" showAll="0">
      <items count="6">
        <item x="0"/>
        <item x="4"/>
        <item x="2"/>
        <item x="1"/>
        <item x="3"/>
        <item t="default"/>
      </items>
    </pivotField>
    <pivotField showAll="0"/>
    <pivotField showAll="0"/>
    <pivotField showAll="0"/>
    <pivotField showAll="0"/>
    <pivotField showAll="0"/>
    <pivotField showAll="0"/>
    <pivotField showAll="0"/>
    <pivotField showAll="0"/>
    <pivotField dataField="1" showAll="0"/>
  </pivotFields>
  <rowFields count="1">
    <field x="6"/>
  </rowFields>
  <rowItems count="6">
    <i>
      <x/>
    </i>
    <i>
      <x v="1"/>
    </i>
    <i>
      <x v="2"/>
    </i>
    <i>
      <x v="3"/>
    </i>
    <i>
      <x v="4"/>
    </i>
    <i t="grand">
      <x/>
    </i>
  </rowItems>
  <colFields count="1">
    <field x="4"/>
  </colFields>
  <colItems count="4">
    <i>
      <x/>
    </i>
    <i>
      <x v="1"/>
    </i>
    <i>
      <x v="2"/>
    </i>
    <i t="grand">
      <x/>
    </i>
  </colItems>
  <dataFields count="1">
    <dataField name="Average of Buyer or not" fld="15" subtotal="average" baseField="6" baseItem="0" numFmtId="2"/>
  </dataFields>
  <formats count="21">
    <format dxfId="51">
      <pivotArea outline="0" collapsedLevelsAreSubtotals="1"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4" type="button" dataOnly="0" labelOnly="1" outline="0" axis="axisCol" fieldPosition="0"/>
    </format>
    <format dxfId="46">
      <pivotArea type="topRight" dataOnly="0" labelOnly="1" outline="0" fieldPosition="0"/>
    </format>
    <format dxfId="45">
      <pivotArea field="6" type="button" dataOnly="0" labelOnly="1" outline="0" axis="axisRow" fieldPosition="0"/>
    </format>
    <format dxfId="44">
      <pivotArea dataOnly="0" labelOnly="1" fieldPosition="0">
        <references count="1">
          <reference field="6" count="0"/>
        </references>
      </pivotArea>
    </format>
    <format dxfId="43">
      <pivotArea dataOnly="0" labelOnly="1" grandRow="1" outline="0" fieldPosition="0"/>
    </format>
    <format dxfId="42">
      <pivotArea dataOnly="0" labelOnly="1" fieldPosition="0">
        <references count="1">
          <reference field="4"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4" type="button" dataOnly="0" labelOnly="1" outline="0" axis="axisCol" fieldPosition="0"/>
    </format>
    <format dxfId="36">
      <pivotArea type="topRight" dataOnly="0" labelOnly="1" outline="0"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grandRow="1" outline="0" fieldPosition="0"/>
    </format>
    <format dxfId="32">
      <pivotArea dataOnly="0" labelOnly="1" fieldPosition="0">
        <references count="1">
          <reference field="4" count="0"/>
        </references>
      </pivotArea>
    </format>
    <format dxfId="31">
      <pivotArea dataOnly="0" labelOnly="1" grandCol="1" outline="0" fieldPosition="0"/>
    </format>
  </formats>
  <chartFormats count="9">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 chart="4" format="12" series="1">
      <pivotArea type="data" outline="0" fieldPosition="0">
        <references count="2">
          <reference field="4294967294" count="1" selected="0">
            <x v="0"/>
          </reference>
          <reference field="4" count="1" selected="0">
            <x v="0"/>
          </reference>
        </references>
      </pivotArea>
    </chartFormat>
    <chartFormat chart="4" format="13" series="1">
      <pivotArea type="data" outline="0" fieldPosition="0">
        <references count="2">
          <reference field="4294967294" count="1" selected="0">
            <x v="0"/>
          </reference>
          <reference field="4" count="1" selected="0">
            <x v="1"/>
          </reference>
        </references>
      </pivotArea>
    </chartFormat>
    <chartFormat chart="4" format="14"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393069-BBC8-49C0-8A40-C69A81730F1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5">
    <pivotField showAll="0"/>
    <pivotField showAll="0">
      <items count="3">
        <item x="0"/>
        <item h="1" x="1"/>
        <item t="default"/>
      </items>
    </pivotField>
    <pivotField showAll="0"/>
    <pivotField numFmtId="165" showAll="0"/>
    <pivotField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formats count="10">
    <format dxfId="61">
      <pivotArea type="all" dataOnly="0" outline="0" fieldPosition="0"/>
    </format>
    <format dxfId="60">
      <pivotArea outline="0" collapsedLevelsAreSubtotals="1" fieldPosition="0"/>
    </format>
    <format dxfId="59">
      <pivotArea type="origin" dataOnly="0" labelOnly="1" outline="0" fieldPosition="0"/>
    </format>
    <format dxfId="58">
      <pivotArea field="14" type="button" dataOnly="0" labelOnly="1" outline="0" axis="axisCol" fieldPosition="0"/>
    </format>
    <format dxfId="57">
      <pivotArea type="topRight" dataOnly="0" labelOnly="1" outline="0" fieldPosition="0"/>
    </format>
    <format dxfId="56">
      <pivotArea field="10" type="button" dataOnly="0" labelOnly="1" outline="0" axis="axisRow" fieldPosition="0"/>
    </format>
    <format dxfId="55">
      <pivotArea dataOnly="0" labelOnly="1" fieldPosition="0">
        <references count="1">
          <reference field="10" count="0"/>
        </references>
      </pivotArea>
    </format>
    <format dxfId="54">
      <pivotArea dataOnly="0" labelOnly="1" grandRow="1" outline="0" fieldPosition="0"/>
    </format>
    <format dxfId="53">
      <pivotArea dataOnly="0" labelOnly="1" fieldPosition="0">
        <references count="1">
          <reference field="14" count="0"/>
        </references>
      </pivotArea>
    </format>
    <format dxfId="52">
      <pivotArea dataOnly="0" labelOnly="1" grandCol="1" outline="0"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E40E81-7929-4DCE-B071-369C0E4470F1}" name="PivotTable2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5:C151" firstHeaderRow="0" firstDataRow="1" firstDataCol="1"/>
  <pivotFields count="19">
    <pivotField showAll="0"/>
    <pivotField showAll="0"/>
    <pivotField showAll="0"/>
    <pivotField numFmtId="165" showAll="0"/>
    <pivotField showAll="0"/>
    <pivotField showAll="0"/>
    <pivotField showAll="0"/>
    <pivotField axis="axisRow" showAll="0" sortType="descending">
      <items count="6">
        <item x="1"/>
        <item x="4"/>
        <item x="3"/>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showAll="0"/>
    <pivotField showAll="0"/>
    <pivotField numFmtId="165" showAll="0"/>
    <pivotField dataField="1" dragToRow="0" dragToCol="0" dragToPage="0" showAll="0" defaultSubtotal="0"/>
  </pivotFields>
  <rowFields count="1">
    <field x="7"/>
  </rowFields>
  <rowItems count="6">
    <i>
      <x v="3"/>
    </i>
    <i>
      <x/>
    </i>
    <i>
      <x v="2"/>
    </i>
    <i>
      <x v="4"/>
    </i>
    <i>
      <x v="1"/>
    </i>
    <i t="grand">
      <x/>
    </i>
  </rowItems>
  <colFields count="1">
    <field x="-2"/>
  </colFields>
  <colItems count="2">
    <i>
      <x/>
    </i>
    <i i="1">
      <x v="1"/>
    </i>
  </colItems>
  <dataFields count="2">
    <dataField name="Count of Purchased Bike" fld="14" subtotal="count" baseField="0" baseItem="0"/>
    <dataField name="Average of Purchased Rate" fld="18" subtotal="average" baseField="7" baseItem="3" numFmtId="10"/>
  </dataFields>
  <conditionalFormats count="2">
    <conditionalFormat priority="2">
      <pivotAreas count="1">
        <pivotArea type="data" collapsedLevelsAreSubtotals="1" fieldPosition="0">
          <references count="2">
            <reference field="4294967294" count="1" selected="0">
              <x v="0"/>
            </reference>
            <reference field="7" count="5">
              <x v="0"/>
              <x v="1"/>
              <x v="2"/>
              <x v="3"/>
              <x v="4"/>
            </reference>
          </references>
        </pivotArea>
      </pivotAreas>
    </conditionalFormat>
    <conditionalFormat priority="3">
      <pivotAreas count="1">
        <pivotArea type="data" collapsedLevelsAreSubtotals="1" fieldPosition="0">
          <references count="2">
            <reference field="4294967294" count="1" selected="0">
              <x v="1"/>
            </reference>
            <reference field="7"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951D0C-A441-4116-A4AB-764D056C949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0:B80" firstHeaderRow="1" firstDataRow="1" firstDataCol="1"/>
  <pivotFields count="16">
    <pivotField showAll="0"/>
    <pivotField showAll="0"/>
    <pivotField showAll="0"/>
    <pivotField numFmtId="165"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2">
    <field x="4"/>
    <field x="14"/>
  </rowFields>
  <rowItems count="10">
    <i>
      <x/>
    </i>
    <i r="1">
      <x/>
    </i>
    <i r="1">
      <x v="1"/>
    </i>
    <i>
      <x v="1"/>
    </i>
    <i r="1">
      <x/>
    </i>
    <i r="1">
      <x v="1"/>
    </i>
    <i>
      <x v="2"/>
    </i>
    <i r="1">
      <x/>
    </i>
    <i r="1">
      <x v="1"/>
    </i>
    <i t="grand">
      <x/>
    </i>
  </rowItems>
  <colItems count="1">
    <i/>
  </colItems>
  <dataFields count="1">
    <dataField name="Count of Purchased Bike" fld="14" subtotal="count" baseField="4" baseItem="0"/>
  </dataFields>
  <formats count="9">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grandRow="1" outline="0" fieldPosition="0"/>
    </format>
    <format dxfId="65">
      <pivotArea dataOnly="0" labelOnly="1" fieldPosition="0">
        <references count="2">
          <reference field="4" count="1" selected="0">
            <x v="0"/>
          </reference>
          <reference field="14" count="0"/>
        </references>
      </pivotArea>
    </format>
    <format dxfId="64">
      <pivotArea dataOnly="0" labelOnly="1" fieldPosition="0">
        <references count="2">
          <reference field="4" count="1" selected="0">
            <x v="1"/>
          </reference>
          <reference field="14" count="0"/>
        </references>
      </pivotArea>
    </format>
    <format dxfId="63">
      <pivotArea dataOnly="0" labelOnly="1" fieldPosition="0">
        <references count="2">
          <reference field="4" count="1" selected="0">
            <x v="2"/>
          </reference>
          <reference field="14" count="0"/>
        </references>
      </pivotArea>
    </format>
    <format dxfId="6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10C521-A870-470C-835A-11DC7352180C}" name="PivotTable2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09:G113" firstHeaderRow="1" firstDataRow="1" firstDataCol="1"/>
  <pivotFields count="19">
    <pivotField showAll="0"/>
    <pivotField showAll="0"/>
    <pivotField showAll="0"/>
    <pivotField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numFmtId="165" showAll="0"/>
    <pivotField dataField="1" dragToRow="0" dragToCol="0" dragToPage="0" showAll="0" defaultSubtotal="0"/>
  </pivotFields>
  <rowFields count="1">
    <field x="11"/>
  </rowFields>
  <rowItems count="4">
    <i>
      <x/>
    </i>
    <i>
      <x v="1"/>
    </i>
    <i>
      <x v="2"/>
    </i>
    <i t="grand">
      <x/>
    </i>
  </rowItems>
  <colItems count="1">
    <i/>
  </colItems>
  <dataFields count="1">
    <dataField name="Sum of Purchased Rate" fld="18" baseField="1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D79367-BC18-47EF-9A8C-05DFC88BA124}" name="PivotTable3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7:B196" firstHeaderRow="1" firstDataRow="1" firstDataCol="1"/>
  <pivotFields count="19">
    <pivotField showAll="0"/>
    <pivotField showAll="0"/>
    <pivotField showAll="0"/>
    <pivotField numFmtId="165" showAll="0"/>
    <pivotField showAll="0"/>
    <pivotField showAll="0"/>
    <pivotField showAll="0"/>
    <pivotField axis="axisRow"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numFmtId="165" showAll="0"/>
    <pivotField dataField="1" dragToRow="0" dragToCol="0" dragToPage="0" showAll="0" defaultSubtotal="0"/>
  </pivotFields>
  <rowFields count="2">
    <field x="11"/>
    <field x="7"/>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Average of Purchased Rate" fld="18" subtotal="average" baseField="11" baseItem="0" numFmtId="10"/>
  </dataFields>
  <formats count="1">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E5D499-8588-4178-8A26-973DBC0D5B3D}" name="PivotTable2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2:F166" firstHeaderRow="1" firstDataRow="1" firstDataCol="1" rowPageCount="1" colPageCount="1"/>
  <pivotFields count="19">
    <pivotField showAll="0"/>
    <pivotField showAll="0"/>
    <pivotField showAll="0"/>
    <pivotField numFmtId="165" showAll="0"/>
    <pivotField showAll="0"/>
    <pivotField showAll="0"/>
    <pivotField showAll="0"/>
    <pivotField axis="axisRow" showAll="0">
      <items count="6">
        <item x="1"/>
        <item x="4"/>
        <item x="3"/>
        <item x="2"/>
        <item x="0"/>
        <item t="default"/>
      </items>
    </pivotField>
    <pivotField showAll="0"/>
    <pivotField showAll="0"/>
    <pivotField axis="axisPage" showAll="0">
      <items count="6">
        <item x="0"/>
        <item x="3"/>
        <item x="1"/>
        <item x="2"/>
        <item x="4"/>
        <item t="default"/>
      </items>
    </pivotField>
    <pivotField showAll="0"/>
    <pivotField showAll="0"/>
    <pivotField showAll="0"/>
    <pivotField showAll="0"/>
    <pivotField dataField="1" showAll="0"/>
    <pivotField showAll="0"/>
    <pivotField numFmtId="165" showAll="0"/>
    <pivotField dragToRow="0" dragToCol="0" dragToPage="0" showAll="0" defaultSubtotal="0"/>
  </pivotFields>
  <rowFields count="1">
    <field x="7"/>
  </rowFields>
  <rowItems count="4">
    <i>
      <x v="1"/>
    </i>
    <i>
      <x v="3"/>
    </i>
    <i>
      <x v="4"/>
    </i>
    <i t="grand">
      <x/>
    </i>
  </rowItems>
  <colItems count="1">
    <i/>
  </colItems>
  <pageFields count="1">
    <pageField fld="10" item="4" hier="-1"/>
  </pageFields>
  <dataFields count="1">
    <dataField name="Count of Buyer or not" fld="15"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CAA811-54BA-4ECD-BCE3-0BEC1A9A0F3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5">
    <pivotField showAll="0"/>
    <pivotField showAll="0">
      <items count="3">
        <item x="0"/>
        <item h="1" x="1"/>
        <item t="default"/>
      </items>
    </pivotField>
    <pivotField axis="axisRow" showAll="0">
      <items count="3">
        <item x="0"/>
        <item x="1"/>
        <item t="default"/>
      </items>
    </pivotField>
    <pivotField dataField="1" numFmtId="165" showAll="0"/>
    <pivotField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5"/>
  </dataFields>
  <formats count="10">
    <format dxfId="80">
      <pivotArea type="all" dataOnly="0" outline="0" fieldPosition="0"/>
    </format>
    <format dxfId="79">
      <pivotArea outline="0" collapsedLevelsAreSubtotals="1" fieldPosition="0"/>
    </format>
    <format dxfId="78">
      <pivotArea type="origin" dataOnly="0" labelOnly="1" outline="0" fieldPosition="0"/>
    </format>
    <format dxfId="77">
      <pivotArea field="14" type="button" dataOnly="0" labelOnly="1" outline="0" axis="axisCol" fieldPosition="0"/>
    </format>
    <format dxfId="76">
      <pivotArea type="topRight" dataOnly="0" labelOnly="1" outline="0" fieldPosition="0"/>
    </format>
    <format dxfId="75">
      <pivotArea field="2" type="button" dataOnly="0" labelOnly="1" outline="0" axis="axisRow" fieldPosition="0"/>
    </format>
    <format dxfId="74">
      <pivotArea dataOnly="0" labelOnly="1" fieldPosition="0">
        <references count="1">
          <reference field="2" count="0"/>
        </references>
      </pivotArea>
    </format>
    <format dxfId="73">
      <pivotArea dataOnly="0" labelOnly="1" grandRow="1" outline="0" fieldPosition="0"/>
    </format>
    <format dxfId="72">
      <pivotArea dataOnly="0" labelOnly="1" fieldPosition="0">
        <references count="1">
          <reference field="14" count="0"/>
        </references>
      </pivotArea>
    </format>
    <format dxfId="71">
      <pivotArea dataOnly="0" labelOnly="1" grandCol="1" outline="0"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0"/>
          </reference>
        </references>
      </pivotArea>
    </chartFormat>
    <chartFormat chart="7" format="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FFC1CD-9258-444F-8052-92761DEBBBDC}" name="PivotTable1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3:F127" firstHeaderRow="0" firstDataRow="1" firstDataCol="1"/>
  <pivotFields count="19">
    <pivotField showAll="0"/>
    <pivotField showAll="0">
      <items count="3">
        <item x="0"/>
        <item x="1"/>
        <item t="default"/>
      </items>
    </pivotField>
    <pivotField showAll="0">
      <items count="3">
        <item x="0"/>
        <item x="1"/>
        <item t="default"/>
      </items>
    </pivotField>
    <pivotField dataField="1" numFmtId="165"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items count="6">
        <item x="0"/>
        <item x="3"/>
        <item x="1"/>
        <item x="2"/>
        <item x="4"/>
        <item t="default"/>
      </items>
    </pivotField>
    <pivotField axis="axisRow" showAll="0">
      <items count="4">
        <item x="0"/>
        <item x="2"/>
        <item x="1"/>
        <item t="default"/>
      </items>
    </pivotField>
    <pivotField showAll="0"/>
    <pivotField showAll="0">
      <items count="5">
        <item x="2"/>
        <item x="0"/>
        <item x="1"/>
        <item x="3"/>
        <item t="default"/>
      </items>
    </pivotField>
    <pivotField showAll="0"/>
    <pivotField dataField="1" showAll="0"/>
    <pivotField dataField="1" showAll="0"/>
    <pivotField dataField="1" numFmtId="165" showAll="0"/>
    <pivotField dataField="1" dragToRow="0" dragToCol="0" dragToPage="0" showAll="0" defaultSubtotal="0"/>
  </pivotFields>
  <rowFields count="1">
    <field x="11"/>
  </rowFields>
  <rowItems count="4">
    <i>
      <x/>
    </i>
    <i>
      <x v="1"/>
    </i>
    <i>
      <x v="2"/>
    </i>
    <i t="grand">
      <x/>
    </i>
  </rowItems>
  <colFields count="1">
    <field x="-2"/>
  </colFields>
  <colItems count="5">
    <i>
      <x/>
    </i>
    <i i="1">
      <x v="1"/>
    </i>
    <i i="2">
      <x v="2"/>
    </i>
    <i i="3">
      <x v="3"/>
    </i>
    <i i="4">
      <x v="4"/>
    </i>
  </colItems>
  <dataFields count="5">
    <dataField name="Total Sales " fld="17" showDataAs="percentOfTotal" baseField="0" baseItem="0" numFmtId="10"/>
    <dataField name="Average Income" fld="3" subtotal="average" baseField="11" baseItem="0" numFmtId="165"/>
    <dataField name="Total Buyers" fld="15" baseField="11" baseItem="0"/>
    <dataField name="Customer_Count" fld="16" baseField="11" baseItem="0"/>
    <dataField name="Purchased Rate (in %)" fld="18" baseField="11" baseItem="0" numFmtId="10"/>
  </dataFields>
  <formats count="8">
    <format dxfId="88">
      <pivotArea outline="0" collapsedLevelsAreSubtotals="1" fieldPosition="0">
        <references count="1">
          <reference field="4294967294" count="1" selected="0">
            <x v="4"/>
          </reference>
        </references>
      </pivotArea>
    </format>
    <format dxfId="87">
      <pivotArea dataOnly="0" labelOnly="1" outline="0" fieldPosition="0">
        <references count="1">
          <reference field="4294967294" count="1">
            <x v="4"/>
          </reference>
        </references>
      </pivotArea>
    </format>
    <format dxfId="86">
      <pivotArea type="all" dataOnly="0" outline="0" fieldPosition="0"/>
    </format>
    <format dxfId="85">
      <pivotArea outline="0" collapsedLevelsAreSubtotals="1" fieldPosition="0"/>
    </format>
    <format dxfId="84">
      <pivotArea field="11" type="button" dataOnly="0" labelOnly="1" outline="0" axis="axisRow" fieldPosition="0"/>
    </format>
    <format dxfId="83">
      <pivotArea dataOnly="0" labelOnly="1" fieldPosition="0">
        <references count="1">
          <reference field="11" count="0"/>
        </references>
      </pivotArea>
    </format>
    <format dxfId="82">
      <pivotArea dataOnly="0" labelOnly="1" grandRow="1" outline="0" fieldPosition="0"/>
    </format>
    <format dxfId="81">
      <pivotArea dataOnly="0" labelOnly="1" outline="0" fieldPosition="0">
        <references count="1">
          <reference field="4294967294" count="5">
            <x v="0"/>
            <x v="1"/>
            <x v="2"/>
            <x v="3"/>
            <x v="4"/>
          </reference>
        </references>
      </pivotArea>
    </format>
  </formats>
  <conditionalFormats count="1">
    <conditionalFormat priority="4">
      <pivotAreas count="1">
        <pivotArea type="data" collapsedLevelsAreSubtotals="1" fieldPosition="0">
          <references count="2">
            <reference field="4294967294" count="1" selected="0">
              <x v="4"/>
            </reference>
            <reference field="11"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E4FA7B5-F6DC-4309-A98D-7D13AD2DDF87}" name="PivotTable2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4:C167" firstHeaderRow="0" firstDataRow="1" firstDataCol="1" rowPageCount="1" colPageCount="1"/>
  <pivotFields count="19">
    <pivotField showAll="0"/>
    <pivotField showAll="0"/>
    <pivotField showAll="0"/>
    <pivotField dataField="1" numFmtId="165" showAll="0"/>
    <pivotField showAll="0"/>
    <pivotField showAll="0"/>
    <pivotField showAll="0"/>
    <pivotField showAll="0"/>
    <pivotField showAll="0"/>
    <pivotField showAll="0"/>
    <pivotField axis="axisPage" showAll="0">
      <items count="6">
        <item x="0"/>
        <item x="3"/>
        <item x="1"/>
        <item x="2"/>
        <item x="4"/>
        <item t="default"/>
      </items>
    </pivotField>
    <pivotField showAll="0"/>
    <pivotField showAll="0"/>
    <pivotField showAll="0"/>
    <pivotField showAll="0"/>
    <pivotField axis="axisRow" dataField="1" showAll="0">
      <items count="3">
        <item x="0"/>
        <item x="1"/>
        <item t="default"/>
      </items>
    </pivotField>
    <pivotField showAll="0"/>
    <pivotField numFmtId="165" showAll="0"/>
    <pivotField dragToRow="0" dragToCol="0" dragToPage="0" showAll="0" defaultSubtotal="0"/>
  </pivotFields>
  <rowFields count="1">
    <field x="15"/>
  </rowFields>
  <rowItems count="3">
    <i>
      <x/>
    </i>
    <i>
      <x v="1"/>
    </i>
    <i t="grand">
      <x/>
    </i>
  </rowItems>
  <colFields count="1">
    <field x="-2"/>
  </colFields>
  <colItems count="2">
    <i>
      <x/>
    </i>
    <i i="1">
      <x v="1"/>
    </i>
  </colItems>
  <pageFields count="1">
    <pageField fld="10" item="4" hier="-1"/>
  </pageFields>
  <dataFields count="2">
    <dataField name="Average of Income" fld="3" subtotal="average" baseField="10" baseItem="0" numFmtId="165"/>
    <dataField name="Count of Buyer or not" fld="15"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BC9E059-D4A6-4EEA-A528-763636E56C7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2:D57" firstHeaderRow="1" firstDataRow="2" firstDataCol="1"/>
  <pivotFields count="15">
    <pivotField showAll="0"/>
    <pivotField showAll="0"/>
    <pivotField showAll="0"/>
    <pivotField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Purchased Bike" fld="14" subtotal="count" baseField="10" baseItem="0"/>
  </dataFields>
  <formats count="10">
    <format dxfId="98">
      <pivotArea type="all" dataOnly="0" outline="0" fieldPosition="0"/>
    </format>
    <format dxfId="97">
      <pivotArea outline="0" collapsedLevelsAreSubtotals="1" fieldPosition="0"/>
    </format>
    <format dxfId="96">
      <pivotArea type="origin" dataOnly="0" labelOnly="1" outline="0" fieldPosition="0"/>
    </format>
    <format dxfId="95">
      <pivotArea field="14" type="button" dataOnly="0" labelOnly="1" outline="0" axis="axisCol" fieldPosition="0"/>
    </format>
    <format dxfId="94">
      <pivotArea type="topRight" dataOnly="0" labelOnly="1" outline="0" fieldPosition="0"/>
    </format>
    <format dxfId="93">
      <pivotArea field="11" type="button" dataOnly="0" labelOnly="1" outline="0" axis="axisRow" fieldPosition="0"/>
    </format>
    <format dxfId="92">
      <pivotArea dataOnly="0" labelOnly="1" fieldPosition="0">
        <references count="1">
          <reference field="11" count="0"/>
        </references>
      </pivotArea>
    </format>
    <format dxfId="91">
      <pivotArea dataOnly="0" labelOnly="1" grandRow="1" outline="0" fieldPosition="0"/>
    </format>
    <format dxfId="90">
      <pivotArea dataOnly="0" labelOnly="1" fieldPosition="0">
        <references count="1">
          <reference field="14" count="0"/>
        </references>
      </pivotArea>
    </format>
    <format dxfId="89">
      <pivotArea dataOnly="0" labelOnly="1" grandCol="1" outline="0" fieldPosition="0"/>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F8FB41C-5BA4-4D60-8299-A5057477ECC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5:E78" firstHeaderRow="1" firstDataRow="1" firstDataCol="1"/>
  <pivotFields count="19">
    <pivotField showAll="0"/>
    <pivotField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numFmtId="165" showAll="0"/>
    <pivotField dragToRow="0" dragToCol="0" dragToPage="0" showAll="0" defaultSubtotal="0"/>
  </pivotFields>
  <rowFields count="1">
    <field x="15"/>
  </rowFields>
  <rowItems count="3">
    <i>
      <x/>
    </i>
    <i>
      <x v="1"/>
    </i>
    <i t="grand">
      <x/>
    </i>
  </rowItems>
  <colItems count="1">
    <i/>
  </colItems>
  <dataFields count="1">
    <dataField name="Average of Income" fld="3" subtotal="average" baseField="1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004B776-1DFA-47F4-99F4-1928C5A59DAA}"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8:E71" firstHeaderRow="1" firstDataRow="1" firstDataCol="1"/>
  <pivotFields count="19">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numFmtId="165" showAll="0"/>
    <pivotField dragToRow="0" dragToCol="0" dragToPage="0" showAll="0" defaultSubtotal="0"/>
  </pivotFields>
  <rowFields count="1">
    <field x="15"/>
  </rowFields>
  <rowItems count="3">
    <i>
      <x/>
    </i>
    <i>
      <x v="1"/>
    </i>
    <i t="grand">
      <x/>
    </i>
  </rowItems>
  <colItems count="1">
    <i/>
  </colItems>
  <dataFields count="1">
    <dataField name="Count of Buyer or not" fld="15"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1FA9006-0E0D-44C1-8333-9D8340009A5A}"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B44" firstHeaderRow="1" firstDataRow="1" firstDataCol="1"/>
  <pivotFields count="15">
    <pivotField showAll="0"/>
    <pivotField showAll="0"/>
    <pivotField showAll="0"/>
    <pivotField numFmtId="165" showAll="0"/>
    <pivotField showAll="0"/>
    <pivotField showAll="0"/>
    <pivotField axis="axisRow" dataField="1"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pivotField showAll="0"/>
  </pivotFields>
  <rowFields count="2">
    <field x="6"/>
    <field x="7"/>
  </rowFields>
  <rowItems count="30">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2"/>
    </i>
    <i r="1">
      <x v="3"/>
    </i>
    <i r="1">
      <x v="4"/>
    </i>
    <i t="grand">
      <x/>
    </i>
  </rowItems>
  <colItems count="1">
    <i/>
  </colItems>
  <dataFields count="1">
    <dataField name="Count of Education"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E3E82F-4FBF-4C8E-BFE3-AF46C43E972C}"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1" firstHeaderRow="1" firstDataRow="1" firstDataCol="1"/>
  <pivotFields count="15">
    <pivotField showAll="0"/>
    <pivotField axis="axisRow" dataField="1"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Marital Status"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35ABF2A-58FE-4915-A6A1-E6735FC77DDF}"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15">
    <pivotField showAll="0"/>
    <pivotField showAll="0"/>
    <pivotField axis="axisRow" dataField="1"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EF4F0F2-965C-48DA-9246-29ADD8182DA3}"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B62" firstHeaderRow="1" firstDataRow="1" firstDataCol="1"/>
  <pivotFields count="15">
    <pivotField showAll="0"/>
    <pivotField showAll="0"/>
    <pivotField showAll="0"/>
    <pivotField numFmtId="165" showAll="0"/>
    <pivotField showAll="0"/>
    <pivotField axis="axisRow" dataField="1" showAll="0">
      <items count="7">
        <item x="3"/>
        <item x="0"/>
        <item x="4"/>
        <item x="1"/>
        <item x="5"/>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Children" fld="5"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A6D19FB-1CB3-4B05-AD5C-ABA4059DA4E1}"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8:B52" firstHeaderRow="1" firstDataRow="1" firstDataCol="1"/>
  <pivotFields count="15">
    <pivotField showAll="0"/>
    <pivotField showAll="0"/>
    <pivotField showAll="0"/>
    <pivotField numFmtId="165"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s>
  <rowFields count="1">
    <field x="11"/>
  </rowFields>
  <rowItems count="4">
    <i>
      <x/>
    </i>
    <i>
      <x v="1"/>
    </i>
    <i>
      <x v="2"/>
    </i>
    <i t="grand">
      <x/>
    </i>
  </rowItems>
  <colItems count="1">
    <i/>
  </colItems>
  <dataFields count="1">
    <dataField name="Count of Region"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6783820-E275-4D4C-BD91-DCB2E18EC137}" name="PivotTable1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72" firstHeaderRow="1" firstDataRow="1" firstDataCol="1"/>
  <pivotFields count="19">
    <pivotField showAll="0"/>
    <pivotField showAll="0"/>
    <pivotField showAll="0"/>
    <pivotField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numFmtId="165" showAll="0"/>
    <pivotField dataField="1" dragToRow="0" dragToCol="0" dragToPage="0" showAll="0" defaultSubtotal="0"/>
  </pivotFields>
  <rowFields count="1">
    <field x="11"/>
  </rowFields>
  <rowItems count="4">
    <i>
      <x/>
    </i>
    <i>
      <x v="1"/>
    </i>
    <i>
      <x v="2"/>
    </i>
    <i t="grand">
      <x/>
    </i>
  </rowItems>
  <colItems count="1">
    <i/>
  </colItems>
  <dataFields count="1">
    <dataField name="Sum of Purchased Rate" fld="18"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ED4AF5-ACC1-4A40-9D72-ACC0FCFEA682}" sourceName="Marital Status">
  <pivotTables>
    <pivotTable tabId="3" name="PivotTable1"/>
    <pivotTable tabId="3" name="PivotTable2"/>
    <pivotTable tabId="3" name="PivotTable3"/>
  </pivotTables>
  <data>
    <tabular pivotCacheId="127245839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26CF0A-9424-42D3-9010-0DA96551813D}" sourceName="Education">
  <pivotTables>
    <pivotTable tabId="3" name="PivotTable1"/>
    <pivotTable tabId="3" name="PivotTable2"/>
    <pivotTable tabId="3" name="PivotTable3"/>
  </pivotTables>
  <data>
    <tabular pivotCacheId="1272458392">
      <items count="5">
        <i x="0" s="1"/>
        <i x="4"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BD23CD7-EC7D-40BE-8D18-EDE3AD6FF50F}" sourceName="Occupation">
  <pivotTables>
    <pivotTable tabId="3" name="PivotTable1"/>
    <pivotTable tabId="3" name="PivotTable2"/>
    <pivotTable tabId="3" name="PivotTable3"/>
  </pivotTables>
  <data>
    <tabular pivotCacheId="1272458392">
      <items count="5">
        <i x="1"/>
        <i x="4" s="1"/>
        <i x="3"/>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1FDC39-8949-4E6C-8F56-41533B28D516}" sourceName="Region">
  <pivotTables>
    <pivotTable tabId="3" name="PivotTable1"/>
    <pivotTable tabId="3" name="PivotTable2"/>
    <pivotTable tabId="3" name="PivotTable3"/>
    <pivotTable tabId="3" name="PivotTable4"/>
  </pivotTables>
  <data>
    <tabular pivotCacheId="127245839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B52D28A6-366A-414D-808B-7DE5FEA20BAC}" sourceName="Marital Status">
  <pivotTables>
    <pivotTable tabId="3" name="PivotTable18"/>
    <pivotTable tabId="11" name="PivotTable35"/>
  </pivotTables>
  <data>
    <tabular pivotCacheId="197376637">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17336E-4309-4B57-93BB-B32742602640}" sourceName="Gender">
  <pivotTables>
    <pivotTable tabId="3" name="PivotTable18"/>
    <pivotTable tabId="11" name="PivotTable35"/>
  </pivotTables>
  <data>
    <tabular pivotCacheId="197376637">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D502CA40-82AC-48B0-AA07-07FBDF511D51}" sourceName="Education">
  <pivotTables>
    <pivotTable tabId="3" name="PivotTable18"/>
    <pivotTable tabId="11" name="PivotTable35"/>
  </pivotTables>
  <data>
    <tabular pivotCacheId="197376637">
      <items count="5">
        <i x="0" s="1"/>
        <i x="4" s="1"/>
        <i x="2"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1" xr10:uid="{839AE771-2D20-4AEA-86DB-5B0CC0A977F8}" sourceName="Occupation">
  <pivotTables>
    <pivotTable tabId="3" name="PivotTable18"/>
    <pivotTable tabId="11" name="PivotTable35"/>
  </pivotTables>
  <data>
    <tabular pivotCacheId="197376637">
      <items count="5">
        <i x="1" s="1"/>
        <i x="4" s="1"/>
        <i x="3"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580EDD8E-C648-4BAC-99A7-F20B99386E34}" sourceName="Commute Distance">
  <pivotTables>
    <pivotTable tabId="3" name="PivotTable18"/>
    <pivotTable tabId="11" name="PivotTable35"/>
  </pivotTables>
  <data>
    <tabular pivotCacheId="197376637">
      <items count="5">
        <i x="0" s="1"/>
        <i x="3" s="1"/>
        <i x="1" s="1"/>
        <i x="2"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5B2ECC24-A3BE-4F54-9A17-967F77A4D57C}" sourceName="Age Groups">
  <pivotTables>
    <pivotTable tabId="3" name="PivotTable18"/>
    <pivotTable tabId="11" name="PivotTable35"/>
  </pivotTables>
  <data>
    <tabular pivotCacheId="19737663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2" xr10:uid="{5F99303C-A910-4A9B-9159-13C281E285AF}" cache="Slicer_Marital_Status1" caption="Marital Status" style="SlicerStyleOther2" rowHeight="234950"/>
  <slicer name="Gender 1" xr10:uid="{D3BF0FAD-A31F-4E2C-AF73-102DD0B42BD8}" cache="Slicer_Gender" caption="Gender" style="SlicerStyleOther2" rowHeight="234950"/>
  <slicer name="Education 2" xr10:uid="{3B3F58D4-4A42-4CBB-93BB-5883C078883A}" cache="Slicer_Education1" caption="Education" style="SlicerStyleOther2" rowHeight="234950"/>
  <slicer name="Occupation 2" xr10:uid="{61F96499-3A7D-4235-94BF-898D9C38E7D2}" cache="Slicer_Occupation1" caption="Occupation" style="SlicerStyleOther2" rowHeight="234950"/>
  <slicer name="Commute Distance 1" xr10:uid="{98656F50-0481-4F57-BF60-116B22C8BD49}" cache="Slicer_Commute_Distance" caption="Commute Distance" style="SlicerStyleOther2" rowHeight="234950"/>
  <slicer name="Age Groups 1" xr10:uid="{A71DD7B6-20CF-480D-951F-EFD8F7D07B02}" cache="Slicer_Age_Groups" caption="Age Groups"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0AAEC2D1-7BE6-4915-A71E-6B0D14BC283D}" cache="Slicer_Marital_Status1" caption="Marital Status" style="SlicerStyleOther2" rowHeight="234950"/>
  <slicer name="Gender" xr10:uid="{68322D4C-85F9-47E3-9220-38D4253EF63E}" cache="Slicer_Gender" caption="Gender" style="SlicerStyleOther2" rowHeight="234950"/>
  <slicer name="Education 1" xr10:uid="{6ADB3A83-6993-417A-BCD5-BCBB5721AAB0}" cache="Slicer_Education1" caption="Education" style="SlicerStyleOther2" rowHeight="234950"/>
  <slicer name="Occupation 1" xr10:uid="{9BBDF845-FE30-4168-8219-C5A49EC54C4A}" cache="Slicer_Occupation1" caption="Occupation" style="SlicerStyleOther2" rowHeight="234950"/>
  <slicer name="Commute Distance" xr10:uid="{767303B1-12A2-4BE5-837F-5DF3CFF7C4FC}" cache="Slicer_Commute_Distance" caption="Commute Distance" style="SlicerStyleOther2" rowHeight="234950"/>
  <slicer name="Age Groups" xr10:uid="{4F8FAF95-2EE8-4D6D-92C6-07C6989478B7}" cache="Slicer_Age_Groups" caption="Age Groups"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B5D16B3-DEE3-4506-BD1A-C934A9410333}" cache="Slicer_Marital_Status" caption="Marital Status" rowHeight="234950"/>
  <slicer name="Education" xr10:uid="{4792D528-72F9-42E4-A996-DE18685A8694}" cache="Slicer_Education" caption="Education" rowHeight="234950"/>
  <slicer name="Occupation" xr10:uid="{2DAB21B2-E196-430A-9FF2-3064D1ACC46B}" cache="Slicer_Occupation" caption="Occupation" rowHeight="234950"/>
  <slicer name="Region" xr10:uid="{E3A0C7C4-CFAB-49AE-B2A3-20FE9299A3FA}"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4.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microsoft.com/office/2007/relationships/slicer" Target="../slicers/slicer2.xml"/><Relationship Id="rId2" Type="http://schemas.openxmlformats.org/officeDocument/2006/relationships/pivotTable" Target="../pivotTables/pivotTable8.xml"/><Relationship Id="rId16" Type="http://schemas.openxmlformats.org/officeDocument/2006/relationships/drawing" Target="../drawings/drawing5.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pivotTable" Target="../pivotTables/pivotTable2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ivotTable" Target="../pivotTables/pivotTable20.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9.xml"/><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 Id="rId9"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 sqref="O10"/>
    </sheetView>
  </sheetViews>
  <sheetFormatPr defaultColWidth="11.88671875" defaultRowHeight="14.4" x14ac:dyDescent="0.3"/>
  <cols>
    <col min="1" max="1" width="8.5546875" customWidth="1"/>
    <col min="6" max="6" width="16.33203125" bestFit="1" customWidth="1"/>
    <col min="7" max="7" width="17.109375" customWidth="1"/>
    <col min="10" max="10" width="16.5546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EC2C-DE1D-4544-B47F-91E14F0D6C60}">
  <dimension ref="A1:S1001"/>
  <sheetViews>
    <sheetView zoomScale="102" zoomScaleNormal="102" workbookViewId="0">
      <selection activeCell="S21" sqref="S21"/>
    </sheetView>
  </sheetViews>
  <sheetFormatPr defaultColWidth="18.109375" defaultRowHeight="14.4" x14ac:dyDescent="0.3"/>
  <cols>
    <col min="1" max="12" width="18.109375" style="9"/>
    <col min="13" max="14" width="16.33203125" style="9" customWidth="1"/>
    <col min="15" max="17" width="18.109375" style="9"/>
    <col min="18" max="18" width="18.109375" style="10"/>
    <col min="19" max="16384" width="18.109375" style="9"/>
  </cols>
  <sheetData>
    <row r="1" spans="1:19" s="14" customFormat="1" x14ac:dyDescent="0.3">
      <c r="A1" s="14" t="s">
        <v>0</v>
      </c>
      <c r="B1" s="14" t="s">
        <v>1</v>
      </c>
      <c r="C1" s="14" t="s">
        <v>2</v>
      </c>
      <c r="D1" s="14" t="s">
        <v>3</v>
      </c>
      <c r="E1" s="14" t="s">
        <v>71</v>
      </c>
      <c r="F1" s="14" t="s">
        <v>4</v>
      </c>
      <c r="G1" s="14" t="s">
        <v>5</v>
      </c>
      <c r="H1" s="14" t="s">
        <v>6</v>
      </c>
      <c r="I1" s="14" t="s">
        <v>7</v>
      </c>
      <c r="J1" s="14" t="s">
        <v>8</v>
      </c>
      <c r="K1" s="14" t="s">
        <v>9</v>
      </c>
      <c r="L1" s="14" t="s">
        <v>10</v>
      </c>
      <c r="M1" s="14" t="s">
        <v>11</v>
      </c>
      <c r="N1" s="14" t="s">
        <v>36</v>
      </c>
      <c r="O1" s="14" t="s">
        <v>12</v>
      </c>
      <c r="P1" s="14" t="s">
        <v>78</v>
      </c>
      <c r="Q1" s="14" t="s">
        <v>94</v>
      </c>
      <c r="R1" s="16" t="s">
        <v>97</v>
      </c>
    </row>
    <row r="2" spans="1:19" x14ac:dyDescent="0.3">
      <c r="A2" s="9">
        <v>12496</v>
      </c>
      <c r="B2" s="9" t="s">
        <v>37</v>
      </c>
      <c r="C2" s="9" t="s">
        <v>38</v>
      </c>
      <c r="D2" s="10">
        <v>40000</v>
      </c>
      <c r="E2" s="9" t="str" cm="1">
        <f t="array" ref="E2">_xlfn.IFS(D2&lt;= 60000, "Low Income",
D2&lt;=120000,"Medium Income",
D2&gt; 120000,"High Income"
)</f>
        <v>Low Income</v>
      </c>
      <c r="F2" s="9">
        <v>1</v>
      </c>
      <c r="G2" s="9" t="s">
        <v>15</v>
      </c>
      <c r="H2" s="9" t="s">
        <v>16</v>
      </c>
      <c r="I2" s="9" t="s">
        <v>17</v>
      </c>
      <c r="J2" s="9">
        <v>0</v>
      </c>
      <c r="K2" s="9" t="s">
        <v>18</v>
      </c>
      <c r="L2" s="9" t="s">
        <v>19</v>
      </c>
      <c r="M2" s="9">
        <v>42</v>
      </c>
      <c r="N2" s="9" t="str" cm="1">
        <f t="array" ref="N2">_xlfn.IFS(
M2&lt;=12,"Children",
M2&lt;=19,"Teens",
M2&lt;=29,"Young Adults",
M2&lt;=39,"Adults",
M2&lt;=59,"Middle-Aged",
M2&gt;=60,"Seniors"
)</f>
        <v>Middle-Aged</v>
      </c>
      <c r="O2" s="9" t="s">
        <v>20</v>
      </c>
      <c r="P2" s="9">
        <f>IF(O2="No", 0, 1)</f>
        <v>0</v>
      </c>
      <c r="Q2" s="9">
        <v>1</v>
      </c>
      <c r="R2" s="10">
        <f>IF(P2=1, D2, 0)</f>
        <v>0</v>
      </c>
      <c r="S2" s="15"/>
    </row>
    <row r="3" spans="1:19" x14ac:dyDescent="0.3">
      <c r="A3" s="9">
        <v>24107</v>
      </c>
      <c r="B3" s="9" t="s">
        <v>37</v>
      </c>
      <c r="C3" s="9" t="s">
        <v>39</v>
      </c>
      <c r="D3" s="10">
        <v>30000</v>
      </c>
      <c r="E3" s="9" t="str" cm="1">
        <f t="array" ref="E3">_xlfn.IFS(D3&lt;= 60000, "Low Income",
D3&lt;=120000,"Medium Income",
D3&gt; 120000,"High Income"
)</f>
        <v>Low Income</v>
      </c>
      <c r="F3" s="9">
        <v>3</v>
      </c>
      <c r="G3" s="9" t="s">
        <v>21</v>
      </c>
      <c r="H3" s="9" t="s">
        <v>22</v>
      </c>
      <c r="I3" s="9" t="s">
        <v>17</v>
      </c>
      <c r="J3" s="9">
        <v>1</v>
      </c>
      <c r="K3" s="9" t="s">
        <v>18</v>
      </c>
      <c r="L3" s="9" t="s">
        <v>19</v>
      </c>
      <c r="M3" s="9">
        <v>43</v>
      </c>
      <c r="N3" s="9" t="str" cm="1">
        <f t="array" ref="N3">_xlfn.IFS(
M3&lt;=12,"Children",
M3&lt;=19,"Teens",
M3&lt;=29,"Young Adults",
M3&lt;=39,"Adults",
M3&lt;=59,"Middle-Aged",
M3&gt;=60,"Seniors"
)</f>
        <v>Middle-Aged</v>
      </c>
      <c r="O3" s="9" t="s">
        <v>20</v>
      </c>
      <c r="P3" s="9">
        <f t="shared" ref="P3:P66" si="0">IF(O3="No", 0, 1)</f>
        <v>0</v>
      </c>
      <c r="Q3" s="9">
        <v>1</v>
      </c>
      <c r="R3" s="10">
        <f t="shared" ref="R3:R66" si="1">IF(P3=1, D3, 0)</f>
        <v>0</v>
      </c>
    </row>
    <row r="4" spans="1:19" x14ac:dyDescent="0.3">
      <c r="A4" s="9">
        <v>14177</v>
      </c>
      <c r="B4" s="9" t="s">
        <v>37</v>
      </c>
      <c r="C4" s="9" t="s">
        <v>39</v>
      </c>
      <c r="D4" s="10">
        <v>80000</v>
      </c>
      <c r="E4" s="9" t="str" cm="1">
        <f t="array" ref="E4">_xlfn.IFS(D4&lt;= 60000, "Low Income",
D4&lt;=120000,"Medium Income",
D4&gt; 120000,"High Income"
)</f>
        <v>Medium Income</v>
      </c>
      <c r="F4" s="9">
        <v>5</v>
      </c>
      <c r="G4" s="9" t="s">
        <v>21</v>
      </c>
      <c r="H4" s="9" t="s">
        <v>23</v>
      </c>
      <c r="I4" s="9" t="s">
        <v>20</v>
      </c>
      <c r="J4" s="9">
        <v>2</v>
      </c>
      <c r="K4" s="9" t="s">
        <v>24</v>
      </c>
      <c r="L4" s="9" t="s">
        <v>19</v>
      </c>
      <c r="M4" s="9">
        <v>60</v>
      </c>
      <c r="N4" s="9" t="str" cm="1">
        <f t="array" ref="N4">_xlfn.IFS(
M4&lt;=12,"Children",
M4&lt;=19,"Teens",
M4&lt;=29,"Young Adults",
M4&lt;=39,"Adults",
M4&lt;=59,"Middle-Aged",
M4&gt;=60,"Seniors"
)</f>
        <v>Seniors</v>
      </c>
      <c r="O4" s="9" t="s">
        <v>20</v>
      </c>
      <c r="P4" s="9">
        <f t="shared" si="0"/>
        <v>0</v>
      </c>
      <c r="Q4" s="9">
        <v>1</v>
      </c>
      <c r="R4" s="10">
        <f t="shared" si="1"/>
        <v>0</v>
      </c>
    </row>
    <row r="5" spans="1:19" x14ac:dyDescent="0.3">
      <c r="A5" s="9">
        <v>24381</v>
      </c>
      <c r="B5" s="9" t="s">
        <v>40</v>
      </c>
      <c r="C5" s="9" t="s">
        <v>39</v>
      </c>
      <c r="D5" s="10">
        <v>70000</v>
      </c>
      <c r="E5" s="9" t="str" cm="1">
        <f t="array" ref="E5">_xlfn.IFS(D5&lt;= 60000, "Low Income",
D5&lt;=120000,"Medium Income",
D5&gt; 120000,"High Income"
)</f>
        <v>Medium Income</v>
      </c>
      <c r="F5" s="9">
        <v>0</v>
      </c>
      <c r="G5" s="9" t="s">
        <v>15</v>
      </c>
      <c r="H5" s="9" t="s">
        <v>23</v>
      </c>
      <c r="I5" s="9" t="s">
        <v>17</v>
      </c>
      <c r="J5" s="9">
        <v>1</v>
      </c>
      <c r="K5" s="9" t="s">
        <v>26</v>
      </c>
      <c r="L5" s="9" t="s">
        <v>27</v>
      </c>
      <c r="M5" s="9">
        <v>41</v>
      </c>
      <c r="N5" s="9" t="str" cm="1">
        <f t="array" ref="N5">_xlfn.IFS(
M5&lt;=12,"Children",
M5&lt;=19,"Teens",
M5&lt;=29,"Young Adults",
M5&lt;=39,"Adults",
M5&lt;=59,"Middle-Aged",
M5&gt;=60,"Seniors"
)</f>
        <v>Middle-Aged</v>
      </c>
      <c r="O5" s="9" t="s">
        <v>17</v>
      </c>
      <c r="P5" s="9">
        <f t="shared" si="0"/>
        <v>1</v>
      </c>
      <c r="Q5" s="9">
        <v>1</v>
      </c>
      <c r="R5" s="10">
        <f>IF(P5=1, D5, 0)</f>
        <v>70000</v>
      </c>
    </row>
    <row r="6" spans="1:19" x14ac:dyDescent="0.3">
      <c r="A6" s="9">
        <v>25597</v>
      </c>
      <c r="B6" s="9" t="s">
        <v>40</v>
      </c>
      <c r="C6" s="9" t="s">
        <v>39</v>
      </c>
      <c r="D6" s="10">
        <v>30000</v>
      </c>
      <c r="E6" s="9" t="str" cm="1">
        <f t="array" ref="E6">_xlfn.IFS(D6&lt;= 60000, "Low Income",
D6&lt;=120000,"Medium Income",
D6&gt; 120000,"High Income"
)</f>
        <v>Low Income</v>
      </c>
      <c r="F6" s="9">
        <v>0</v>
      </c>
      <c r="G6" s="9" t="s">
        <v>15</v>
      </c>
      <c r="H6" s="9" t="s">
        <v>22</v>
      </c>
      <c r="I6" s="9" t="s">
        <v>20</v>
      </c>
      <c r="J6" s="9">
        <v>0</v>
      </c>
      <c r="K6" s="9" t="s">
        <v>18</v>
      </c>
      <c r="L6" s="9" t="s">
        <v>19</v>
      </c>
      <c r="M6" s="9">
        <v>36</v>
      </c>
      <c r="N6" s="9" t="str" cm="1">
        <f t="array" ref="N6">_xlfn.IFS(
M6&lt;=12,"Children",
M6&lt;=19,"Teens",
M6&lt;=29,"Young Adults",
M6&lt;=39,"Adults",
M6&lt;=59,"Middle-Aged",
M6&gt;=60,"Seniors"
)</f>
        <v>Adults</v>
      </c>
      <c r="O6" s="9" t="s">
        <v>17</v>
      </c>
      <c r="P6" s="9">
        <f t="shared" si="0"/>
        <v>1</v>
      </c>
      <c r="Q6" s="9">
        <v>1</v>
      </c>
      <c r="R6" s="10">
        <f t="shared" si="1"/>
        <v>30000</v>
      </c>
    </row>
    <row r="7" spans="1:19" x14ac:dyDescent="0.3">
      <c r="A7" s="9">
        <v>13507</v>
      </c>
      <c r="B7" s="9" t="s">
        <v>37</v>
      </c>
      <c r="C7" s="9" t="s">
        <v>38</v>
      </c>
      <c r="D7" s="10">
        <v>10000</v>
      </c>
      <c r="E7" s="9" t="str" cm="1">
        <f t="array" ref="E7">_xlfn.IFS(D7&lt;= 60000, "Low Income",
D7&lt;=120000,"Medium Income",
D7&gt; 120000,"High Income"
)</f>
        <v>Low Income</v>
      </c>
      <c r="F7" s="9">
        <v>2</v>
      </c>
      <c r="G7" s="9" t="s">
        <v>21</v>
      </c>
      <c r="H7" s="9" t="s">
        <v>28</v>
      </c>
      <c r="I7" s="9" t="s">
        <v>17</v>
      </c>
      <c r="J7" s="9">
        <v>0</v>
      </c>
      <c r="K7" s="9" t="s">
        <v>29</v>
      </c>
      <c r="L7" s="9" t="s">
        <v>19</v>
      </c>
      <c r="M7" s="9">
        <v>50</v>
      </c>
      <c r="N7" s="9" t="str" cm="1">
        <f t="array" ref="N7">_xlfn.IFS(
M7&lt;=12,"Children",
M7&lt;=19,"Teens",
M7&lt;=29,"Young Adults",
M7&lt;=39,"Adults",
M7&lt;=59,"Middle-Aged",
M7&gt;=60,"Seniors"
)</f>
        <v>Middle-Aged</v>
      </c>
      <c r="O7" s="9" t="s">
        <v>20</v>
      </c>
      <c r="P7" s="9">
        <f t="shared" si="0"/>
        <v>0</v>
      </c>
      <c r="Q7" s="9">
        <v>1</v>
      </c>
      <c r="R7" s="10">
        <f t="shared" si="1"/>
        <v>0</v>
      </c>
    </row>
    <row r="8" spans="1:19" x14ac:dyDescent="0.3">
      <c r="A8" s="9">
        <v>27974</v>
      </c>
      <c r="B8" s="9" t="s">
        <v>40</v>
      </c>
      <c r="C8" s="9" t="s">
        <v>39</v>
      </c>
      <c r="D8" s="10">
        <v>160000</v>
      </c>
      <c r="E8" s="9" t="str" cm="1">
        <f t="array" ref="E8">_xlfn.IFS(D8&lt;= 60000, "Low Income",
D8&lt;=120000,"Medium Income",
D8&gt; 120000,"High Income"
)</f>
        <v>High Income</v>
      </c>
      <c r="F8" s="9">
        <v>2</v>
      </c>
      <c r="G8" s="9" t="s">
        <v>30</v>
      </c>
      <c r="H8" s="9" t="s">
        <v>31</v>
      </c>
      <c r="I8" s="9" t="s">
        <v>17</v>
      </c>
      <c r="J8" s="9">
        <v>4</v>
      </c>
      <c r="K8" s="9" t="s">
        <v>18</v>
      </c>
      <c r="L8" s="9" t="s">
        <v>27</v>
      </c>
      <c r="M8" s="9">
        <v>33</v>
      </c>
      <c r="N8" s="9" t="str" cm="1">
        <f t="array" ref="N8">_xlfn.IFS(
M8&lt;=12,"Children",
M8&lt;=19,"Teens",
M8&lt;=29,"Young Adults",
M8&lt;=39,"Adults",
M8&lt;=59,"Middle-Aged",
M8&gt;=60,"Seniors"
)</f>
        <v>Adults</v>
      </c>
      <c r="O8" s="9" t="s">
        <v>17</v>
      </c>
      <c r="P8" s="9">
        <f t="shared" si="0"/>
        <v>1</v>
      </c>
      <c r="Q8" s="9">
        <v>1</v>
      </c>
      <c r="R8" s="10">
        <f t="shared" si="1"/>
        <v>160000</v>
      </c>
    </row>
    <row r="9" spans="1:19" x14ac:dyDescent="0.3">
      <c r="A9" s="9">
        <v>19364</v>
      </c>
      <c r="B9" s="9" t="s">
        <v>37</v>
      </c>
      <c r="C9" s="9" t="s">
        <v>39</v>
      </c>
      <c r="D9" s="10">
        <v>40000</v>
      </c>
      <c r="E9" s="9" t="str" cm="1">
        <f t="array" ref="E9">_xlfn.IFS(D9&lt;= 60000, "Low Income",
D9&lt;=120000,"Medium Income",
D9&gt; 120000,"High Income"
)</f>
        <v>Low Income</v>
      </c>
      <c r="F9" s="9">
        <v>1</v>
      </c>
      <c r="G9" s="9" t="s">
        <v>15</v>
      </c>
      <c r="H9" s="9" t="s">
        <v>16</v>
      </c>
      <c r="I9" s="9" t="s">
        <v>17</v>
      </c>
      <c r="J9" s="9">
        <v>0</v>
      </c>
      <c r="K9" s="9" t="s">
        <v>18</v>
      </c>
      <c r="L9" s="9" t="s">
        <v>19</v>
      </c>
      <c r="M9" s="9">
        <v>43</v>
      </c>
      <c r="N9" s="9" t="str" cm="1">
        <f t="array" ref="N9">_xlfn.IFS(
M9&lt;=12,"Children",
M9&lt;=19,"Teens",
M9&lt;=29,"Young Adults",
M9&lt;=39,"Adults",
M9&lt;=59,"Middle-Aged",
M9&gt;=60,"Seniors"
)</f>
        <v>Middle-Aged</v>
      </c>
      <c r="O9" s="9" t="s">
        <v>17</v>
      </c>
      <c r="P9" s="9">
        <f t="shared" si="0"/>
        <v>1</v>
      </c>
      <c r="Q9" s="9">
        <v>1</v>
      </c>
      <c r="R9" s="10">
        <f t="shared" si="1"/>
        <v>40000</v>
      </c>
    </row>
    <row r="10" spans="1:19" x14ac:dyDescent="0.3">
      <c r="A10" s="9">
        <v>22155</v>
      </c>
      <c r="B10" s="9" t="s">
        <v>37</v>
      </c>
      <c r="C10" s="9" t="s">
        <v>39</v>
      </c>
      <c r="D10" s="10">
        <v>20000</v>
      </c>
      <c r="E10" s="9" t="str" cm="1">
        <f t="array" ref="E10">_xlfn.IFS(D10&lt;= 60000, "Low Income",
D10&lt;=120000,"Medium Income",
D10&gt; 120000,"High Income"
)</f>
        <v>Low Income</v>
      </c>
      <c r="F10" s="9">
        <v>2</v>
      </c>
      <c r="G10" s="9" t="s">
        <v>32</v>
      </c>
      <c r="H10" s="9" t="s">
        <v>22</v>
      </c>
      <c r="I10" s="9" t="s">
        <v>17</v>
      </c>
      <c r="J10" s="9">
        <v>2</v>
      </c>
      <c r="K10" s="9" t="s">
        <v>26</v>
      </c>
      <c r="L10" s="9" t="s">
        <v>27</v>
      </c>
      <c r="M10" s="9">
        <v>58</v>
      </c>
      <c r="N10" s="9" t="str" cm="1">
        <f t="array" ref="N10">_xlfn.IFS(
M10&lt;=12,"Children",
M10&lt;=19,"Teens",
M10&lt;=29,"Young Adults",
M10&lt;=39,"Adults",
M10&lt;=59,"Middle-Aged",
M10&gt;=60,"Seniors"
)</f>
        <v>Middle-Aged</v>
      </c>
      <c r="O10" s="9" t="s">
        <v>20</v>
      </c>
      <c r="P10" s="9">
        <f t="shared" si="0"/>
        <v>0</v>
      </c>
      <c r="Q10" s="9">
        <v>1</v>
      </c>
      <c r="R10" s="10">
        <f t="shared" si="1"/>
        <v>0</v>
      </c>
    </row>
    <row r="11" spans="1:19" x14ac:dyDescent="0.3">
      <c r="A11" s="9">
        <v>19280</v>
      </c>
      <c r="B11" s="9" t="s">
        <v>37</v>
      </c>
      <c r="C11" s="9" t="s">
        <v>39</v>
      </c>
      <c r="D11" s="10">
        <v>120000</v>
      </c>
      <c r="E11" s="9" t="str" cm="1">
        <f t="array" ref="E11">_xlfn.IFS(D11&lt;= 60000, "Low Income",
D11&lt;=120000,"Medium Income",
D11&gt; 120000,"High Income"
)</f>
        <v>Medium Income</v>
      </c>
      <c r="F11" s="9">
        <v>2</v>
      </c>
      <c r="G11" s="9" t="s">
        <v>21</v>
      </c>
      <c r="H11" s="9" t="s">
        <v>28</v>
      </c>
      <c r="I11" s="9" t="s">
        <v>17</v>
      </c>
      <c r="J11" s="9">
        <v>1</v>
      </c>
      <c r="K11" s="9" t="s">
        <v>18</v>
      </c>
      <c r="L11" s="9" t="s">
        <v>19</v>
      </c>
      <c r="M11" s="9">
        <v>40</v>
      </c>
      <c r="N11" s="9" t="str" cm="1">
        <f t="array" ref="N11">_xlfn.IFS(
M11&lt;=12,"Children",
M11&lt;=19,"Teens",
M11&lt;=29,"Young Adults",
M11&lt;=39,"Adults",
M11&lt;=59,"Middle-Aged",
M11&gt;=60,"Seniors"
)</f>
        <v>Middle-Aged</v>
      </c>
      <c r="O11" s="9" t="s">
        <v>17</v>
      </c>
      <c r="P11" s="9">
        <f t="shared" si="0"/>
        <v>1</v>
      </c>
      <c r="Q11" s="9">
        <v>1</v>
      </c>
      <c r="R11" s="10">
        <f t="shared" si="1"/>
        <v>120000</v>
      </c>
    </row>
    <row r="12" spans="1:19" x14ac:dyDescent="0.3">
      <c r="A12" s="9">
        <v>22173</v>
      </c>
      <c r="B12" s="9" t="s">
        <v>37</v>
      </c>
      <c r="C12" s="9" t="s">
        <v>38</v>
      </c>
      <c r="D12" s="10">
        <v>30000</v>
      </c>
      <c r="E12" s="9" t="str" cm="1">
        <f t="array" ref="E12">_xlfn.IFS(D12&lt;= 60000, "Low Income",
D12&lt;=120000,"Medium Income",
D12&gt; 120000,"High Income"
)</f>
        <v>Low Income</v>
      </c>
      <c r="F12" s="9">
        <v>3</v>
      </c>
      <c r="G12" s="9" t="s">
        <v>30</v>
      </c>
      <c r="H12" s="9" t="s">
        <v>16</v>
      </c>
      <c r="I12" s="9" t="s">
        <v>20</v>
      </c>
      <c r="J12" s="9">
        <v>2</v>
      </c>
      <c r="K12" s="9" t="s">
        <v>29</v>
      </c>
      <c r="L12" s="9" t="s">
        <v>27</v>
      </c>
      <c r="M12" s="9">
        <v>54</v>
      </c>
      <c r="N12" s="9" t="str" cm="1">
        <f t="array" ref="N12">_xlfn.IFS(
M12&lt;=12,"Children",
M12&lt;=19,"Teens",
M12&lt;=29,"Young Adults",
M12&lt;=39,"Adults",
M12&lt;=59,"Middle-Aged",
M12&gt;=60,"Seniors"
)</f>
        <v>Middle-Aged</v>
      </c>
      <c r="O12" s="9" t="s">
        <v>17</v>
      </c>
      <c r="P12" s="9">
        <f t="shared" si="0"/>
        <v>1</v>
      </c>
      <c r="Q12" s="9">
        <v>1</v>
      </c>
      <c r="R12" s="10">
        <f t="shared" si="1"/>
        <v>30000</v>
      </c>
    </row>
    <row r="13" spans="1:19" x14ac:dyDescent="0.3">
      <c r="A13" s="9">
        <v>12697</v>
      </c>
      <c r="B13" s="9" t="s">
        <v>40</v>
      </c>
      <c r="C13" s="9" t="s">
        <v>38</v>
      </c>
      <c r="D13" s="10">
        <v>90000</v>
      </c>
      <c r="E13" s="9" t="str" cm="1">
        <f t="array" ref="E13">_xlfn.IFS(D13&lt;= 60000, "Low Income",
D13&lt;=120000,"Medium Income",
D13&gt; 120000,"High Income"
)</f>
        <v>Medium Income</v>
      </c>
      <c r="F13" s="9">
        <v>0</v>
      </c>
      <c r="G13" s="9" t="s">
        <v>15</v>
      </c>
      <c r="H13" s="9" t="s">
        <v>23</v>
      </c>
      <c r="I13" s="9" t="s">
        <v>20</v>
      </c>
      <c r="J13" s="9">
        <v>4</v>
      </c>
      <c r="K13" s="9" t="s">
        <v>41</v>
      </c>
      <c r="L13" s="9" t="s">
        <v>27</v>
      </c>
      <c r="M13" s="9">
        <v>36</v>
      </c>
      <c r="N13" s="9" t="str" cm="1">
        <f t="array" ref="N13">_xlfn.IFS(
M13&lt;=12,"Children",
M13&lt;=19,"Teens",
M13&lt;=29,"Young Adults",
M13&lt;=39,"Adults",
M13&lt;=59,"Middle-Aged",
M13&gt;=60,"Seniors"
)</f>
        <v>Adults</v>
      </c>
      <c r="O13" s="9" t="s">
        <v>20</v>
      </c>
      <c r="P13" s="9">
        <f t="shared" si="0"/>
        <v>0</v>
      </c>
      <c r="Q13" s="9">
        <v>1</v>
      </c>
      <c r="R13" s="10">
        <f t="shared" si="1"/>
        <v>0</v>
      </c>
    </row>
    <row r="14" spans="1:19" x14ac:dyDescent="0.3">
      <c r="A14" s="9">
        <v>11434</v>
      </c>
      <c r="B14" s="9" t="s">
        <v>37</v>
      </c>
      <c r="C14" s="9" t="s">
        <v>39</v>
      </c>
      <c r="D14" s="10">
        <v>170000</v>
      </c>
      <c r="E14" s="9" t="str" cm="1">
        <f t="array" ref="E14">_xlfn.IFS(D14&lt;= 60000, "Low Income",
D14&lt;=120000,"Medium Income",
D14&gt; 120000,"High Income"
)</f>
        <v>High Income</v>
      </c>
      <c r="F14" s="9">
        <v>5</v>
      </c>
      <c r="G14" s="9" t="s">
        <v>21</v>
      </c>
      <c r="H14" s="9" t="s">
        <v>23</v>
      </c>
      <c r="I14" s="9" t="s">
        <v>17</v>
      </c>
      <c r="J14" s="9">
        <v>0</v>
      </c>
      <c r="K14" s="9" t="s">
        <v>18</v>
      </c>
      <c r="L14" s="9" t="s">
        <v>19</v>
      </c>
      <c r="M14" s="9">
        <v>55</v>
      </c>
      <c r="N14" s="9" t="str" cm="1">
        <f t="array" ref="N14">_xlfn.IFS(
M14&lt;=12,"Children",
M14&lt;=19,"Teens",
M14&lt;=29,"Young Adults",
M14&lt;=39,"Adults",
M14&lt;=59,"Middle-Aged",
M14&gt;=60,"Seniors"
)</f>
        <v>Middle-Aged</v>
      </c>
      <c r="O14" s="9" t="s">
        <v>20</v>
      </c>
      <c r="P14" s="9">
        <f t="shared" si="0"/>
        <v>0</v>
      </c>
      <c r="Q14" s="9">
        <v>1</v>
      </c>
      <c r="R14" s="10">
        <f t="shared" si="1"/>
        <v>0</v>
      </c>
    </row>
    <row r="15" spans="1:19" x14ac:dyDescent="0.3">
      <c r="A15" s="9">
        <v>25323</v>
      </c>
      <c r="B15" s="9" t="s">
        <v>37</v>
      </c>
      <c r="C15" s="9" t="s">
        <v>39</v>
      </c>
      <c r="D15" s="10">
        <v>40000</v>
      </c>
      <c r="E15" s="9" t="str" cm="1">
        <f t="array" ref="E15">_xlfn.IFS(D15&lt;= 60000, "Low Income",
D15&lt;=120000,"Medium Income",
D15&gt; 120000,"High Income"
)</f>
        <v>Low Income</v>
      </c>
      <c r="F15" s="9">
        <v>2</v>
      </c>
      <c r="G15" s="9" t="s">
        <v>21</v>
      </c>
      <c r="H15" s="9" t="s">
        <v>22</v>
      </c>
      <c r="I15" s="9" t="s">
        <v>17</v>
      </c>
      <c r="J15" s="9">
        <v>1</v>
      </c>
      <c r="K15" s="9" t="s">
        <v>29</v>
      </c>
      <c r="L15" s="9" t="s">
        <v>19</v>
      </c>
      <c r="M15" s="9">
        <v>35</v>
      </c>
      <c r="N15" s="9" t="str" cm="1">
        <f t="array" ref="N15">_xlfn.IFS(
M15&lt;=12,"Children",
M15&lt;=19,"Teens",
M15&lt;=29,"Young Adults",
M15&lt;=39,"Adults",
M15&lt;=59,"Middle-Aged",
M15&gt;=60,"Seniors"
)</f>
        <v>Adults</v>
      </c>
      <c r="O15" s="9" t="s">
        <v>17</v>
      </c>
      <c r="P15" s="9">
        <f t="shared" si="0"/>
        <v>1</v>
      </c>
      <c r="Q15" s="9">
        <v>1</v>
      </c>
      <c r="R15" s="10">
        <f t="shared" si="1"/>
        <v>40000</v>
      </c>
    </row>
    <row r="16" spans="1:19" x14ac:dyDescent="0.3">
      <c r="A16" s="9">
        <v>23542</v>
      </c>
      <c r="B16" s="9" t="s">
        <v>40</v>
      </c>
      <c r="C16" s="9" t="s">
        <v>39</v>
      </c>
      <c r="D16" s="10">
        <v>60000</v>
      </c>
      <c r="E16" s="9" t="str" cm="1">
        <f t="array" ref="E16">_xlfn.IFS(D16&lt;= 60000, "Low Income",
D16&lt;=120000,"Medium Income",
D16&gt; 120000,"High Income"
)</f>
        <v>Low Income</v>
      </c>
      <c r="F16" s="9">
        <v>1</v>
      </c>
      <c r="G16" s="9" t="s">
        <v>21</v>
      </c>
      <c r="H16" s="9" t="s">
        <v>16</v>
      </c>
      <c r="I16" s="9" t="s">
        <v>20</v>
      </c>
      <c r="J16" s="9">
        <v>1</v>
      </c>
      <c r="K16" s="9" t="s">
        <v>18</v>
      </c>
      <c r="L16" s="9" t="s">
        <v>27</v>
      </c>
      <c r="M16" s="9">
        <v>45</v>
      </c>
      <c r="N16" s="9" t="str" cm="1">
        <f t="array" ref="N16">_xlfn.IFS(
M16&lt;=12,"Children",
M16&lt;=19,"Teens",
M16&lt;=29,"Young Adults",
M16&lt;=39,"Adults",
M16&lt;=59,"Middle-Aged",
M16&gt;=60,"Seniors"
)</f>
        <v>Middle-Aged</v>
      </c>
      <c r="O16" s="9" t="s">
        <v>17</v>
      </c>
      <c r="P16" s="9">
        <f t="shared" si="0"/>
        <v>1</v>
      </c>
      <c r="Q16" s="9">
        <v>1</v>
      </c>
      <c r="R16" s="10">
        <f t="shared" si="1"/>
        <v>60000</v>
      </c>
    </row>
    <row r="17" spans="1:18" x14ac:dyDescent="0.3">
      <c r="A17" s="9">
        <v>20870</v>
      </c>
      <c r="B17" s="9" t="s">
        <v>40</v>
      </c>
      <c r="C17" s="9" t="s">
        <v>38</v>
      </c>
      <c r="D17" s="10">
        <v>10000</v>
      </c>
      <c r="E17" s="9" t="str" cm="1">
        <f t="array" ref="E17">_xlfn.IFS(D17&lt;= 60000, "Low Income",
D17&lt;=120000,"Medium Income",
D17&gt; 120000,"High Income"
)</f>
        <v>Low Income</v>
      </c>
      <c r="F17" s="9">
        <v>2</v>
      </c>
      <c r="G17" s="9" t="s">
        <v>30</v>
      </c>
      <c r="H17" s="9" t="s">
        <v>28</v>
      </c>
      <c r="I17" s="9" t="s">
        <v>17</v>
      </c>
      <c r="J17" s="9">
        <v>1</v>
      </c>
      <c r="K17" s="9" t="s">
        <v>18</v>
      </c>
      <c r="L17" s="9" t="s">
        <v>19</v>
      </c>
      <c r="M17" s="9">
        <v>38</v>
      </c>
      <c r="N17" s="9" t="str" cm="1">
        <f t="array" ref="N17">_xlfn.IFS(
M17&lt;=12,"Children",
M17&lt;=19,"Teens",
M17&lt;=29,"Young Adults",
M17&lt;=39,"Adults",
M17&lt;=59,"Middle-Aged",
M17&gt;=60,"Seniors"
)</f>
        <v>Adults</v>
      </c>
      <c r="O17" s="9" t="s">
        <v>17</v>
      </c>
      <c r="P17" s="9">
        <f t="shared" si="0"/>
        <v>1</v>
      </c>
      <c r="Q17" s="9">
        <v>1</v>
      </c>
      <c r="R17" s="10">
        <f t="shared" si="1"/>
        <v>10000</v>
      </c>
    </row>
    <row r="18" spans="1:18" x14ac:dyDescent="0.3">
      <c r="A18" s="9">
        <v>23316</v>
      </c>
      <c r="B18" s="9" t="s">
        <v>40</v>
      </c>
      <c r="C18" s="9" t="s">
        <v>39</v>
      </c>
      <c r="D18" s="10">
        <v>30000</v>
      </c>
      <c r="E18" s="9" t="str" cm="1">
        <f t="array" ref="E18">_xlfn.IFS(D18&lt;= 60000, "Low Income",
D18&lt;=120000,"Medium Income",
D18&gt; 120000,"High Income"
)</f>
        <v>Low Income</v>
      </c>
      <c r="F18" s="9">
        <v>3</v>
      </c>
      <c r="G18" s="9" t="s">
        <v>21</v>
      </c>
      <c r="H18" s="9" t="s">
        <v>22</v>
      </c>
      <c r="I18" s="9" t="s">
        <v>20</v>
      </c>
      <c r="J18" s="9">
        <v>2</v>
      </c>
      <c r="K18" s="9" t="s">
        <v>29</v>
      </c>
      <c r="L18" s="9" t="s">
        <v>27</v>
      </c>
      <c r="M18" s="9">
        <v>59</v>
      </c>
      <c r="N18" s="9" t="str" cm="1">
        <f t="array" ref="N18">_xlfn.IFS(
M18&lt;=12,"Children",
M18&lt;=19,"Teens",
M18&lt;=29,"Young Adults",
M18&lt;=39,"Adults",
M18&lt;=59,"Middle-Aged",
M18&gt;=60,"Seniors"
)</f>
        <v>Middle-Aged</v>
      </c>
      <c r="O18" s="9" t="s">
        <v>17</v>
      </c>
      <c r="P18" s="9">
        <f t="shared" si="0"/>
        <v>1</v>
      </c>
      <c r="Q18" s="9">
        <v>1</v>
      </c>
      <c r="R18" s="10">
        <f t="shared" si="1"/>
        <v>30000</v>
      </c>
    </row>
    <row r="19" spans="1:18" x14ac:dyDescent="0.3">
      <c r="A19" s="9">
        <v>12610</v>
      </c>
      <c r="B19" s="9" t="s">
        <v>37</v>
      </c>
      <c r="C19" s="9" t="s">
        <v>38</v>
      </c>
      <c r="D19" s="10">
        <v>30000</v>
      </c>
      <c r="E19" s="9" t="str" cm="1">
        <f t="array" ref="E19">_xlfn.IFS(D19&lt;= 60000, "Low Income",
D19&lt;=120000,"Medium Income",
D19&gt; 120000,"High Income"
)</f>
        <v>Low Income</v>
      </c>
      <c r="F19" s="9">
        <v>1</v>
      </c>
      <c r="G19" s="9" t="s">
        <v>15</v>
      </c>
      <c r="H19" s="9" t="s">
        <v>22</v>
      </c>
      <c r="I19" s="9" t="s">
        <v>17</v>
      </c>
      <c r="J19" s="9">
        <v>0</v>
      </c>
      <c r="K19" s="9" t="s">
        <v>18</v>
      </c>
      <c r="L19" s="9" t="s">
        <v>19</v>
      </c>
      <c r="M19" s="9">
        <v>47</v>
      </c>
      <c r="N19" s="9" t="str" cm="1">
        <f t="array" ref="N19">_xlfn.IFS(
M19&lt;=12,"Children",
M19&lt;=19,"Teens",
M19&lt;=29,"Young Adults",
M19&lt;=39,"Adults",
M19&lt;=59,"Middle-Aged",
M19&gt;=60,"Seniors"
)</f>
        <v>Middle-Aged</v>
      </c>
      <c r="O19" s="9" t="s">
        <v>20</v>
      </c>
      <c r="P19" s="9">
        <f t="shared" si="0"/>
        <v>0</v>
      </c>
      <c r="Q19" s="9">
        <v>1</v>
      </c>
      <c r="R19" s="10">
        <f t="shared" si="1"/>
        <v>0</v>
      </c>
    </row>
    <row r="20" spans="1:18" x14ac:dyDescent="0.3">
      <c r="A20" s="9">
        <v>27183</v>
      </c>
      <c r="B20" s="9" t="s">
        <v>40</v>
      </c>
      <c r="C20" s="9" t="s">
        <v>39</v>
      </c>
      <c r="D20" s="10">
        <v>40000</v>
      </c>
      <c r="E20" s="9" t="str" cm="1">
        <f t="array" ref="E20">_xlfn.IFS(D20&lt;= 60000, "Low Income",
D20&lt;=120000,"Medium Income",
D20&gt; 120000,"High Income"
)</f>
        <v>Low Income</v>
      </c>
      <c r="F20" s="9">
        <v>2</v>
      </c>
      <c r="G20" s="9" t="s">
        <v>21</v>
      </c>
      <c r="H20" s="9" t="s">
        <v>22</v>
      </c>
      <c r="I20" s="9" t="s">
        <v>17</v>
      </c>
      <c r="J20" s="9">
        <v>1</v>
      </c>
      <c r="K20" s="9" t="s">
        <v>29</v>
      </c>
      <c r="L20" s="9" t="s">
        <v>19</v>
      </c>
      <c r="M20" s="9">
        <v>35</v>
      </c>
      <c r="N20" s="9" t="str" cm="1">
        <f t="array" ref="N20">_xlfn.IFS(
M20&lt;=12,"Children",
M20&lt;=19,"Teens",
M20&lt;=29,"Young Adults",
M20&lt;=39,"Adults",
M20&lt;=59,"Middle-Aged",
M20&gt;=60,"Seniors"
)</f>
        <v>Adults</v>
      </c>
      <c r="O20" s="9" t="s">
        <v>17</v>
      </c>
      <c r="P20" s="9">
        <f t="shared" si="0"/>
        <v>1</v>
      </c>
      <c r="Q20" s="9">
        <v>1</v>
      </c>
      <c r="R20" s="10">
        <f t="shared" si="1"/>
        <v>40000</v>
      </c>
    </row>
    <row r="21" spans="1:18" x14ac:dyDescent="0.3">
      <c r="A21" s="9">
        <v>25940</v>
      </c>
      <c r="B21" s="9" t="s">
        <v>40</v>
      </c>
      <c r="C21" s="9" t="s">
        <v>39</v>
      </c>
      <c r="D21" s="10">
        <v>20000</v>
      </c>
      <c r="E21" s="9" t="str" cm="1">
        <f t="array" ref="E21">_xlfn.IFS(D21&lt;= 60000, "Low Income",
D21&lt;=120000,"Medium Income",
D21&gt; 120000,"High Income"
)</f>
        <v>Low Income</v>
      </c>
      <c r="F21" s="9">
        <v>2</v>
      </c>
      <c r="G21" s="9" t="s">
        <v>32</v>
      </c>
      <c r="H21" s="9" t="s">
        <v>22</v>
      </c>
      <c r="I21" s="9" t="s">
        <v>17</v>
      </c>
      <c r="J21" s="9">
        <v>2</v>
      </c>
      <c r="K21" s="9" t="s">
        <v>26</v>
      </c>
      <c r="L21" s="9" t="s">
        <v>27</v>
      </c>
      <c r="M21" s="9">
        <v>55</v>
      </c>
      <c r="N21" s="9" t="str" cm="1">
        <f t="array" ref="N21">_xlfn.IFS(
M21&lt;=12,"Children",
M21&lt;=19,"Teens",
M21&lt;=29,"Young Adults",
M21&lt;=39,"Adults",
M21&lt;=59,"Middle-Aged",
M21&gt;=60,"Seniors"
)</f>
        <v>Middle-Aged</v>
      </c>
      <c r="O21" s="9" t="s">
        <v>17</v>
      </c>
      <c r="P21" s="9">
        <f t="shared" si="0"/>
        <v>1</v>
      </c>
      <c r="Q21" s="9">
        <v>1</v>
      </c>
      <c r="R21" s="10">
        <f t="shared" si="1"/>
        <v>20000</v>
      </c>
    </row>
    <row r="22" spans="1:18" x14ac:dyDescent="0.3">
      <c r="A22" s="9">
        <v>25598</v>
      </c>
      <c r="B22" s="9" t="s">
        <v>37</v>
      </c>
      <c r="C22" s="9" t="s">
        <v>38</v>
      </c>
      <c r="D22" s="10">
        <v>40000</v>
      </c>
      <c r="E22" s="9" t="str" cm="1">
        <f t="array" ref="E22">_xlfn.IFS(D22&lt;= 60000, "Low Income",
D22&lt;=120000,"Medium Income",
D22&gt; 120000,"High Income"
)</f>
        <v>Low Income</v>
      </c>
      <c r="F22" s="9">
        <v>0</v>
      </c>
      <c r="G22" s="9" t="s">
        <v>34</v>
      </c>
      <c r="H22" s="9" t="s">
        <v>22</v>
      </c>
      <c r="I22" s="9" t="s">
        <v>17</v>
      </c>
      <c r="J22" s="9">
        <v>0</v>
      </c>
      <c r="K22" s="9" t="s">
        <v>18</v>
      </c>
      <c r="L22" s="9" t="s">
        <v>19</v>
      </c>
      <c r="M22" s="9">
        <v>36</v>
      </c>
      <c r="N22" s="9" t="str" cm="1">
        <f t="array" ref="N22">_xlfn.IFS(
M22&lt;=12,"Children",
M22&lt;=19,"Teens",
M22&lt;=29,"Young Adults",
M22&lt;=39,"Adults",
M22&lt;=59,"Middle-Aged",
M22&gt;=60,"Seniors"
)</f>
        <v>Adults</v>
      </c>
      <c r="O22" s="9" t="s">
        <v>17</v>
      </c>
      <c r="P22" s="9">
        <f t="shared" si="0"/>
        <v>1</v>
      </c>
      <c r="Q22" s="9">
        <v>1</v>
      </c>
      <c r="R22" s="10">
        <f t="shared" si="1"/>
        <v>40000</v>
      </c>
    </row>
    <row r="23" spans="1:18" x14ac:dyDescent="0.3">
      <c r="A23" s="9">
        <v>21564</v>
      </c>
      <c r="B23" s="9" t="s">
        <v>40</v>
      </c>
      <c r="C23" s="9" t="s">
        <v>38</v>
      </c>
      <c r="D23" s="10">
        <v>80000</v>
      </c>
      <c r="E23" s="9" t="str" cm="1">
        <f t="array" ref="E23">_xlfn.IFS(D23&lt;= 60000, "Low Income",
D23&lt;=120000,"Medium Income",
D23&gt; 120000,"High Income"
)</f>
        <v>Medium Income</v>
      </c>
      <c r="F23" s="9">
        <v>0</v>
      </c>
      <c r="G23" s="9" t="s">
        <v>15</v>
      </c>
      <c r="H23" s="9" t="s">
        <v>23</v>
      </c>
      <c r="I23" s="9" t="s">
        <v>17</v>
      </c>
      <c r="J23" s="9">
        <v>4</v>
      </c>
      <c r="K23" s="9" t="s">
        <v>41</v>
      </c>
      <c r="L23" s="9" t="s">
        <v>27</v>
      </c>
      <c r="M23" s="9">
        <v>35</v>
      </c>
      <c r="N23" s="9" t="str" cm="1">
        <f t="array" ref="N23">_xlfn.IFS(
M23&lt;=12,"Children",
M23&lt;=19,"Teens",
M23&lt;=29,"Young Adults",
M23&lt;=39,"Adults",
M23&lt;=59,"Middle-Aged",
M23&gt;=60,"Seniors"
)</f>
        <v>Adults</v>
      </c>
      <c r="O23" s="9" t="s">
        <v>20</v>
      </c>
      <c r="P23" s="9">
        <f t="shared" si="0"/>
        <v>0</v>
      </c>
      <c r="Q23" s="9">
        <v>1</v>
      </c>
      <c r="R23" s="10">
        <f t="shared" si="1"/>
        <v>0</v>
      </c>
    </row>
    <row r="24" spans="1:18" x14ac:dyDescent="0.3">
      <c r="A24" s="9">
        <v>19193</v>
      </c>
      <c r="B24" s="9" t="s">
        <v>40</v>
      </c>
      <c r="C24" s="9" t="s">
        <v>39</v>
      </c>
      <c r="D24" s="10">
        <v>40000</v>
      </c>
      <c r="E24" s="9" t="str" cm="1">
        <f t="array" ref="E24">_xlfn.IFS(D24&lt;= 60000, "Low Income",
D24&lt;=120000,"Medium Income",
D24&gt; 120000,"High Income"
)</f>
        <v>Low Income</v>
      </c>
      <c r="F24" s="9">
        <v>2</v>
      </c>
      <c r="G24" s="9" t="s">
        <v>21</v>
      </c>
      <c r="H24" s="9" t="s">
        <v>22</v>
      </c>
      <c r="I24" s="9" t="s">
        <v>17</v>
      </c>
      <c r="J24" s="9">
        <v>0</v>
      </c>
      <c r="K24" s="9" t="s">
        <v>29</v>
      </c>
      <c r="L24" s="9" t="s">
        <v>19</v>
      </c>
      <c r="M24" s="9">
        <v>35</v>
      </c>
      <c r="N24" s="9" t="str" cm="1">
        <f t="array" ref="N24">_xlfn.IFS(
M24&lt;=12,"Children",
M24&lt;=19,"Teens",
M24&lt;=29,"Young Adults",
M24&lt;=39,"Adults",
M24&lt;=59,"Middle-Aged",
M24&gt;=60,"Seniors"
)</f>
        <v>Adults</v>
      </c>
      <c r="O24" s="9" t="s">
        <v>17</v>
      </c>
      <c r="P24" s="9">
        <f t="shared" si="0"/>
        <v>1</v>
      </c>
      <c r="Q24" s="9">
        <v>1</v>
      </c>
      <c r="R24" s="10">
        <f t="shared" si="1"/>
        <v>40000</v>
      </c>
    </row>
    <row r="25" spans="1:18" x14ac:dyDescent="0.3">
      <c r="A25" s="9">
        <v>26412</v>
      </c>
      <c r="B25" s="9" t="s">
        <v>37</v>
      </c>
      <c r="C25" s="9" t="s">
        <v>38</v>
      </c>
      <c r="D25" s="10">
        <v>80000</v>
      </c>
      <c r="E25" s="9" t="str" cm="1">
        <f t="array" ref="E25">_xlfn.IFS(D25&lt;= 60000, "Low Income",
D25&lt;=120000,"Medium Income",
D25&gt; 120000,"High Income"
)</f>
        <v>Medium Income</v>
      </c>
      <c r="F25" s="9">
        <v>5</v>
      </c>
      <c r="G25" s="9" t="s">
        <v>30</v>
      </c>
      <c r="H25" s="9" t="s">
        <v>31</v>
      </c>
      <c r="I25" s="9" t="s">
        <v>20</v>
      </c>
      <c r="J25" s="9">
        <v>3</v>
      </c>
      <c r="K25" s="9" t="s">
        <v>26</v>
      </c>
      <c r="L25" s="9" t="s">
        <v>19</v>
      </c>
      <c r="M25" s="9">
        <v>56</v>
      </c>
      <c r="N25" s="9" t="str" cm="1">
        <f t="array" ref="N25">_xlfn.IFS(
M25&lt;=12,"Children",
M25&lt;=19,"Teens",
M25&lt;=29,"Young Adults",
M25&lt;=39,"Adults",
M25&lt;=59,"Middle-Aged",
M25&gt;=60,"Seniors"
)</f>
        <v>Middle-Aged</v>
      </c>
      <c r="O25" s="9" t="s">
        <v>20</v>
      </c>
      <c r="P25" s="9">
        <f t="shared" si="0"/>
        <v>0</v>
      </c>
      <c r="Q25" s="9">
        <v>1</v>
      </c>
      <c r="R25" s="10">
        <f t="shared" si="1"/>
        <v>0</v>
      </c>
    </row>
    <row r="26" spans="1:18" x14ac:dyDescent="0.3">
      <c r="A26" s="9">
        <v>27184</v>
      </c>
      <c r="B26" s="9" t="s">
        <v>40</v>
      </c>
      <c r="C26" s="9" t="s">
        <v>39</v>
      </c>
      <c r="D26" s="10">
        <v>40000</v>
      </c>
      <c r="E26" s="9" t="str" cm="1">
        <f t="array" ref="E26">_xlfn.IFS(D26&lt;= 60000, "Low Income",
D26&lt;=120000,"Medium Income",
D26&gt; 120000,"High Income"
)</f>
        <v>Low Income</v>
      </c>
      <c r="F26" s="9">
        <v>2</v>
      </c>
      <c r="G26" s="9" t="s">
        <v>21</v>
      </c>
      <c r="H26" s="9" t="s">
        <v>22</v>
      </c>
      <c r="I26" s="9" t="s">
        <v>20</v>
      </c>
      <c r="J26" s="9">
        <v>1</v>
      </c>
      <c r="K26" s="9" t="s">
        <v>18</v>
      </c>
      <c r="L26" s="9" t="s">
        <v>19</v>
      </c>
      <c r="M26" s="9">
        <v>34</v>
      </c>
      <c r="N26" s="9" t="str" cm="1">
        <f t="array" ref="N26">_xlfn.IFS(
M26&lt;=12,"Children",
M26&lt;=19,"Teens",
M26&lt;=29,"Young Adults",
M26&lt;=39,"Adults",
M26&lt;=59,"Middle-Aged",
M26&gt;=60,"Seniors"
)</f>
        <v>Adults</v>
      </c>
      <c r="O26" s="9" t="s">
        <v>20</v>
      </c>
      <c r="P26" s="9">
        <f t="shared" si="0"/>
        <v>0</v>
      </c>
      <c r="Q26" s="9">
        <v>1</v>
      </c>
      <c r="R26" s="10">
        <f t="shared" si="1"/>
        <v>0</v>
      </c>
    </row>
    <row r="27" spans="1:18" x14ac:dyDescent="0.3">
      <c r="A27" s="9">
        <v>12590</v>
      </c>
      <c r="B27" s="9" t="s">
        <v>40</v>
      </c>
      <c r="C27" s="9" t="s">
        <v>39</v>
      </c>
      <c r="D27" s="10">
        <v>30000</v>
      </c>
      <c r="E27" s="9" t="str" cm="1">
        <f t="array" ref="E27">_xlfn.IFS(D27&lt;= 60000, "Low Income",
D27&lt;=120000,"Medium Income",
D27&gt; 120000,"High Income"
)</f>
        <v>Low Income</v>
      </c>
      <c r="F27" s="9">
        <v>1</v>
      </c>
      <c r="G27" s="9" t="s">
        <v>15</v>
      </c>
      <c r="H27" s="9" t="s">
        <v>22</v>
      </c>
      <c r="I27" s="9" t="s">
        <v>17</v>
      </c>
      <c r="J27" s="9">
        <v>0</v>
      </c>
      <c r="K27" s="9" t="s">
        <v>18</v>
      </c>
      <c r="L27" s="9" t="s">
        <v>19</v>
      </c>
      <c r="M27" s="9">
        <v>63</v>
      </c>
      <c r="N27" s="9" t="str" cm="1">
        <f t="array" ref="N27">_xlfn.IFS(
M27&lt;=12,"Children",
M27&lt;=19,"Teens",
M27&lt;=29,"Young Adults",
M27&lt;=39,"Adults",
M27&lt;=59,"Middle-Aged",
M27&gt;=60,"Seniors"
)</f>
        <v>Seniors</v>
      </c>
      <c r="O27" s="9" t="s">
        <v>20</v>
      </c>
      <c r="P27" s="9">
        <f t="shared" si="0"/>
        <v>0</v>
      </c>
      <c r="Q27" s="9">
        <v>1</v>
      </c>
      <c r="R27" s="10">
        <f t="shared" si="1"/>
        <v>0</v>
      </c>
    </row>
    <row r="28" spans="1:18" x14ac:dyDescent="0.3">
      <c r="A28" s="9">
        <v>17841</v>
      </c>
      <c r="B28" s="9" t="s">
        <v>40</v>
      </c>
      <c r="C28" s="9" t="s">
        <v>39</v>
      </c>
      <c r="D28" s="10">
        <v>30000</v>
      </c>
      <c r="E28" s="9" t="str" cm="1">
        <f t="array" ref="E28">_xlfn.IFS(D28&lt;= 60000, "Low Income",
D28&lt;=120000,"Medium Income",
D28&gt; 120000,"High Income"
)</f>
        <v>Low Income</v>
      </c>
      <c r="F28" s="9">
        <v>0</v>
      </c>
      <c r="G28" s="9" t="s">
        <v>21</v>
      </c>
      <c r="H28" s="9" t="s">
        <v>22</v>
      </c>
      <c r="I28" s="9" t="s">
        <v>20</v>
      </c>
      <c r="J28" s="9">
        <v>1</v>
      </c>
      <c r="K28" s="9" t="s">
        <v>18</v>
      </c>
      <c r="L28" s="9" t="s">
        <v>19</v>
      </c>
      <c r="M28" s="9">
        <v>29</v>
      </c>
      <c r="N28" s="9" t="str" cm="1">
        <f t="array" ref="N28">_xlfn.IFS(
M28&lt;=12,"Children",
M28&lt;=19,"Teens",
M28&lt;=29,"Young Adults",
M28&lt;=39,"Adults",
M28&lt;=59,"Middle-Aged",
M28&gt;=60,"Seniors"
)</f>
        <v>Young Adults</v>
      </c>
      <c r="O28" s="9" t="s">
        <v>17</v>
      </c>
      <c r="P28" s="9">
        <f t="shared" si="0"/>
        <v>1</v>
      </c>
      <c r="Q28" s="9">
        <v>1</v>
      </c>
      <c r="R28" s="10">
        <f t="shared" si="1"/>
        <v>30000</v>
      </c>
    </row>
    <row r="29" spans="1:18" x14ac:dyDescent="0.3">
      <c r="A29" s="9">
        <v>18283</v>
      </c>
      <c r="B29" s="9" t="s">
        <v>40</v>
      </c>
      <c r="C29" s="9" t="s">
        <v>38</v>
      </c>
      <c r="D29" s="10">
        <v>100000</v>
      </c>
      <c r="E29" s="9" t="str" cm="1">
        <f t="array" ref="E29">_xlfn.IFS(D29&lt;= 60000, "Low Income",
D29&lt;=120000,"Medium Income",
D29&gt; 120000,"High Income"
)</f>
        <v>Medium Income</v>
      </c>
      <c r="F29" s="9">
        <v>0</v>
      </c>
      <c r="G29" s="9" t="s">
        <v>15</v>
      </c>
      <c r="H29" s="9" t="s">
        <v>23</v>
      </c>
      <c r="I29" s="9" t="s">
        <v>20</v>
      </c>
      <c r="J29" s="9">
        <v>1</v>
      </c>
      <c r="K29" s="9" t="s">
        <v>26</v>
      </c>
      <c r="L29" s="9" t="s">
        <v>27</v>
      </c>
      <c r="M29" s="9">
        <v>40</v>
      </c>
      <c r="N29" s="9" t="str" cm="1">
        <f t="array" ref="N29">_xlfn.IFS(
M29&lt;=12,"Children",
M29&lt;=19,"Teens",
M29&lt;=29,"Young Adults",
M29&lt;=39,"Adults",
M29&lt;=59,"Middle-Aged",
M29&gt;=60,"Seniors"
)</f>
        <v>Middle-Aged</v>
      </c>
      <c r="O29" s="9" t="s">
        <v>20</v>
      </c>
      <c r="P29" s="9">
        <f t="shared" si="0"/>
        <v>0</v>
      </c>
      <c r="Q29" s="9">
        <v>1</v>
      </c>
      <c r="R29" s="10">
        <f t="shared" si="1"/>
        <v>0</v>
      </c>
    </row>
    <row r="30" spans="1:18" x14ac:dyDescent="0.3">
      <c r="A30" s="9">
        <v>18299</v>
      </c>
      <c r="B30" s="9" t="s">
        <v>37</v>
      </c>
      <c r="C30" s="9" t="s">
        <v>39</v>
      </c>
      <c r="D30" s="10">
        <v>70000</v>
      </c>
      <c r="E30" s="9" t="str" cm="1">
        <f t="array" ref="E30">_xlfn.IFS(D30&lt;= 60000, "Low Income",
D30&lt;=120000,"Medium Income",
D30&gt; 120000,"High Income"
)</f>
        <v>Medium Income</v>
      </c>
      <c r="F30" s="9">
        <v>5</v>
      </c>
      <c r="G30" s="9" t="s">
        <v>21</v>
      </c>
      <c r="H30" s="9" t="s">
        <v>16</v>
      </c>
      <c r="I30" s="9" t="s">
        <v>17</v>
      </c>
      <c r="J30" s="9">
        <v>2</v>
      </c>
      <c r="K30" s="9" t="s">
        <v>26</v>
      </c>
      <c r="L30" s="9" t="s">
        <v>27</v>
      </c>
      <c r="M30" s="9">
        <v>44</v>
      </c>
      <c r="N30" s="9" t="str" cm="1">
        <f t="array" ref="N30">_xlfn.IFS(
M30&lt;=12,"Children",
M30&lt;=19,"Teens",
M30&lt;=29,"Young Adults",
M30&lt;=39,"Adults",
M30&lt;=59,"Middle-Aged",
M30&gt;=60,"Seniors"
)</f>
        <v>Middle-Aged</v>
      </c>
      <c r="O30" s="9" t="s">
        <v>20</v>
      </c>
      <c r="P30" s="9">
        <f t="shared" si="0"/>
        <v>0</v>
      </c>
      <c r="Q30" s="9">
        <v>1</v>
      </c>
      <c r="R30" s="10">
        <f t="shared" si="1"/>
        <v>0</v>
      </c>
    </row>
    <row r="31" spans="1:18" x14ac:dyDescent="0.3">
      <c r="A31" s="9">
        <v>16466</v>
      </c>
      <c r="B31" s="9" t="s">
        <v>40</v>
      </c>
      <c r="C31" s="9" t="s">
        <v>38</v>
      </c>
      <c r="D31" s="10">
        <v>20000</v>
      </c>
      <c r="E31" s="9" t="str" cm="1">
        <f t="array" ref="E31">_xlfn.IFS(D31&lt;= 60000, "Low Income",
D31&lt;=120000,"Medium Income",
D31&gt; 120000,"High Income"
)</f>
        <v>Low Income</v>
      </c>
      <c r="F31" s="9">
        <v>0</v>
      </c>
      <c r="G31" s="9" t="s">
        <v>32</v>
      </c>
      <c r="H31" s="9" t="s">
        <v>28</v>
      </c>
      <c r="I31" s="9" t="s">
        <v>20</v>
      </c>
      <c r="J31" s="9">
        <v>2</v>
      </c>
      <c r="K31" s="9" t="s">
        <v>18</v>
      </c>
      <c r="L31" s="9" t="s">
        <v>19</v>
      </c>
      <c r="M31" s="9">
        <v>32</v>
      </c>
      <c r="N31" s="9" t="str" cm="1">
        <f t="array" ref="N31">_xlfn.IFS(
M31&lt;=12,"Children",
M31&lt;=19,"Teens",
M31&lt;=29,"Young Adults",
M31&lt;=39,"Adults",
M31&lt;=59,"Middle-Aged",
M31&gt;=60,"Seniors"
)</f>
        <v>Adults</v>
      </c>
      <c r="O31" s="9" t="s">
        <v>17</v>
      </c>
      <c r="P31" s="9">
        <f t="shared" si="0"/>
        <v>1</v>
      </c>
      <c r="Q31" s="9">
        <v>1</v>
      </c>
      <c r="R31" s="10">
        <f t="shared" si="1"/>
        <v>20000</v>
      </c>
    </row>
    <row r="32" spans="1:18" x14ac:dyDescent="0.3">
      <c r="A32" s="9">
        <v>19273</v>
      </c>
      <c r="B32" s="9" t="s">
        <v>37</v>
      </c>
      <c r="C32" s="9" t="s">
        <v>38</v>
      </c>
      <c r="D32" s="10">
        <v>20000</v>
      </c>
      <c r="E32" s="9" t="str" cm="1">
        <f t="array" ref="E32">_xlfn.IFS(D32&lt;= 60000, "Low Income",
D32&lt;=120000,"Medium Income",
D32&gt; 120000,"High Income"
)</f>
        <v>Low Income</v>
      </c>
      <c r="F32" s="9">
        <v>2</v>
      </c>
      <c r="G32" s="9" t="s">
        <v>21</v>
      </c>
      <c r="H32" s="9" t="s">
        <v>28</v>
      </c>
      <c r="I32" s="9" t="s">
        <v>17</v>
      </c>
      <c r="J32" s="9">
        <v>0</v>
      </c>
      <c r="K32" s="9" t="s">
        <v>18</v>
      </c>
      <c r="L32" s="9" t="s">
        <v>19</v>
      </c>
      <c r="M32" s="9">
        <v>63</v>
      </c>
      <c r="N32" s="9" t="str" cm="1">
        <f t="array" ref="N32">_xlfn.IFS(
M32&lt;=12,"Children",
M32&lt;=19,"Teens",
M32&lt;=29,"Young Adults",
M32&lt;=39,"Adults",
M32&lt;=59,"Middle-Aged",
M32&gt;=60,"Seniors"
)</f>
        <v>Seniors</v>
      </c>
      <c r="O32" s="9" t="s">
        <v>20</v>
      </c>
      <c r="P32" s="9">
        <f t="shared" si="0"/>
        <v>0</v>
      </c>
      <c r="Q32" s="9">
        <v>1</v>
      </c>
      <c r="R32" s="10">
        <f t="shared" si="1"/>
        <v>0</v>
      </c>
    </row>
    <row r="33" spans="1:18" x14ac:dyDescent="0.3">
      <c r="A33" s="9">
        <v>22400</v>
      </c>
      <c r="B33" s="9" t="s">
        <v>37</v>
      </c>
      <c r="C33" s="9" t="s">
        <v>39</v>
      </c>
      <c r="D33" s="10">
        <v>10000</v>
      </c>
      <c r="E33" s="9" t="str" cm="1">
        <f t="array" ref="E33">_xlfn.IFS(D33&lt;= 60000, "Low Income",
D33&lt;=120000,"Medium Income",
D33&gt; 120000,"High Income"
)</f>
        <v>Low Income</v>
      </c>
      <c r="F33" s="9">
        <v>0</v>
      </c>
      <c r="G33" s="9" t="s">
        <v>21</v>
      </c>
      <c r="H33" s="9" t="s">
        <v>28</v>
      </c>
      <c r="I33" s="9" t="s">
        <v>20</v>
      </c>
      <c r="J33" s="9">
        <v>1</v>
      </c>
      <c r="K33" s="9" t="s">
        <v>18</v>
      </c>
      <c r="L33" s="9" t="s">
        <v>27</v>
      </c>
      <c r="M33" s="9">
        <v>26</v>
      </c>
      <c r="N33" s="9" t="str" cm="1">
        <f t="array" ref="N33">_xlfn.IFS(
M33&lt;=12,"Children",
M33&lt;=19,"Teens",
M33&lt;=29,"Young Adults",
M33&lt;=39,"Adults",
M33&lt;=59,"Middle-Aged",
M33&gt;=60,"Seniors"
)</f>
        <v>Young Adults</v>
      </c>
      <c r="O33" s="9" t="s">
        <v>17</v>
      </c>
      <c r="P33" s="9">
        <f t="shared" si="0"/>
        <v>1</v>
      </c>
      <c r="Q33" s="9">
        <v>1</v>
      </c>
      <c r="R33" s="10">
        <f t="shared" si="1"/>
        <v>10000</v>
      </c>
    </row>
    <row r="34" spans="1:18" x14ac:dyDescent="0.3">
      <c r="A34" s="9">
        <v>20942</v>
      </c>
      <c r="B34" s="9" t="s">
        <v>40</v>
      </c>
      <c r="C34" s="9" t="s">
        <v>38</v>
      </c>
      <c r="D34" s="10">
        <v>20000</v>
      </c>
      <c r="E34" s="9" t="str" cm="1">
        <f t="array" ref="E34">_xlfn.IFS(D34&lt;= 60000, "Low Income",
D34&lt;=120000,"Medium Income",
D34&gt; 120000,"High Income"
)</f>
        <v>Low Income</v>
      </c>
      <c r="F34" s="9">
        <v>0</v>
      </c>
      <c r="G34" s="9" t="s">
        <v>30</v>
      </c>
      <c r="H34" s="9" t="s">
        <v>28</v>
      </c>
      <c r="I34" s="9" t="s">
        <v>20</v>
      </c>
      <c r="J34" s="9">
        <v>1</v>
      </c>
      <c r="K34" s="9" t="s">
        <v>26</v>
      </c>
      <c r="L34" s="9" t="s">
        <v>19</v>
      </c>
      <c r="M34" s="9">
        <v>31</v>
      </c>
      <c r="N34" s="9" t="str" cm="1">
        <f t="array" ref="N34">_xlfn.IFS(
M34&lt;=12,"Children",
M34&lt;=19,"Teens",
M34&lt;=29,"Young Adults",
M34&lt;=39,"Adults",
M34&lt;=59,"Middle-Aged",
M34&gt;=60,"Seniors"
)</f>
        <v>Adults</v>
      </c>
      <c r="O34" s="9" t="s">
        <v>20</v>
      </c>
      <c r="P34" s="9">
        <f t="shared" si="0"/>
        <v>0</v>
      </c>
      <c r="Q34" s="9">
        <v>1</v>
      </c>
      <c r="R34" s="10">
        <f t="shared" si="1"/>
        <v>0</v>
      </c>
    </row>
    <row r="35" spans="1:18" x14ac:dyDescent="0.3">
      <c r="A35" s="9">
        <v>18484</v>
      </c>
      <c r="B35" s="9" t="s">
        <v>40</v>
      </c>
      <c r="C35" s="9" t="s">
        <v>39</v>
      </c>
      <c r="D35" s="10">
        <v>80000</v>
      </c>
      <c r="E35" s="9" t="str" cm="1">
        <f t="array" ref="E35">_xlfn.IFS(D35&lt;= 60000, "Low Income",
D35&lt;=120000,"Medium Income",
D35&gt; 120000,"High Income"
)</f>
        <v>Medium Income</v>
      </c>
      <c r="F35" s="9">
        <v>2</v>
      </c>
      <c r="G35" s="9" t="s">
        <v>30</v>
      </c>
      <c r="H35" s="9" t="s">
        <v>16</v>
      </c>
      <c r="I35" s="9" t="s">
        <v>20</v>
      </c>
      <c r="J35" s="9">
        <v>2</v>
      </c>
      <c r="K35" s="9" t="s">
        <v>29</v>
      </c>
      <c r="L35" s="9" t="s">
        <v>27</v>
      </c>
      <c r="M35" s="9">
        <v>50</v>
      </c>
      <c r="N35" s="9" t="str" cm="1">
        <f t="array" ref="N35">_xlfn.IFS(
M35&lt;=12,"Children",
M35&lt;=19,"Teens",
M35&lt;=29,"Young Adults",
M35&lt;=39,"Adults",
M35&lt;=59,"Middle-Aged",
M35&gt;=60,"Seniors"
)</f>
        <v>Middle-Aged</v>
      </c>
      <c r="O35" s="9" t="s">
        <v>17</v>
      </c>
      <c r="P35" s="9">
        <f t="shared" si="0"/>
        <v>1</v>
      </c>
      <c r="Q35" s="9">
        <v>1</v>
      </c>
      <c r="R35" s="10">
        <f t="shared" si="1"/>
        <v>80000</v>
      </c>
    </row>
    <row r="36" spans="1:18" x14ac:dyDescent="0.3">
      <c r="A36" s="9">
        <v>12291</v>
      </c>
      <c r="B36" s="9" t="s">
        <v>40</v>
      </c>
      <c r="C36" s="9" t="s">
        <v>39</v>
      </c>
      <c r="D36" s="10">
        <v>90000</v>
      </c>
      <c r="E36" s="9" t="str" cm="1">
        <f t="array" ref="E36">_xlfn.IFS(D36&lt;= 60000, "Low Income",
D36&lt;=120000,"Medium Income",
D36&gt; 120000,"High Income"
)</f>
        <v>Medium Income</v>
      </c>
      <c r="F36" s="9">
        <v>5</v>
      </c>
      <c r="G36" s="9" t="s">
        <v>21</v>
      </c>
      <c r="H36" s="9" t="s">
        <v>23</v>
      </c>
      <c r="I36" s="9" t="s">
        <v>20</v>
      </c>
      <c r="J36" s="9">
        <v>2</v>
      </c>
      <c r="K36" s="9" t="s">
        <v>24</v>
      </c>
      <c r="L36" s="9" t="s">
        <v>19</v>
      </c>
      <c r="M36" s="9">
        <v>62</v>
      </c>
      <c r="N36" s="9" t="str" cm="1">
        <f t="array" ref="N36">_xlfn.IFS(
M36&lt;=12,"Children",
M36&lt;=19,"Teens",
M36&lt;=29,"Young Adults",
M36&lt;=39,"Adults",
M36&lt;=59,"Middle-Aged",
M36&gt;=60,"Seniors"
)</f>
        <v>Seniors</v>
      </c>
      <c r="O36" s="9" t="s">
        <v>17</v>
      </c>
      <c r="P36" s="9">
        <f t="shared" si="0"/>
        <v>1</v>
      </c>
      <c r="Q36" s="9">
        <v>1</v>
      </c>
      <c r="R36" s="10">
        <f t="shared" si="1"/>
        <v>90000</v>
      </c>
    </row>
    <row r="37" spans="1:18" x14ac:dyDescent="0.3">
      <c r="A37" s="9">
        <v>28380</v>
      </c>
      <c r="B37" s="9" t="s">
        <v>40</v>
      </c>
      <c r="C37" s="9" t="s">
        <v>38</v>
      </c>
      <c r="D37" s="10">
        <v>10000</v>
      </c>
      <c r="E37" s="9" t="str" cm="1">
        <f t="array" ref="E37">_xlfn.IFS(D37&lt;= 60000, "Low Income",
D37&lt;=120000,"Medium Income",
D37&gt; 120000,"High Income"
)</f>
        <v>Low Income</v>
      </c>
      <c r="F37" s="9">
        <v>5</v>
      </c>
      <c r="G37" s="9" t="s">
        <v>32</v>
      </c>
      <c r="H37" s="9" t="s">
        <v>28</v>
      </c>
      <c r="I37" s="9" t="s">
        <v>20</v>
      </c>
      <c r="J37" s="9">
        <v>2</v>
      </c>
      <c r="K37" s="9" t="s">
        <v>18</v>
      </c>
      <c r="L37" s="9" t="s">
        <v>19</v>
      </c>
      <c r="M37" s="9">
        <v>41</v>
      </c>
      <c r="N37" s="9" t="str" cm="1">
        <f t="array" ref="N37">_xlfn.IFS(
M37&lt;=12,"Children",
M37&lt;=19,"Teens",
M37&lt;=29,"Young Adults",
M37&lt;=39,"Adults",
M37&lt;=59,"Middle-Aged",
M37&gt;=60,"Seniors"
)</f>
        <v>Middle-Aged</v>
      </c>
      <c r="O37" s="9" t="s">
        <v>20</v>
      </c>
      <c r="P37" s="9">
        <f t="shared" si="0"/>
        <v>0</v>
      </c>
      <c r="Q37" s="9">
        <v>1</v>
      </c>
      <c r="R37" s="10">
        <f t="shared" si="1"/>
        <v>0</v>
      </c>
    </row>
    <row r="38" spans="1:18" x14ac:dyDescent="0.3">
      <c r="A38" s="9">
        <v>17891</v>
      </c>
      <c r="B38" s="9" t="s">
        <v>37</v>
      </c>
      <c r="C38" s="9" t="s">
        <v>38</v>
      </c>
      <c r="D38" s="10">
        <v>10000</v>
      </c>
      <c r="E38" s="9" t="str" cm="1">
        <f t="array" ref="E38">_xlfn.IFS(D38&lt;= 60000, "Low Income",
D38&lt;=120000,"Medium Income",
D38&gt; 120000,"High Income"
)</f>
        <v>Low Income</v>
      </c>
      <c r="F38" s="9">
        <v>2</v>
      </c>
      <c r="G38" s="9" t="s">
        <v>21</v>
      </c>
      <c r="H38" s="9" t="s">
        <v>28</v>
      </c>
      <c r="I38" s="9" t="s">
        <v>17</v>
      </c>
      <c r="J38" s="9">
        <v>1</v>
      </c>
      <c r="K38" s="9" t="s">
        <v>18</v>
      </c>
      <c r="L38" s="9" t="s">
        <v>19</v>
      </c>
      <c r="M38" s="9">
        <v>50</v>
      </c>
      <c r="N38" s="9" t="str" cm="1">
        <f t="array" ref="N38">_xlfn.IFS(
M38&lt;=12,"Children",
M38&lt;=19,"Teens",
M38&lt;=29,"Young Adults",
M38&lt;=39,"Adults",
M38&lt;=59,"Middle-Aged",
M38&gt;=60,"Seniors"
)</f>
        <v>Middle-Aged</v>
      </c>
      <c r="O38" s="9" t="s">
        <v>17</v>
      </c>
      <c r="P38" s="9">
        <f t="shared" si="0"/>
        <v>1</v>
      </c>
      <c r="Q38" s="9">
        <v>1</v>
      </c>
      <c r="R38" s="10">
        <f t="shared" si="1"/>
        <v>10000</v>
      </c>
    </row>
    <row r="39" spans="1:18" x14ac:dyDescent="0.3">
      <c r="A39" s="9">
        <v>27832</v>
      </c>
      <c r="B39" s="9" t="s">
        <v>40</v>
      </c>
      <c r="C39" s="9" t="s">
        <v>38</v>
      </c>
      <c r="D39" s="10">
        <v>30000</v>
      </c>
      <c r="E39" s="9" t="str" cm="1">
        <f t="array" ref="E39">_xlfn.IFS(D39&lt;= 60000, "Low Income",
D39&lt;=120000,"Medium Income",
D39&gt; 120000,"High Income"
)</f>
        <v>Low Income</v>
      </c>
      <c r="F39" s="9">
        <v>0</v>
      </c>
      <c r="G39" s="9" t="s">
        <v>21</v>
      </c>
      <c r="H39" s="9" t="s">
        <v>22</v>
      </c>
      <c r="I39" s="9" t="s">
        <v>20</v>
      </c>
      <c r="J39" s="9">
        <v>1</v>
      </c>
      <c r="K39" s="9" t="s">
        <v>24</v>
      </c>
      <c r="L39" s="9" t="s">
        <v>19</v>
      </c>
      <c r="M39" s="9">
        <v>30</v>
      </c>
      <c r="N39" s="9" t="str" cm="1">
        <f t="array" ref="N39">_xlfn.IFS(
M39&lt;=12,"Children",
M39&lt;=19,"Teens",
M39&lt;=29,"Young Adults",
M39&lt;=39,"Adults",
M39&lt;=59,"Middle-Aged",
M39&gt;=60,"Seniors"
)</f>
        <v>Adults</v>
      </c>
      <c r="O39" s="9" t="s">
        <v>20</v>
      </c>
      <c r="P39" s="9">
        <f t="shared" si="0"/>
        <v>0</v>
      </c>
      <c r="Q39" s="9">
        <v>1</v>
      </c>
      <c r="R39" s="10">
        <f t="shared" si="1"/>
        <v>0</v>
      </c>
    </row>
    <row r="40" spans="1:18" x14ac:dyDescent="0.3">
      <c r="A40" s="9">
        <v>26863</v>
      </c>
      <c r="B40" s="9" t="s">
        <v>40</v>
      </c>
      <c r="C40" s="9" t="s">
        <v>39</v>
      </c>
      <c r="D40" s="10">
        <v>20000</v>
      </c>
      <c r="E40" s="9" t="str" cm="1">
        <f t="array" ref="E40">_xlfn.IFS(D40&lt;= 60000, "Low Income",
D40&lt;=120000,"Medium Income",
D40&gt; 120000,"High Income"
)</f>
        <v>Low Income</v>
      </c>
      <c r="F40" s="9">
        <v>0</v>
      </c>
      <c r="G40" s="9" t="s">
        <v>30</v>
      </c>
      <c r="H40" s="9" t="s">
        <v>28</v>
      </c>
      <c r="I40" s="9" t="s">
        <v>20</v>
      </c>
      <c r="J40" s="9">
        <v>1</v>
      </c>
      <c r="K40" s="9" t="s">
        <v>24</v>
      </c>
      <c r="L40" s="9" t="s">
        <v>19</v>
      </c>
      <c r="M40" s="9">
        <v>28</v>
      </c>
      <c r="N40" s="9" t="str" cm="1">
        <f t="array" ref="N40">_xlfn.IFS(
M40&lt;=12,"Children",
M40&lt;=19,"Teens",
M40&lt;=29,"Young Adults",
M40&lt;=39,"Adults",
M40&lt;=59,"Middle-Aged",
M40&gt;=60,"Seniors"
)</f>
        <v>Young Adults</v>
      </c>
      <c r="O40" s="9" t="s">
        <v>20</v>
      </c>
      <c r="P40" s="9">
        <f t="shared" si="0"/>
        <v>0</v>
      </c>
      <c r="Q40" s="9">
        <v>1</v>
      </c>
      <c r="R40" s="10">
        <f t="shared" si="1"/>
        <v>0</v>
      </c>
    </row>
    <row r="41" spans="1:18" x14ac:dyDescent="0.3">
      <c r="A41" s="9">
        <v>16259</v>
      </c>
      <c r="B41" s="9" t="s">
        <v>40</v>
      </c>
      <c r="C41" s="9" t="s">
        <v>38</v>
      </c>
      <c r="D41" s="10">
        <v>10000</v>
      </c>
      <c r="E41" s="9" t="str" cm="1">
        <f t="array" ref="E41">_xlfn.IFS(D41&lt;= 60000, "Low Income",
D41&lt;=120000,"Medium Income",
D41&gt; 120000,"High Income"
)</f>
        <v>Low Income</v>
      </c>
      <c r="F41" s="9">
        <v>4</v>
      </c>
      <c r="G41" s="9" t="s">
        <v>32</v>
      </c>
      <c r="H41" s="9" t="s">
        <v>28</v>
      </c>
      <c r="I41" s="9" t="s">
        <v>17</v>
      </c>
      <c r="J41" s="9">
        <v>2</v>
      </c>
      <c r="K41" s="9" t="s">
        <v>18</v>
      </c>
      <c r="L41" s="9" t="s">
        <v>19</v>
      </c>
      <c r="M41" s="9">
        <v>40</v>
      </c>
      <c r="N41" s="9" t="str" cm="1">
        <f t="array" ref="N41">_xlfn.IFS(
M41&lt;=12,"Children",
M41&lt;=19,"Teens",
M41&lt;=29,"Young Adults",
M41&lt;=39,"Adults",
M41&lt;=59,"Middle-Aged",
M41&gt;=60,"Seniors"
)</f>
        <v>Middle-Aged</v>
      </c>
      <c r="O41" s="9" t="s">
        <v>17</v>
      </c>
      <c r="P41" s="9">
        <f t="shared" si="0"/>
        <v>1</v>
      </c>
      <c r="Q41" s="9">
        <v>1</v>
      </c>
      <c r="R41" s="10">
        <f t="shared" si="1"/>
        <v>10000</v>
      </c>
    </row>
    <row r="42" spans="1:18" x14ac:dyDescent="0.3">
      <c r="A42" s="9">
        <v>27803</v>
      </c>
      <c r="B42" s="9" t="s">
        <v>40</v>
      </c>
      <c r="C42" s="9" t="s">
        <v>38</v>
      </c>
      <c r="D42" s="10">
        <v>30000</v>
      </c>
      <c r="E42" s="9" t="str" cm="1">
        <f t="array" ref="E42">_xlfn.IFS(D42&lt;= 60000, "Low Income",
D42&lt;=120000,"Medium Income",
D42&gt; 120000,"High Income"
)</f>
        <v>Low Income</v>
      </c>
      <c r="F42" s="9">
        <v>2</v>
      </c>
      <c r="G42" s="9" t="s">
        <v>21</v>
      </c>
      <c r="H42" s="9" t="s">
        <v>22</v>
      </c>
      <c r="I42" s="9" t="s">
        <v>20</v>
      </c>
      <c r="J42" s="9">
        <v>0</v>
      </c>
      <c r="K42" s="9" t="s">
        <v>18</v>
      </c>
      <c r="L42" s="9" t="s">
        <v>19</v>
      </c>
      <c r="M42" s="9">
        <v>43</v>
      </c>
      <c r="N42" s="9" t="str" cm="1">
        <f t="array" ref="N42">_xlfn.IFS(
M42&lt;=12,"Children",
M42&lt;=19,"Teens",
M42&lt;=29,"Young Adults",
M42&lt;=39,"Adults",
M42&lt;=59,"Middle-Aged",
M42&gt;=60,"Seniors"
)</f>
        <v>Middle-Aged</v>
      </c>
      <c r="O42" s="9" t="s">
        <v>20</v>
      </c>
      <c r="P42" s="9">
        <f t="shared" si="0"/>
        <v>0</v>
      </c>
      <c r="Q42" s="9">
        <v>1</v>
      </c>
      <c r="R42" s="10">
        <f t="shared" si="1"/>
        <v>0</v>
      </c>
    </row>
    <row r="43" spans="1:18" x14ac:dyDescent="0.3">
      <c r="A43" s="9">
        <v>14347</v>
      </c>
      <c r="B43" s="9" t="s">
        <v>40</v>
      </c>
      <c r="C43" s="9" t="s">
        <v>38</v>
      </c>
      <c r="D43" s="10">
        <v>40000</v>
      </c>
      <c r="E43" s="9" t="str" cm="1">
        <f t="array" ref="E43">_xlfn.IFS(D43&lt;= 60000, "Low Income",
D43&lt;=120000,"Medium Income",
D43&gt; 120000,"High Income"
)</f>
        <v>Low Income</v>
      </c>
      <c r="F43" s="9">
        <v>2</v>
      </c>
      <c r="G43" s="9" t="s">
        <v>15</v>
      </c>
      <c r="H43" s="9" t="s">
        <v>31</v>
      </c>
      <c r="I43" s="9" t="s">
        <v>17</v>
      </c>
      <c r="J43" s="9">
        <v>2</v>
      </c>
      <c r="K43" s="9" t="s">
        <v>26</v>
      </c>
      <c r="L43" s="9" t="s">
        <v>27</v>
      </c>
      <c r="M43" s="9">
        <v>65</v>
      </c>
      <c r="N43" s="9" t="str" cm="1">
        <f t="array" ref="N43">_xlfn.IFS(
M43&lt;=12,"Children",
M43&lt;=19,"Teens",
M43&lt;=29,"Young Adults",
M43&lt;=39,"Adults",
M43&lt;=59,"Middle-Aged",
M43&gt;=60,"Seniors"
)</f>
        <v>Seniors</v>
      </c>
      <c r="O43" s="9" t="s">
        <v>17</v>
      </c>
      <c r="P43" s="9">
        <f t="shared" si="0"/>
        <v>1</v>
      </c>
      <c r="Q43" s="9">
        <v>1</v>
      </c>
      <c r="R43" s="10">
        <f t="shared" si="1"/>
        <v>40000</v>
      </c>
    </row>
    <row r="44" spans="1:18" x14ac:dyDescent="0.3">
      <c r="A44" s="9">
        <v>17703</v>
      </c>
      <c r="B44" s="9" t="s">
        <v>37</v>
      </c>
      <c r="C44" s="9" t="s">
        <v>38</v>
      </c>
      <c r="D44" s="10">
        <v>10000</v>
      </c>
      <c r="E44" s="9" t="str" cm="1">
        <f t="array" ref="E44">_xlfn.IFS(D44&lt;= 60000, "Low Income",
D44&lt;=120000,"Medium Income",
D44&gt; 120000,"High Income"
)</f>
        <v>Low Income</v>
      </c>
      <c r="F44" s="9">
        <v>1</v>
      </c>
      <c r="G44" s="9" t="s">
        <v>34</v>
      </c>
      <c r="H44" s="9" t="s">
        <v>28</v>
      </c>
      <c r="I44" s="9" t="s">
        <v>17</v>
      </c>
      <c r="J44" s="9">
        <v>0</v>
      </c>
      <c r="K44" s="9" t="s">
        <v>18</v>
      </c>
      <c r="L44" s="9" t="s">
        <v>19</v>
      </c>
      <c r="M44" s="9">
        <v>40</v>
      </c>
      <c r="N44" s="9" t="str" cm="1">
        <f t="array" ref="N44">_xlfn.IFS(
M44&lt;=12,"Children",
M44&lt;=19,"Teens",
M44&lt;=29,"Young Adults",
M44&lt;=39,"Adults",
M44&lt;=59,"Middle-Aged",
M44&gt;=60,"Seniors"
)</f>
        <v>Middle-Aged</v>
      </c>
      <c r="O44" s="9" t="s">
        <v>20</v>
      </c>
      <c r="P44" s="9">
        <f t="shared" si="0"/>
        <v>0</v>
      </c>
      <c r="Q44" s="9">
        <v>1</v>
      </c>
      <c r="R44" s="10">
        <f t="shared" si="1"/>
        <v>0</v>
      </c>
    </row>
    <row r="45" spans="1:18" x14ac:dyDescent="0.3">
      <c r="A45" s="9">
        <v>17185</v>
      </c>
      <c r="B45" s="9" t="s">
        <v>37</v>
      </c>
      <c r="C45" s="9" t="s">
        <v>38</v>
      </c>
      <c r="D45" s="10">
        <v>170000</v>
      </c>
      <c r="E45" s="9" t="str" cm="1">
        <f t="array" ref="E45">_xlfn.IFS(D45&lt;= 60000, "Low Income",
D45&lt;=120000,"Medium Income",
D45&gt; 120000,"High Income"
)</f>
        <v>High Income</v>
      </c>
      <c r="F45" s="9">
        <v>4</v>
      </c>
      <c r="G45" s="9" t="s">
        <v>21</v>
      </c>
      <c r="H45" s="9" t="s">
        <v>23</v>
      </c>
      <c r="I45" s="9" t="s">
        <v>20</v>
      </c>
      <c r="J45" s="9">
        <v>3</v>
      </c>
      <c r="K45" s="9" t="s">
        <v>26</v>
      </c>
      <c r="L45" s="9" t="s">
        <v>19</v>
      </c>
      <c r="M45" s="9">
        <v>48</v>
      </c>
      <c r="N45" s="9" t="str" cm="1">
        <f t="array" ref="N45">_xlfn.IFS(
M45&lt;=12,"Children",
M45&lt;=19,"Teens",
M45&lt;=29,"Young Adults",
M45&lt;=39,"Adults",
M45&lt;=59,"Middle-Aged",
M45&gt;=60,"Seniors"
)</f>
        <v>Middle-Aged</v>
      </c>
      <c r="O45" s="9" t="s">
        <v>17</v>
      </c>
      <c r="P45" s="9">
        <f t="shared" si="0"/>
        <v>1</v>
      </c>
      <c r="Q45" s="9">
        <v>1</v>
      </c>
      <c r="R45" s="10">
        <f t="shared" si="1"/>
        <v>170000</v>
      </c>
    </row>
    <row r="46" spans="1:18" x14ac:dyDescent="0.3">
      <c r="A46" s="9">
        <v>29380</v>
      </c>
      <c r="B46" s="9" t="s">
        <v>37</v>
      </c>
      <c r="C46" s="9" t="s">
        <v>38</v>
      </c>
      <c r="D46" s="10">
        <v>20000</v>
      </c>
      <c r="E46" s="9" t="str" cm="1">
        <f t="array" ref="E46">_xlfn.IFS(D46&lt;= 60000, "Low Income",
D46&lt;=120000,"Medium Income",
D46&gt; 120000,"High Income"
)</f>
        <v>Low Income</v>
      </c>
      <c r="F46" s="9">
        <v>3</v>
      </c>
      <c r="G46" s="9" t="s">
        <v>30</v>
      </c>
      <c r="H46" s="9" t="s">
        <v>28</v>
      </c>
      <c r="I46" s="9" t="s">
        <v>17</v>
      </c>
      <c r="J46" s="9">
        <v>0</v>
      </c>
      <c r="K46" s="9" t="s">
        <v>18</v>
      </c>
      <c r="L46" s="9" t="s">
        <v>19</v>
      </c>
      <c r="M46" s="9">
        <v>41</v>
      </c>
      <c r="N46" s="9" t="str" cm="1">
        <f t="array" ref="N46">_xlfn.IFS(
M46&lt;=12,"Children",
M46&lt;=19,"Teens",
M46&lt;=29,"Young Adults",
M46&lt;=39,"Adults",
M46&lt;=59,"Middle-Aged",
M46&gt;=60,"Seniors"
)</f>
        <v>Middle-Aged</v>
      </c>
      <c r="O46" s="9" t="s">
        <v>17</v>
      </c>
      <c r="P46" s="9">
        <f t="shared" si="0"/>
        <v>1</v>
      </c>
      <c r="Q46" s="9">
        <v>1</v>
      </c>
      <c r="R46" s="10">
        <f t="shared" si="1"/>
        <v>20000</v>
      </c>
    </row>
    <row r="47" spans="1:18" x14ac:dyDescent="0.3">
      <c r="A47" s="9">
        <v>23986</v>
      </c>
      <c r="B47" s="9" t="s">
        <v>37</v>
      </c>
      <c r="C47" s="9" t="s">
        <v>38</v>
      </c>
      <c r="D47" s="10">
        <v>20000</v>
      </c>
      <c r="E47" s="9" t="str" cm="1">
        <f t="array" ref="E47">_xlfn.IFS(D47&lt;= 60000, "Low Income",
D47&lt;=120000,"Medium Income",
D47&gt; 120000,"High Income"
)</f>
        <v>Low Income</v>
      </c>
      <c r="F47" s="9">
        <v>1</v>
      </c>
      <c r="G47" s="9" t="s">
        <v>15</v>
      </c>
      <c r="H47" s="9" t="s">
        <v>22</v>
      </c>
      <c r="I47" s="9" t="s">
        <v>17</v>
      </c>
      <c r="J47" s="9">
        <v>0</v>
      </c>
      <c r="K47" s="9" t="s">
        <v>18</v>
      </c>
      <c r="L47" s="9" t="s">
        <v>19</v>
      </c>
      <c r="M47" s="9">
        <v>66</v>
      </c>
      <c r="N47" s="9" t="str" cm="1">
        <f t="array" ref="N47">_xlfn.IFS(
M47&lt;=12,"Children",
M47&lt;=19,"Teens",
M47&lt;=29,"Young Adults",
M47&lt;=39,"Adults",
M47&lt;=59,"Middle-Aged",
M47&gt;=60,"Seniors"
)</f>
        <v>Seniors</v>
      </c>
      <c r="O47" s="9" t="s">
        <v>17</v>
      </c>
      <c r="P47" s="9">
        <f t="shared" si="0"/>
        <v>1</v>
      </c>
      <c r="Q47" s="9">
        <v>1</v>
      </c>
      <c r="R47" s="10">
        <f t="shared" si="1"/>
        <v>20000</v>
      </c>
    </row>
    <row r="48" spans="1:18" x14ac:dyDescent="0.3">
      <c r="A48" s="9">
        <v>24466</v>
      </c>
      <c r="B48" s="9" t="s">
        <v>37</v>
      </c>
      <c r="C48" s="9" t="s">
        <v>38</v>
      </c>
      <c r="D48" s="10">
        <v>60000</v>
      </c>
      <c r="E48" s="9" t="str" cm="1">
        <f t="array" ref="E48">_xlfn.IFS(D48&lt;= 60000, "Low Income",
D48&lt;=120000,"Medium Income",
D48&gt; 120000,"High Income"
)</f>
        <v>Low Income</v>
      </c>
      <c r="F48" s="9">
        <v>1</v>
      </c>
      <c r="G48" s="9" t="s">
        <v>21</v>
      </c>
      <c r="H48" s="9" t="s">
        <v>16</v>
      </c>
      <c r="I48" s="9" t="s">
        <v>17</v>
      </c>
      <c r="J48" s="9">
        <v>1</v>
      </c>
      <c r="K48" s="9" t="s">
        <v>26</v>
      </c>
      <c r="L48" s="9" t="s">
        <v>27</v>
      </c>
      <c r="M48" s="9">
        <v>46</v>
      </c>
      <c r="N48" s="9" t="str" cm="1">
        <f t="array" ref="N48">_xlfn.IFS(
M48&lt;=12,"Children",
M48&lt;=19,"Teens",
M48&lt;=29,"Young Adults",
M48&lt;=39,"Adults",
M48&lt;=59,"Middle-Aged",
M48&gt;=60,"Seniors"
)</f>
        <v>Middle-Aged</v>
      </c>
      <c r="O48" s="9" t="s">
        <v>17</v>
      </c>
      <c r="P48" s="9">
        <f t="shared" si="0"/>
        <v>1</v>
      </c>
      <c r="Q48" s="9">
        <v>1</v>
      </c>
      <c r="R48" s="10">
        <f t="shared" si="1"/>
        <v>60000</v>
      </c>
    </row>
    <row r="49" spans="1:18" x14ac:dyDescent="0.3">
      <c r="A49" s="9">
        <v>29097</v>
      </c>
      <c r="B49" s="9" t="s">
        <v>40</v>
      </c>
      <c r="C49" s="9" t="s">
        <v>38</v>
      </c>
      <c r="D49" s="10">
        <v>40000</v>
      </c>
      <c r="E49" s="9" t="str" cm="1">
        <f t="array" ref="E49">_xlfn.IFS(D49&lt;= 60000, "Low Income",
D49&lt;=120000,"Medium Income",
D49&gt; 120000,"High Income"
)</f>
        <v>Low Income</v>
      </c>
      <c r="F49" s="9">
        <v>2</v>
      </c>
      <c r="G49" s="9" t="s">
        <v>21</v>
      </c>
      <c r="H49" s="9" t="s">
        <v>16</v>
      </c>
      <c r="I49" s="9" t="s">
        <v>17</v>
      </c>
      <c r="J49" s="9">
        <v>2</v>
      </c>
      <c r="K49" s="9" t="s">
        <v>26</v>
      </c>
      <c r="L49" s="9" t="s">
        <v>27</v>
      </c>
      <c r="M49" s="9">
        <v>52</v>
      </c>
      <c r="N49" s="9" t="str" cm="1">
        <f t="array" ref="N49">_xlfn.IFS(
M49&lt;=12,"Children",
M49&lt;=19,"Teens",
M49&lt;=29,"Young Adults",
M49&lt;=39,"Adults",
M49&lt;=59,"Middle-Aged",
M49&gt;=60,"Seniors"
)</f>
        <v>Middle-Aged</v>
      </c>
      <c r="O49" s="9" t="s">
        <v>17</v>
      </c>
      <c r="P49" s="9">
        <f t="shared" si="0"/>
        <v>1</v>
      </c>
      <c r="Q49" s="9">
        <v>1</v>
      </c>
      <c r="R49" s="10">
        <f t="shared" si="1"/>
        <v>40000</v>
      </c>
    </row>
    <row r="50" spans="1:18" x14ac:dyDescent="0.3">
      <c r="A50" s="9">
        <v>19487</v>
      </c>
      <c r="B50" s="9" t="s">
        <v>37</v>
      </c>
      <c r="C50" s="9" t="s">
        <v>39</v>
      </c>
      <c r="D50" s="10">
        <v>30000</v>
      </c>
      <c r="E50" s="9" t="str" cm="1">
        <f t="array" ref="E50">_xlfn.IFS(D50&lt;= 60000, "Low Income",
D50&lt;=120000,"Medium Income",
D50&gt; 120000,"High Income"
)</f>
        <v>Low Income</v>
      </c>
      <c r="F50" s="9">
        <v>2</v>
      </c>
      <c r="G50" s="9" t="s">
        <v>21</v>
      </c>
      <c r="H50" s="9" t="s">
        <v>22</v>
      </c>
      <c r="I50" s="9" t="s">
        <v>20</v>
      </c>
      <c r="J50" s="9">
        <v>2</v>
      </c>
      <c r="K50" s="9" t="s">
        <v>18</v>
      </c>
      <c r="L50" s="9" t="s">
        <v>19</v>
      </c>
      <c r="M50" s="9">
        <v>42</v>
      </c>
      <c r="N50" s="9" t="str" cm="1">
        <f t="array" ref="N50">_xlfn.IFS(
M50&lt;=12,"Children",
M50&lt;=19,"Teens",
M50&lt;=29,"Young Adults",
M50&lt;=39,"Adults",
M50&lt;=59,"Middle-Aged",
M50&gt;=60,"Seniors"
)</f>
        <v>Middle-Aged</v>
      </c>
      <c r="O50" s="9" t="s">
        <v>20</v>
      </c>
      <c r="P50" s="9">
        <f t="shared" si="0"/>
        <v>0</v>
      </c>
      <c r="Q50" s="9">
        <v>1</v>
      </c>
      <c r="R50" s="10">
        <f t="shared" si="1"/>
        <v>0</v>
      </c>
    </row>
    <row r="51" spans="1:18" x14ac:dyDescent="0.3">
      <c r="A51" s="9">
        <v>14939</v>
      </c>
      <c r="B51" s="9" t="s">
        <v>40</v>
      </c>
      <c r="C51" s="9" t="s">
        <v>39</v>
      </c>
      <c r="D51" s="10">
        <v>40000</v>
      </c>
      <c r="E51" s="9" t="str" cm="1">
        <f t="array" ref="E51">_xlfn.IFS(D51&lt;= 60000, "Low Income",
D51&lt;=120000,"Medium Income",
D51&gt; 120000,"High Income"
)</f>
        <v>Low Income</v>
      </c>
      <c r="F51" s="9">
        <v>0</v>
      </c>
      <c r="G51" s="9" t="s">
        <v>15</v>
      </c>
      <c r="H51" s="9" t="s">
        <v>22</v>
      </c>
      <c r="I51" s="9" t="s">
        <v>17</v>
      </c>
      <c r="J51" s="9">
        <v>0</v>
      </c>
      <c r="K51" s="9" t="s">
        <v>18</v>
      </c>
      <c r="L51" s="9" t="s">
        <v>19</v>
      </c>
      <c r="M51" s="9">
        <v>39</v>
      </c>
      <c r="N51" s="9" t="str" cm="1">
        <f t="array" ref="N51">_xlfn.IFS(
M51&lt;=12,"Children",
M51&lt;=19,"Teens",
M51&lt;=29,"Young Adults",
M51&lt;=39,"Adults",
M51&lt;=59,"Middle-Aged",
M51&gt;=60,"Seniors"
)</f>
        <v>Adults</v>
      </c>
      <c r="O51" s="9" t="s">
        <v>17</v>
      </c>
      <c r="P51" s="9">
        <f t="shared" si="0"/>
        <v>1</v>
      </c>
      <c r="Q51" s="9">
        <v>1</v>
      </c>
      <c r="R51" s="10">
        <f t="shared" si="1"/>
        <v>40000</v>
      </c>
    </row>
    <row r="52" spans="1:18" x14ac:dyDescent="0.3">
      <c r="A52" s="9">
        <v>13826</v>
      </c>
      <c r="B52" s="9" t="s">
        <v>40</v>
      </c>
      <c r="C52" s="9" t="s">
        <v>38</v>
      </c>
      <c r="D52" s="10">
        <v>30000</v>
      </c>
      <c r="E52" s="9" t="str" cm="1">
        <f t="array" ref="E52">_xlfn.IFS(D52&lt;= 60000, "Low Income",
D52&lt;=120000,"Medium Income",
D52&gt; 120000,"High Income"
)</f>
        <v>Low Income</v>
      </c>
      <c r="F52" s="9">
        <v>0</v>
      </c>
      <c r="G52" s="9" t="s">
        <v>21</v>
      </c>
      <c r="H52" s="9" t="s">
        <v>22</v>
      </c>
      <c r="I52" s="9" t="s">
        <v>20</v>
      </c>
      <c r="J52" s="9">
        <v>1</v>
      </c>
      <c r="K52" s="9" t="s">
        <v>18</v>
      </c>
      <c r="L52" s="9" t="s">
        <v>19</v>
      </c>
      <c r="M52" s="9">
        <v>28</v>
      </c>
      <c r="N52" s="9" t="str" cm="1">
        <f t="array" ref="N52">_xlfn.IFS(
M52&lt;=12,"Children",
M52&lt;=19,"Teens",
M52&lt;=29,"Young Adults",
M52&lt;=39,"Adults",
M52&lt;=59,"Middle-Aged",
M52&gt;=60,"Seniors"
)</f>
        <v>Young Adults</v>
      </c>
      <c r="O52" s="9" t="s">
        <v>20</v>
      </c>
      <c r="P52" s="9">
        <f t="shared" si="0"/>
        <v>0</v>
      </c>
      <c r="Q52" s="9">
        <v>1</v>
      </c>
      <c r="R52" s="10">
        <f t="shared" si="1"/>
        <v>0</v>
      </c>
    </row>
    <row r="53" spans="1:18" x14ac:dyDescent="0.3">
      <c r="A53" s="9">
        <v>20619</v>
      </c>
      <c r="B53" s="9" t="s">
        <v>40</v>
      </c>
      <c r="C53" s="9" t="s">
        <v>39</v>
      </c>
      <c r="D53" s="10">
        <v>80000</v>
      </c>
      <c r="E53" s="9" t="str" cm="1">
        <f t="array" ref="E53">_xlfn.IFS(D53&lt;= 60000, "Low Income",
D53&lt;=120000,"Medium Income",
D53&gt; 120000,"High Income"
)</f>
        <v>Medium Income</v>
      </c>
      <c r="F53" s="9">
        <v>0</v>
      </c>
      <c r="G53" s="9" t="s">
        <v>15</v>
      </c>
      <c r="H53" s="9" t="s">
        <v>23</v>
      </c>
      <c r="I53" s="9" t="s">
        <v>20</v>
      </c>
      <c r="J53" s="9">
        <v>4</v>
      </c>
      <c r="K53" s="9" t="s">
        <v>41</v>
      </c>
      <c r="L53" s="9" t="s">
        <v>27</v>
      </c>
      <c r="M53" s="9">
        <v>35</v>
      </c>
      <c r="N53" s="9" t="str" cm="1">
        <f t="array" ref="N53">_xlfn.IFS(
M53&lt;=12,"Children",
M53&lt;=19,"Teens",
M53&lt;=29,"Young Adults",
M53&lt;=39,"Adults",
M53&lt;=59,"Middle-Aged",
M53&gt;=60,"Seniors"
)</f>
        <v>Adults</v>
      </c>
      <c r="O53" s="9" t="s">
        <v>20</v>
      </c>
      <c r="P53" s="9">
        <f t="shared" si="0"/>
        <v>0</v>
      </c>
      <c r="Q53" s="9">
        <v>1</v>
      </c>
      <c r="R53" s="10">
        <f t="shared" si="1"/>
        <v>0</v>
      </c>
    </row>
    <row r="54" spans="1:18" x14ac:dyDescent="0.3">
      <c r="A54" s="9">
        <v>12558</v>
      </c>
      <c r="B54" s="9" t="s">
        <v>37</v>
      </c>
      <c r="C54" s="9" t="s">
        <v>38</v>
      </c>
      <c r="D54" s="10">
        <v>20000</v>
      </c>
      <c r="E54" s="9" t="str" cm="1">
        <f t="array" ref="E54">_xlfn.IFS(D54&lt;= 60000, "Low Income",
D54&lt;=120000,"Medium Income",
D54&gt; 120000,"High Income"
)</f>
        <v>Low Income</v>
      </c>
      <c r="F54" s="9">
        <v>1</v>
      </c>
      <c r="G54" s="9" t="s">
        <v>15</v>
      </c>
      <c r="H54" s="9" t="s">
        <v>22</v>
      </c>
      <c r="I54" s="9" t="s">
        <v>17</v>
      </c>
      <c r="J54" s="9">
        <v>0</v>
      </c>
      <c r="K54" s="9" t="s">
        <v>18</v>
      </c>
      <c r="L54" s="9" t="s">
        <v>19</v>
      </c>
      <c r="M54" s="9">
        <v>65</v>
      </c>
      <c r="N54" s="9" t="str" cm="1">
        <f t="array" ref="N54">_xlfn.IFS(
M54&lt;=12,"Children",
M54&lt;=19,"Teens",
M54&lt;=29,"Young Adults",
M54&lt;=39,"Adults",
M54&lt;=59,"Middle-Aged",
M54&gt;=60,"Seniors"
)</f>
        <v>Seniors</v>
      </c>
      <c r="O54" s="9" t="s">
        <v>20</v>
      </c>
      <c r="P54" s="9">
        <f t="shared" si="0"/>
        <v>0</v>
      </c>
      <c r="Q54" s="9">
        <v>1</v>
      </c>
      <c r="R54" s="10">
        <f t="shared" si="1"/>
        <v>0</v>
      </c>
    </row>
    <row r="55" spans="1:18" x14ac:dyDescent="0.3">
      <c r="A55" s="9">
        <v>24871</v>
      </c>
      <c r="B55" s="9" t="s">
        <v>40</v>
      </c>
      <c r="C55" s="9" t="s">
        <v>38</v>
      </c>
      <c r="D55" s="10">
        <v>90000</v>
      </c>
      <c r="E55" s="9" t="str" cm="1">
        <f t="array" ref="E55">_xlfn.IFS(D55&lt;= 60000, "Low Income",
D55&lt;=120000,"Medium Income",
D55&gt; 120000,"High Income"
)</f>
        <v>Medium Income</v>
      </c>
      <c r="F55" s="9">
        <v>4</v>
      </c>
      <c r="G55" s="9" t="s">
        <v>30</v>
      </c>
      <c r="H55" s="9" t="s">
        <v>31</v>
      </c>
      <c r="I55" s="9" t="s">
        <v>20</v>
      </c>
      <c r="J55" s="9">
        <v>3</v>
      </c>
      <c r="K55" s="9" t="s">
        <v>26</v>
      </c>
      <c r="L55" s="9" t="s">
        <v>19</v>
      </c>
      <c r="M55" s="9">
        <v>56</v>
      </c>
      <c r="N55" s="9" t="str" cm="1">
        <f t="array" ref="N55">_xlfn.IFS(
M55&lt;=12,"Children",
M55&lt;=19,"Teens",
M55&lt;=29,"Young Adults",
M55&lt;=39,"Adults",
M55&lt;=59,"Middle-Aged",
M55&gt;=60,"Seniors"
)</f>
        <v>Middle-Aged</v>
      </c>
      <c r="O55" s="9" t="s">
        <v>20</v>
      </c>
      <c r="P55" s="9">
        <f t="shared" si="0"/>
        <v>0</v>
      </c>
      <c r="Q55" s="9">
        <v>1</v>
      </c>
      <c r="R55" s="10">
        <f t="shared" si="1"/>
        <v>0</v>
      </c>
    </row>
    <row r="56" spans="1:18" x14ac:dyDescent="0.3">
      <c r="A56" s="9">
        <v>17319</v>
      </c>
      <c r="B56" s="9" t="s">
        <v>40</v>
      </c>
      <c r="C56" s="9" t="s">
        <v>38</v>
      </c>
      <c r="D56" s="10">
        <v>70000</v>
      </c>
      <c r="E56" s="9" t="str" cm="1">
        <f t="array" ref="E56">_xlfn.IFS(D56&lt;= 60000, "Low Income",
D56&lt;=120000,"Medium Income",
D56&gt; 120000,"High Income"
)</f>
        <v>Medium Income</v>
      </c>
      <c r="F56" s="9">
        <v>0</v>
      </c>
      <c r="G56" s="9" t="s">
        <v>15</v>
      </c>
      <c r="H56" s="9" t="s">
        <v>23</v>
      </c>
      <c r="I56" s="9" t="s">
        <v>20</v>
      </c>
      <c r="J56" s="9">
        <v>1</v>
      </c>
      <c r="K56" s="9" t="s">
        <v>26</v>
      </c>
      <c r="L56" s="9" t="s">
        <v>27</v>
      </c>
      <c r="M56" s="9">
        <v>42</v>
      </c>
      <c r="N56" s="9" t="str" cm="1">
        <f t="array" ref="N56">_xlfn.IFS(
M56&lt;=12,"Children",
M56&lt;=19,"Teens",
M56&lt;=29,"Young Adults",
M56&lt;=39,"Adults",
M56&lt;=59,"Middle-Aged",
M56&gt;=60,"Seniors"
)</f>
        <v>Middle-Aged</v>
      </c>
      <c r="O56" s="9" t="s">
        <v>20</v>
      </c>
      <c r="P56" s="9">
        <f t="shared" si="0"/>
        <v>0</v>
      </c>
      <c r="Q56" s="9">
        <v>1</v>
      </c>
      <c r="R56" s="10">
        <f t="shared" si="1"/>
        <v>0</v>
      </c>
    </row>
    <row r="57" spans="1:18" x14ac:dyDescent="0.3">
      <c r="A57" s="9">
        <v>28906</v>
      </c>
      <c r="B57" s="9" t="s">
        <v>37</v>
      </c>
      <c r="C57" s="9" t="s">
        <v>39</v>
      </c>
      <c r="D57" s="10">
        <v>80000</v>
      </c>
      <c r="E57" s="9" t="str" cm="1">
        <f t="array" ref="E57">_xlfn.IFS(D57&lt;= 60000, "Low Income",
D57&lt;=120000,"Medium Income",
D57&gt; 120000,"High Income"
)</f>
        <v>Medium Income</v>
      </c>
      <c r="F57" s="9">
        <v>4</v>
      </c>
      <c r="G57" s="9" t="s">
        <v>30</v>
      </c>
      <c r="H57" s="9" t="s">
        <v>23</v>
      </c>
      <c r="I57" s="9" t="s">
        <v>17</v>
      </c>
      <c r="J57" s="9">
        <v>2</v>
      </c>
      <c r="K57" s="9" t="s">
        <v>41</v>
      </c>
      <c r="L57" s="9" t="s">
        <v>19</v>
      </c>
      <c r="M57" s="9">
        <v>54</v>
      </c>
      <c r="N57" s="9" t="str" cm="1">
        <f t="array" ref="N57">_xlfn.IFS(
M57&lt;=12,"Children",
M57&lt;=19,"Teens",
M57&lt;=29,"Young Adults",
M57&lt;=39,"Adults",
M57&lt;=59,"Middle-Aged",
M57&gt;=60,"Seniors"
)</f>
        <v>Middle-Aged</v>
      </c>
      <c r="O57" s="9" t="s">
        <v>20</v>
      </c>
      <c r="P57" s="9">
        <f t="shared" si="0"/>
        <v>0</v>
      </c>
      <c r="Q57" s="9">
        <v>1</v>
      </c>
      <c r="R57" s="10">
        <f t="shared" si="1"/>
        <v>0</v>
      </c>
    </row>
    <row r="58" spans="1:18" x14ac:dyDescent="0.3">
      <c r="A58" s="9">
        <v>12808</v>
      </c>
      <c r="B58" s="9" t="s">
        <v>37</v>
      </c>
      <c r="C58" s="9" t="s">
        <v>39</v>
      </c>
      <c r="D58" s="10">
        <v>40000</v>
      </c>
      <c r="E58" s="9" t="str" cm="1">
        <f t="array" ref="E58">_xlfn.IFS(D58&lt;= 60000, "Low Income",
D58&lt;=120000,"Medium Income",
D58&gt; 120000,"High Income"
)</f>
        <v>Low Income</v>
      </c>
      <c r="F58" s="9">
        <v>0</v>
      </c>
      <c r="G58" s="9" t="s">
        <v>15</v>
      </c>
      <c r="H58" s="9" t="s">
        <v>22</v>
      </c>
      <c r="I58" s="9" t="s">
        <v>17</v>
      </c>
      <c r="J58" s="9">
        <v>0</v>
      </c>
      <c r="K58" s="9" t="s">
        <v>18</v>
      </c>
      <c r="L58" s="9" t="s">
        <v>19</v>
      </c>
      <c r="M58" s="9">
        <v>38</v>
      </c>
      <c r="N58" s="9" t="str" cm="1">
        <f t="array" ref="N58">_xlfn.IFS(
M58&lt;=12,"Children",
M58&lt;=19,"Teens",
M58&lt;=29,"Young Adults",
M58&lt;=39,"Adults",
M58&lt;=59,"Middle-Aged",
M58&gt;=60,"Seniors"
)</f>
        <v>Adults</v>
      </c>
      <c r="O58" s="9" t="s">
        <v>17</v>
      </c>
      <c r="P58" s="9">
        <f t="shared" si="0"/>
        <v>1</v>
      </c>
      <c r="Q58" s="9">
        <v>1</v>
      </c>
      <c r="R58" s="10">
        <f t="shared" si="1"/>
        <v>40000</v>
      </c>
    </row>
    <row r="59" spans="1:18" x14ac:dyDescent="0.3">
      <c r="A59" s="9">
        <v>20567</v>
      </c>
      <c r="B59" s="9" t="s">
        <v>37</v>
      </c>
      <c r="C59" s="9" t="s">
        <v>39</v>
      </c>
      <c r="D59" s="10">
        <v>130000</v>
      </c>
      <c r="E59" s="9" t="str" cm="1">
        <f t="array" ref="E59">_xlfn.IFS(D59&lt;= 60000, "Low Income",
D59&lt;=120000,"Medium Income",
D59&gt; 120000,"High Income"
)</f>
        <v>High Income</v>
      </c>
      <c r="F59" s="9">
        <v>4</v>
      </c>
      <c r="G59" s="9" t="s">
        <v>21</v>
      </c>
      <c r="H59" s="9" t="s">
        <v>23</v>
      </c>
      <c r="I59" s="9" t="s">
        <v>20</v>
      </c>
      <c r="J59" s="9">
        <v>4</v>
      </c>
      <c r="K59" s="9" t="s">
        <v>26</v>
      </c>
      <c r="L59" s="9" t="s">
        <v>19</v>
      </c>
      <c r="M59" s="9">
        <v>61</v>
      </c>
      <c r="N59" s="9" t="str" cm="1">
        <f t="array" ref="N59">_xlfn.IFS(
M59&lt;=12,"Children",
M59&lt;=19,"Teens",
M59&lt;=29,"Young Adults",
M59&lt;=39,"Adults",
M59&lt;=59,"Middle-Aged",
M59&gt;=60,"Seniors"
)</f>
        <v>Seniors</v>
      </c>
      <c r="O59" s="9" t="s">
        <v>17</v>
      </c>
      <c r="P59" s="9">
        <f t="shared" si="0"/>
        <v>1</v>
      </c>
      <c r="Q59" s="9">
        <v>1</v>
      </c>
      <c r="R59" s="10">
        <f t="shared" si="1"/>
        <v>130000</v>
      </c>
    </row>
    <row r="60" spans="1:18" x14ac:dyDescent="0.3">
      <c r="A60" s="9">
        <v>25502</v>
      </c>
      <c r="B60" s="9" t="s">
        <v>37</v>
      </c>
      <c r="C60" s="9" t="s">
        <v>38</v>
      </c>
      <c r="D60" s="10">
        <v>40000</v>
      </c>
      <c r="E60" s="9" t="str" cm="1">
        <f t="array" ref="E60">_xlfn.IFS(D60&lt;= 60000, "Low Income",
D60&lt;=120000,"Medium Income",
D60&gt; 120000,"High Income"
)</f>
        <v>Low Income</v>
      </c>
      <c r="F60" s="9">
        <v>1</v>
      </c>
      <c r="G60" s="9" t="s">
        <v>15</v>
      </c>
      <c r="H60" s="9" t="s">
        <v>16</v>
      </c>
      <c r="I60" s="9" t="s">
        <v>17</v>
      </c>
      <c r="J60" s="9">
        <v>0</v>
      </c>
      <c r="K60" s="9" t="s">
        <v>18</v>
      </c>
      <c r="L60" s="9" t="s">
        <v>19</v>
      </c>
      <c r="M60" s="9">
        <v>43</v>
      </c>
      <c r="N60" s="9" t="str" cm="1">
        <f t="array" ref="N60">_xlfn.IFS(
M60&lt;=12,"Children",
M60&lt;=19,"Teens",
M60&lt;=29,"Young Adults",
M60&lt;=39,"Adults",
M60&lt;=59,"Middle-Aged",
M60&gt;=60,"Seniors"
)</f>
        <v>Middle-Aged</v>
      </c>
      <c r="O60" s="9" t="s">
        <v>17</v>
      </c>
      <c r="P60" s="9">
        <f t="shared" si="0"/>
        <v>1</v>
      </c>
      <c r="Q60" s="9">
        <v>1</v>
      </c>
      <c r="R60" s="10">
        <f t="shared" si="1"/>
        <v>40000</v>
      </c>
    </row>
    <row r="61" spans="1:18" x14ac:dyDescent="0.3">
      <c r="A61" s="9">
        <v>15580</v>
      </c>
      <c r="B61" s="9" t="s">
        <v>37</v>
      </c>
      <c r="C61" s="9" t="s">
        <v>39</v>
      </c>
      <c r="D61" s="10">
        <v>60000</v>
      </c>
      <c r="E61" s="9" t="str" cm="1">
        <f t="array" ref="E61">_xlfn.IFS(D61&lt;= 60000, "Low Income",
D61&lt;=120000,"Medium Income",
D61&gt; 120000,"High Income"
)</f>
        <v>Low Income</v>
      </c>
      <c r="F61" s="9">
        <v>2</v>
      </c>
      <c r="G61" s="9" t="s">
        <v>15</v>
      </c>
      <c r="H61" s="9" t="s">
        <v>23</v>
      </c>
      <c r="I61" s="9" t="s">
        <v>17</v>
      </c>
      <c r="J61" s="9">
        <v>1</v>
      </c>
      <c r="K61" s="9" t="s">
        <v>24</v>
      </c>
      <c r="L61" s="9" t="s">
        <v>27</v>
      </c>
      <c r="M61" s="9">
        <v>38</v>
      </c>
      <c r="N61" s="9" t="str" cm="1">
        <f t="array" ref="N61">_xlfn.IFS(
M61&lt;=12,"Children",
M61&lt;=19,"Teens",
M61&lt;=29,"Young Adults",
M61&lt;=39,"Adults",
M61&lt;=59,"Middle-Aged",
M61&gt;=60,"Seniors"
)</f>
        <v>Adults</v>
      </c>
      <c r="O61" s="9" t="s">
        <v>17</v>
      </c>
      <c r="P61" s="9">
        <f t="shared" si="0"/>
        <v>1</v>
      </c>
      <c r="Q61" s="9">
        <v>1</v>
      </c>
      <c r="R61" s="10">
        <f t="shared" si="1"/>
        <v>60000</v>
      </c>
    </row>
    <row r="62" spans="1:18" x14ac:dyDescent="0.3">
      <c r="A62" s="9">
        <v>24185</v>
      </c>
      <c r="B62" s="9" t="s">
        <v>40</v>
      </c>
      <c r="C62" s="9" t="s">
        <v>38</v>
      </c>
      <c r="D62" s="10">
        <v>10000</v>
      </c>
      <c r="E62" s="9" t="str" cm="1">
        <f t="array" ref="E62">_xlfn.IFS(D62&lt;= 60000, "Low Income",
D62&lt;=120000,"Medium Income",
D62&gt; 120000,"High Income"
)</f>
        <v>Low Income</v>
      </c>
      <c r="F62" s="9">
        <v>1</v>
      </c>
      <c r="G62" s="9" t="s">
        <v>30</v>
      </c>
      <c r="H62" s="9" t="s">
        <v>28</v>
      </c>
      <c r="I62" s="9" t="s">
        <v>20</v>
      </c>
      <c r="J62" s="9">
        <v>1</v>
      </c>
      <c r="K62" s="9" t="s">
        <v>29</v>
      </c>
      <c r="L62" s="9" t="s">
        <v>19</v>
      </c>
      <c r="M62" s="9">
        <v>45</v>
      </c>
      <c r="N62" s="9" t="str" cm="1">
        <f t="array" ref="N62">_xlfn.IFS(
M62&lt;=12,"Children",
M62&lt;=19,"Teens",
M62&lt;=29,"Young Adults",
M62&lt;=39,"Adults",
M62&lt;=59,"Middle-Aged",
M62&gt;=60,"Seniors"
)</f>
        <v>Middle-Aged</v>
      </c>
      <c r="O62" s="9" t="s">
        <v>20</v>
      </c>
      <c r="P62" s="9">
        <f t="shared" si="0"/>
        <v>0</v>
      </c>
      <c r="Q62" s="9">
        <v>1</v>
      </c>
      <c r="R62" s="10">
        <f t="shared" si="1"/>
        <v>0</v>
      </c>
    </row>
    <row r="63" spans="1:18" x14ac:dyDescent="0.3">
      <c r="A63" s="9">
        <v>19291</v>
      </c>
      <c r="B63" s="9" t="s">
        <v>40</v>
      </c>
      <c r="C63" s="9" t="s">
        <v>38</v>
      </c>
      <c r="D63" s="10">
        <v>10000</v>
      </c>
      <c r="E63" s="9" t="str" cm="1">
        <f t="array" ref="E63">_xlfn.IFS(D63&lt;= 60000, "Low Income",
D63&lt;=120000,"Medium Income",
D63&gt; 120000,"High Income"
)</f>
        <v>Low Income</v>
      </c>
      <c r="F63" s="9">
        <v>2</v>
      </c>
      <c r="G63" s="9" t="s">
        <v>30</v>
      </c>
      <c r="H63" s="9" t="s">
        <v>28</v>
      </c>
      <c r="I63" s="9" t="s">
        <v>17</v>
      </c>
      <c r="J63" s="9">
        <v>0</v>
      </c>
      <c r="K63" s="9" t="s">
        <v>18</v>
      </c>
      <c r="L63" s="9" t="s">
        <v>19</v>
      </c>
      <c r="M63" s="9">
        <v>35</v>
      </c>
      <c r="N63" s="9" t="str" cm="1">
        <f t="array" ref="N63">_xlfn.IFS(
M63&lt;=12,"Children",
M63&lt;=19,"Teens",
M63&lt;=29,"Young Adults",
M63&lt;=39,"Adults",
M63&lt;=59,"Middle-Aged",
M63&gt;=60,"Seniors"
)</f>
        <v>Adults</v>
      </c>
      <c r="O63" s="9" t="s">
        <v>20</v>
      </c>
      <c r="P63" s="9">
        <f t="shared" si="0"/>
        <v>0</v>
      </c>
      <c r="Q63" s="9">
        <v>1</v>
      </c>
      <c r="R63" s="10">
        <f t="shared" si="1"/>
        <v>0</v>
      </c>
    </row>
    <row r="64" spans="1:18" x14ac:dyDescent="0.3">
      <c r="A64" s="9">
        <v>16713</v>
      </c>
      <c r="B64" s="9" t="s">
        <v>37</v>
      </c>
      <c r="C64" s="9" t="s">
        <v>39</v>
      </c>
      <c r="D64" s="10">
        <v>40000</v>
      </c>
      <c r="E64" s="9" t="str" cm="1">
        <f t="array" ref="E64">_xlfn.IFS(D64&lt;= 60000, "Low Income",
D64&lt;=120000,"Medium Income",
D64&gt; 120000,"High Income"
)</f>
        <v>Low Income</v>
      </c>
      <c r="F64" s="9">
        <v>2</v>
      </c>
      <c r="G64" s="9" t="s">
        <v>15</v>
      </c>
      <c r="H64" s="9" t="s">
        <v>31</v>
      </c>
      <c r="I64" s="9" t="s">
        <v>17</v>
      </c>
      <c r="J64" s="9">
        <v>1</v>
      </c>
      <c r="K64" s="9" t="s">
        <v>18</v>
      </c>
      <c r="L64" s="9" t="s">
        <v>27</v>
      </c>
      <c r="M64" s="9">
        <v>52</v>
      </c>
      <c r="N64" s="9" t="str" cm="1">
        <f t="array" ref="N64">_xlfn.IFS(
M64&lt;=12,"Children",
M64&lt;=19,"Teens",
M64&lt;=29,"Young Adults",
M64&lt;=39,"Adults",
M64&lt;=59,"Middle-Aged",
M64&gt;=60,"Seniors"
)</f>
        <v>Middle-Aged</v>
      </c>
      <c r="O64" s="9" t="s">
        <v>17</v>
      </c>
      <c r="P64" s="9">
        <f t="shared" si="0"/>
        <v>1</v>
      </c>
      <c r="Q64" s="9">
        <v>1</v>
      </c>
      <c r="R64" s="10">
        <f t="shared" si="1"/>
        <v>40000</v>
      </c>
    </row>
    <row r="65" spans="1:18" x14ac:dyDescent="0.3">
      <c r="A65" s="9">
        <v>16185</v>
      </c>
      <c r="B65" s="9" t="s">
        <v>40</v>
      </c>
      <c r="C65" s="9" t="s">
        <v>39</v>
      </c>
      <c r="D65" s="10">
        <v>60000</v>
      </c>
      <c r="E65" s="9" t="str" cm="1">
        <f t="array" ref="E65">_xlfn.IFS(D65&lt;= 60000, "Low Income",
D65&lt;=120000,"Medium Income",
D65&gt; 120000,"High Income"
)</f>
        <v>Low Income</v>
      </c>
      <c r="F65" s="9">
        <v>4</v>
      </c>
      <c r="G65" s="9" t="s">
        <v>15</v>
      </c>
      <c r="H65" s="9" t="s">
        <v>23</v>
      </c>
      <c r="I65" s="9" t="s">
        <v>17</v>
      </c>
      <c r="J65" s="9">
        <v>3</v>
      </c>
      <c r="K65" s="9" t="s">
        <v>41</v>
      </c>
      <c r="L65" s="9" t="s">
        <v>27</v>
      </c>
      <c r="M65" s="9">
        <v>41</v>
      </c>
      <c r="N65" s="9" t="str" cm="1">
        <f t="array" ref="N65">_xlfn.IFS(
M65&lt;=12,"Children",
M65&lt;=19,"Teens",
M65&lt;=29,"Young Adults",
M65&lt;=39,"Adults",
M65&lt;=59,"Middle-Aged",
M65&gt;=60,"Seniors"
)</f>
        <v>Middle-Aged</v>
      </c>
      <c r="O65" s="9" t="s">
        <v>20</v>
      </c>
      <c r="P65" s="9">
        <f t="shared" si="0"/>
        <v>0</v>
      </c>
      <c r="Q65" s="9">
        <v>1</v>
      </c>
      <c r="R65" s="10">
        <f t="shared" si="1"/>
        <v>0</v>
      </c>
    </row>
    <row r="66" spans="1:18" x14ac:dyDescent="0.3">
      <c r="A66" s="9">
        <v>14927</v>
      </c>
      <c r="B66" s="9" t="s">
        <v>37</v>
      </c>
      <c r="C66" s="9" t="s">
        <v>38</v>
      </c>
      <c r="D66" s="10">
        <v>30000</v>
      </c>
      <c r="E66" s="9" t="str" cm="1">
        <f t="array" ref="E66">_xlfn.IFS(D66&lt;= 60000, "Low Income",
D66&lt;=120000,"Medium Income",
D66&gt; 120000,"High Income"
)</f>
        <v>Low Income</v>
      </c>
      <c r="F66" s="9">
        <v>1</v>
      </c>
      <c r="G66" s="9" t="s">
        <v>15</v>
      </c>
      <c r="H66" s="9" t="s">
        <v>22</v>
      </c>
      <c r="I66" s="9" t="s">
        <v>17</v>
      </c>
      <c r="J66" s="9">
        <v>0</v>
      </c>
      <c r="K66" s="9" t="s">
        <v>18</v>
      </c>
      <c r="L66" s="9" t="s">
        <v>19</v>
      </c>
      <c r="M66" s="9">
        <v>37</v>
      </c>
      <c r="N66" s="9" t="str" cm="1">
        <f t="array" ref="N66">_xlfn.IFS(
M66&lt;=12,"Children",
M66&lt;=19,"Teens",
M66&lt;=29,"Young Adults",
M66&lt;=39,"Adults",
M66&lt;=59,"Middle-Aged",
M66&gt;=60,"Seniors"
)</f>
        <v>Adults</v>
      </c>
      <c r="O66" s="9" t="s">
        <v>17</v>
      </c>
      <c r="P66" s="9">
        <f t="shared" si="0"/>
        <v>1</v>
      </c>
      <c r="Q66" s="9">
        <v>1</v>
      </c>
      <c r="R66" s="10">
        <f t="shared" si="1"/>
        <v>30000</v>
      </c>
    </row>
    <row r="67" spans="1:18" x14ac:dyDescent="0.3">
      <c r="A67" s="9">
        <v>29337</v>
      </c>
      <c r="B67" s="9" t="s">
        <v>40</v>
      </c>
      <c r="C67" s="9" t="s">
        <v>39</v>
      </c>
      <c r="D67" s="10">
        <v>30000</v>
      </c>
      <c r="E67" s="9" t="str" cm="1">
        <f t="array" ref="E67">_xlfn.IFS(D67&lt;= 60000, "Low Income",
D67&lt;=120000,"Medium Income",
D67&gt; 120000,"High Income"
)</f>
        <v>Low Income</v>
      </c>
      <c r="F67" s="9">
        <v>2</v>
      </c>
      <c r="G67" s="9" t="s">
        <v>21</v>
      </c>
      <c r="H67" s="9" t="s">
        <v>22</v>
      </c>
      <c r="I67" s="9" t="s">
        <v>17</v>
      </c>
      <c r="J67" s="9">
        <v>2</v>
      </c>
      <c r="K67" s="9" t="s">
        <v>26</v>
      </c>
      <c r="L67" s="9" t="s">
        <v>27</v>
      </c>
      <c r="M67" s="9">
        <v>68</v>
      </c>
      <c r="N67" s="9" t="str" cm="1">
        <f t="array" ref="N67">_xlfn.IFS(
M67&lt;=12,"Children",
M67&lt;=19,"Teens",
M67&lt;=29,"Young Adults",
M67&lt;=39,"Adults",
M67&lt;=59,"Middle-Aged",
M67&gt;=60,"Seniors"
)</f>
        <v>Seniors</v>
      </c>
      <c r="O67" s="9" t="s">
        <v>20</v>
      </c>
      <c r="P67" s="9">
        <f t="shared" ref="P67:P130" si="2">IF(O67="No", 0, 1)</f>
        <v>0</v>
      </c>
      <c r="Q67" s="9">
        <v>1</v>
      </c>
      <c r="R67" s="10">
        <f t="shared" ref="R67:R130" si="3">IF(P67=1, D67, 0)</f>
        <v>0</v>
      </c>
    </row>
    <row r="68" spans="1:18" x14ac:dyDescent="0.3">
      <c r="A68" s="9">
        <v>29355</v>
      </c>
      <c r="B68" s="9" t="s">
        <v>37</v>
      </c>
      <c r="C68" s="9" t="s">
        <v>38</v>
      </c>
      <c r="D68" s="10">
        <v>40000</v>
      </c>
      <c r="E68" s="9" t="str" cm="1">
        <f t="array" ref="E68">_xlfn.IFS(D68&lt;= 60000, "Low Income",
D68&lt;=120000,"Medium Income",
D68&gt; 120000,"High Income"
)</f>
        <v>Low Income</v>
      </c>
      <c r="F68" s="9">
        <v>0</v>
      </c>
      <c r="G68" s="9" t="s">
        <v>34</v>
      </c>
      <c r="H68" s="9" t="s">
        <v>22</v>
      </c>
      <c r="I68" s="9" t="s">
        <v>17</v>
      </c>
      <c r="J68" s="9">
        <v>0</v>
      </c>
      <c r="K68" s="9" t="s">
        <v>18</v>
      </c>
      <c r="L68" s="9" t="s">
        <v>19</v>
      </c>
      <c r="M68" s="9">
        <v>37</v>
      </c>
      <c r="N68" s="9" t="str" cm="1">
        <f t="array" ref="N68">_xlfn.IFS(
M68&lt;=12,"Children",
M68&lt;=19,"Teens",
M68&lt;=29,"Young Adults",
M68&lt;=39,"Adults",
M68&lt;=59,"Middle-Aged",
M68&gt;=60,"Seniors"
)</f>
        <v>Adults</v>
      </c>
      <c r="O68" s="9" t="s">
        <v>17</v>
      </c>
      <c r="P68" s="9">
        <f t="shared" si="2"/>
        <v>1</v>
      </c>
      <c r="Q68" s="9">
        <v>1</v>
      </c>
      <c r="R68" s="10">
        <f t="shared" si="3"/>
        <v>40000</v>
      </c>
    </row>
    <row r="69" spans="1:18" x14ac:dyDescent="0.3">
      <c r="A69" s="9">
        <v>25303</v>
      </c>
      <c r="B69" s="9" t="s">
        <v>40</v>
      </c>
      <c r="C69" s="9" t="s">
        <v>39</v>
      </c>
      <c r="D69" s="10">
        <v>30000</v>
      </c>
      <c r="E69" s="9" t="str" cm="1">
        <f t="array" ref="E69">_xlfn.IFS(D69&lt;= 60000, "Low Income",
D69&lt;=120000,"Medium Income",
D69&gt; 120000,"High Income"
)</f>
        <v>Low Income</v>
      </c>
      <c r="F69" s="9">
        <v>0</v>
      </c>
      <c r="G69" s="9" t="s">
        <v>30</v>
      </c>
      <c r="H69" s="9" t="s">
        <v>28</v>
      </c>
      <c r="I69" s="9" t="s">
        <v>17</v>
      </c>
      <c r="J69" s="9">
        <v>1</v>
      </c>
      <c r="K69" s="9" t="s">
        <v>24</v>
      </c>
      <c r="L69" s="9" t="s">
        <v>19</v>
      </c>
      <c r="M69" s="9">
        <v>33</v>
      </c>
      <c r="N69" s="9" t="str" cm="1">
        <f t="array" ref="N69">_xlfn.IFS(
M69&lt;=12,"Children",
M69&lt;=19,"Teens",
M69&lt;=29,"Young Adults",
M69&lt;=39,"Adults",
M69&lt;=59,"Middle-Aged",
M69&gt;=60,"Seniors"
)</f>
        <v>Adults</v>
      </c>
      <c r="O69" s="9" t="s">
        <v>17</v>
      </c>
      <c r="P69" s="9">
        <f t="shared" si="2"/>
        <v>1</v>
      </c>
      <c r="Q69" s="9">
        <v>1</v>
      </c>
      <c r="R69" s="10">
        <f t="shared" si="3"/>
        <v>30000</v>
      </c>
    </row>
    <row r="70" spans="1:18" x14ac:dyDescent="0.3">
      <c r="A70" s="9">
        <v>14813</v>
      </c>
      <c r="B70" s="9" t="s">
        <v>40</v>
      </c>
      <c r="C70" s="9" t="s">
        <v>38</v>
      </c>
      <c r="D70" s="10">
        <v>20000</v>
      </c>
      <c r="E70" s="9" t="str" cm="1">
        <f t="array" ref="E70">_xlfn.IFS(D70&lt;= 60000, "Low Income",
D70&lt;=120000,"Medium Income",
D70&gt; 120000,"High Income"
)</f>
        <v>Low Income</v>
      </c>
      <c r="F70" s="9">
        <v>4</v>
      </c>
      <c r="G70" s="9" t="s">
        <v>30</v>
      </c>
      <c r="H70" s="9" t="s">
        <v>28</v>
      </c>
      <c r="I70" s="9" t="s">
        <v>17</v>
      </c>
      <c r="J70" s="9">
        <v>1</v>
      </c>
      <c r="K70" s="9" t="s">
        <v>18</v>
      </c>
      <c r="L70" s="9" t="s">
        <v>19</v>
      </c>
      <c r="M70" s="9">
        <v>43</v>
      </c>
      <c r="N70" s="9" t="str" cm="1">
        <f t="array" ref="N70">_xlfn.IFS(
M70&lt;=12,"Children",
M70&lt;=19,"Teens",
M70&lt;=29,"Young Adults",
M70&lt;=39,"Adults",
M70&lt;=59,"Middle-Aged",
M70&gt;=60,"Seniors"
)</f>
        <v>Middle-Aged</v>
      </c>
      <c r="O70" s="9" t="s">
        <v>17</v>
      </c>
      <c r="P70" s="9">
        <f t="shared" si="2"/>
        <v>1</v>
      </c>
      <c r="Q70" s="9">
        <v>1</v>
      </c>
      <c r="R70" s="10">
        <f t="shared" si="3"/>
        <v>20000</v>
      </c>
    </row>
    <row r="71" spans="1:18" x14ac:dyDescent="0.3">
      <c r="A71" s="9">
        <v>16438</v>
      </c>
      <c r="B71" s="9" t="s">
        <v>37</v>
      </c>
      <c r="C71" s="9" t="s">
        <v>38</v>
      </c>
      <c r="D71" s="10">
        <v>10000</v>
      </c>
      <c r="E71" s="9" t="str" cm="1">
        <f t="array" ref="E71">_xlfn.IFS(D71&lt;= 60000, "Low Income",
D71&lt;=120000,"Medium Income",
D71&gt; 120000,"High Income"
)</f>
        <v>Low Income</v>
      </c>
      <c r="F71" s="9">
        <v>0</v>
      </c>
      <c r="G71" s="9" t="s">
        <v>32</v>
      </c>
      <c r="H71" s="9" t="s">
        <v>28</v>
      </c>
      <c r="I71" s="9" t="s">
        <v>20</v>
      </c>
      <c r="J71" s="9">
        <v>2</v>
      </c>
      <c r="K71" s="9" t="s">
        <v>18</v>
      </c>
      <c r="L71" s="9" t="s">
        <v>19</v>
      </c>
      <c r="M71" s="9">
        <v>30</v>
      </c>
      <c r="N71" s="9" t="str" cm="1">
        <f t="array" ref="N71">_xlfn.IFS(
M71&lt;=12,"Children",
M71&lt;=19,"Teens",
M71&lt;=29,"Young Adults",
M71&lt;=39,"Adults",
M71&lt;=59,"Middle-Aged",
M71&gt;=60,"Seniors"
)</f>
        <v>Adults</v>
      </c>
      <c r="O71" s="9" t="s">
        <v>20</v>
      </c>
      <c r="P71" s="9">
        <f t="shared" si="2"/>
        <v>0</v>
      </c>
      <c r="Q71" s="9">
        <v>1</v>
      </c>
      <c r="R71" s="10">
        <f t="shared" si="3"/>
        <v>0</v>
      </c>
    </row>
    <row r="72" spans="1:18" x14ac:dyDescent="0.3">
      <c r="A72" s="9">
        <v>14238</v>
      </c>
      <c r="B72" s="9" t="s">
        <v>37</v>
      </c>
      <c r="C72" s="9" t="s">
        <v>39</v>
      </c>
      <c r="D72" s="10">
        <v>120000</v>
      </c>
      <c r="E72" s="9" t="str" cm="1">
        <f t="array" ref="E72">_xlfn.IFS(D72&lt;= 60000, "Low Income",
D72&lt;=120000,"Medium Income",
D72&gt; 120000,"High Income"
)</f>
        <v>Medium Income</v>
      </c>
      <c r="F72" s="9">
        <v>0</v>
      </c>
      <c r="G72" s="9" t="s">
        <v>32</v>
      </c>
      <c r="H72" s="9" t="s">
        <v>23</v>
      </c>
      <c r="I72" s="9" t="s">
        <v>17</v>
      </c>
      <c r="J72" s="9">
        <v>4</v>
      </c>
      <c r="K72" s="9" t="s">
        <v>41</v>
      </c>
      <c r="L72" s="9" t="s">
        <v>27</v>
      </c>
      <c r="M72" s="9">
        <v>36</v>
      </c>
      <c r="N72" s="9" t="str" cm="1">
        <f t="array" ref="N72">_xlfn.IFS(
M72&lt;=12,"Children",
M72&lt;=19,"Teens",
M72&lt;=29,"Young Adults",
M72&lt;=39,"Adults",
M72&lt;=59,"Middle-Aged",
M72&gt;=60,"Seniors"
)</f>
        <v>Adults</v>
      </c>
      <c r="O72" s="9" t="s">
        <v>17</v>
      </c>
      <c r="P72" s="9">
        <f t="shared" si="2"/>
        <v>1</v>
      </c>
      <c r="Q72" s="9">
        <v>1</v>
      </c>
      <c r="R72" s="10">
        <f t="shared" si="3"/>
        <v>120000</v>
      </c>
    </row>
    <row r="73" spans="1:18" x14ac:dyDescent="0.3">
      <c r="A73" s="9">
        <v>16200</v>
      </c>
      <c r="B73" s="9" t="s">
        <v>40</v>
      </c>
      <c r="C73" s="9" t="s">
        <v>38</v>
      </c>
      <c r="D73" s="10">
        <v>10000</v>
      </c>
      <c r="E73" s="9" t="str" cm="1">
        <f t="array" ref="E73">_xlfn.IFS(D73&lt;= 60000, "Low Income",
D73&lt;=120000,"Medium Income",
D73&gt; 120000,"High Income"
)</f>
        <v>Low Income</v>
      </c>
      <c r="F73" s="9">
        <v>0</v>
      </c>
      <c r="G73" s="9" t="s">
        <v>32</v>
      </c>
      <c r="H73" s="9" t="s">
        <v>28</v>
      </c>
      <c r="I73" s="9" t="s">
        <v>20</v>
      </c>
      <c r="J73" s="9">
        <v>2</v>
      </c>
      <c r="K73" s="9" t="s">
        <v>18</v>
      </c>
      <c r="L73" s="9" t="s">
        <v>19</v>
      </c>
      <c r="M73" s="9">
        <v>35</v>
      </c>
      <c r="N73" s="9" t="str" cm="1">
        <f t="array" ref="N73">_xlfn.IFS(
M73&lt;=12,"Children",
M73&lt;=19,"Teens",
M73&lt;=29,"Young Adults",
M73&lt;=39,"Adults",
M73&lt;=59,"Middle-Aged",
M73&gt;=60,"Seniors"
)</f>
        <v>Adults</v>
      </c>
      <c r="O73" s="9" t="s">
        <v>20</v>
      </c>
      <c r="P73" s="9">
        <f t="shared" si="2"/>
        <v>0</v>
      </c>
      <c r="Q73" s="9">
        <v>1</v>
      </c>
      <c r="R73" s="10">
        <f t="shared" si="3"/>
        <v>0</v>
      </c>
    </row>
    <row r="74" spans="1:18" x14ac:dyDescent="0.3">
      <c r="A74" s="9">
        <v>24857</v>
      </c>
      <c r="B74" s="9" t="s">
        <v>37</v>
      </c>
      <c r="C74" s="9" t="s">
        <v>38</v>
      </c>
      <c r="D74" s="10">
        <v>130000</v>
      </c>
      <c r="E74" s="9" t="str" cm="1">
        <f t="array" ref="E74">_xlfn.IFS(D74&lt;= 60000, "Low Income",
D74&lt;=120000,"Medium Income",
D74&gt; 120000,"High Income"
)</f>
        <v>High Income</v>
      </c>
      <c r="F74" s="9">
        <v>3</v>
      </c>
      <c r="G74" s="9" t="s">
        <v>30</v>
      </c>
      <c r="H74" s="9" t="s">
        <v>23</v>
      </c>
      <c r="I74" s="9" t="s">
        <v>17</v>
      </c>
      <c r="J74" s="9">
        <v>4</v>
      </c>
      <c r="K74" s="9" t="s">
        <v>18</v>
      </c>
      <c r="L74" s="9" t="s">
        <v>19</v>
      </c>
      <c r="M74" s="9">
        <v>52</v>
      </c>
      <c r="N74" s="9" t="str" cm="1">
        <f t="array" ref="N74">_xlfn.IFS(
M74&lt;=12,"Children",
M74&lt;=19,"Teens",
M74&lt;=29,"Young Adults",
M74&lt;=39,"Adults",
M74&lt;=59,"Middle-Aged",
M74&gt;=60,"Seniors"
)</f>
        <v>Middle-Aged</v>
      </c>
      <c r="O74" s="9" t="s">
        <v>20</v>
      </c>
      <c r="P74" s="9">
        <f t="shared" si="2"/>
        <v>0</v>
      </c>
      <c r="Q74" s="9">
        <v>1</v>
      </c>
      <c r="R74" s="10">
        <f t="shared" si="3"/>
        <v>0</v>
      </c>
    </row>
    <row r="75" spans="1:18" x14ac:dyDescent="0.3">
      <c r="A75" s="9">
        <v>26956</v>
      </c>
      <c r="B75" s="9" t="s">
        <v>40</v>
      </c>
      <c r="C75" s="9" t="s">
        <v>38</v>
      </c>
      <c r="D75" s="10">
        <v>20000</v>
      </c>
      <c r="E75" s="9" t="str" cm="1">
        <f t="array" ref="E75">_xlfn.IFS(D75&lt;= 60000, "Low Income",
D75&lt;=120000,"Medium Income",
D75&gt; 120000,"High Income"
)</f>
        <v>Low Income</v>
      </c>
      <c r="F75" s="9">
        <v>0</v>
      </c>
      <c r="G75" s="9" t="s">
        <v>21</v>
      </c>
      <c r="H75" s="9" t="s">
        <v>28</v>
      </c>
      <c r="I75" s="9" t="s">
        <v>20</v>
      </c>
      <c r="J75" s="9">
        <v>1</v>
      </c>
      <c r="K75" s="9" t="s">
        <v>24</v>
      </c>
      <c r="L75" s="9" t="s">
        <v>19</v>
      </c>
      <c r="M75" s="9">
        <v>36</v>
      </c>
      <c r="N75" s="9" t="str" cm="1">
        <f t="array" ref="N75">_xlfn.IFS(
M75&lt;=12,"Children",
M75&lt;=19,"Teens",
M75&lt;=29,"Young Adults",
M75&lt;=39,"Adults",
M75&lt;=59,"Middle-Aged",
M75&gt;=60,"Seniors"
)</f>
        <v>Adults</v>
      </c>
      <c r="O75" s="9" t="s">
        <v>17</v>
      </c>
      <c r="P75" s="9">
        <f t="shared" si="2"/>
        <v>1</v>
      </c>
      <c r="Q75" s="9">
        <v>1</v>
      </c>
      <c r="R75" s="10">
        <f t="shared" si="3"/>
        <v>20000</v>
      </c>
    </row>
    <row r="76" spans="1:18" x14ac:dyDescent="0.3">
      <c r="A76" s="9">
        <v>14517</v>
      </c>
      <c r="B76" s="9" t="s">
        <v>37</v>
      </c>
      <c r="C76" s="9" t="s">
        <v>38</v>
      </c>
      <c r="D76" s="10">
        <v>20000</v>
      </c>
      <c r="E76" s="9" t="str" cm="1">
        <f t="array" ref="E76">_xlfn.IFS(D76&lt;= 60000, "Low Income",
D76&lt;=120000,"Medium Income",
D76&gt; 120000,"High Income"
)</f>
        <v>Low Income</v>
      </c>
      <c r="F76" s="9">
        <v>3</v>
      </c>
      <c r="G76" s="9" t="s">
        <v>30</v>
      </c>
      <c r="H76" s="9" t="s">
        <v>16</v>
      </c>
      <c r="I76" s="9" t="s">
        <v>20</v>
      </c>
      <c r="J76" s="9">
        <v>2</v>
      </c>
      <c r="K76" s="9" t="s">
        <v>29</v>
      </c>
      <c r="L76" s="9" t="s">
        <v>27</v>
      </c>
      <c r="M76" s="9">
        <v>62</v>
      </c>
      <c r="N76" s="9" t="str" cm="1">
        <f t="array" ref="N76">_xlfn.IFS(
M76&lt;=12,"Children",
M76&lt;=19,"Teens",
M76&lt;=29,"Young Adults",
M76&lt;=39,"Adults",
M76&lt;=59,"Middle-Aged",
M76&gt;=60,"Seniors"
)</f>
        <v>Seniors</v>
      </c>
      <c r="O76" s="9" t="s">
        <v>20</v>
      </c>
      <c r="P76" s="9">
        <f t="shared" si="2"/>
        <v>0</v>
      </c>
      <c r="Q76" s="9">
        <v>1</v>
      </c>
      <c r="R76" s="10">
        <f t="shared" si="3"/>
        <v>0</v>
      </c>
    </row>
    <row r="77" spans="1:18" x14ac:dyDescent="0.3">
      <c r="A77" s="9">
        <v>12678</v>
      </c>
      <c r="B77" s="9" t="s">
        <v>40</v>
      </c>
      <c r="C77" s="9" t="s">
        <v>38</v>
      </c>
      <c r="D77" s="10">
        <v>130000</v>
      </c>
      <c r="E77" s="9" t="str" cm="1">
        <f t="array" ref="E77">_xlfn.IFS(D77&lt;= 60000, "Low Income",
D77&lt;=120000,"Medium Income",
D77&gt; 120000,"High Income"
)</f>
        <v>High Income</v>
      </c>
      <c r="F77" s="9">
        <v>4</v>
      </c>
      <c r="G77" s="9" t="s">
        <v>30</v>
      </c>
      <c r="H77" s="9" t="s">
        <v>31</v>
      </c>
      <c r="I77" s="9" t="s">
        <v>17</v>
      </c>
      <c r="J77" s="9">
        <v>4</v>
      </c>
      <c r="K77" s="9" t="s">
        <v>18</v>
      </c>
      <c r="L77" s="9" t="s">
        <v>27</v>
      </c>
      <c r="M77" s="9">
        <v>31</v>
      </c>
      <c r="N77" s="9" t="str" cm="1">
        <f t="array" ref="N77">_xlfn.IFS(
M77&lt;=12,"Children",
M77&lt;=19,"Teens",
M77&lt;=29,"Young Adults",
M77&lt;=39,"Adults",
M77&lt;=59,"Middle-Aged",
M77&gt;=60,"Seniors"
)</f>
        <v>Adults</v>
      </c>
      <c r="O77" s="9" t="s">
        <v>20</v>
      </c>
      <c r="P77" s="9">
        <f t="shared" si="2"/>
        <v>0</v>
      </c>
      <c r="Q77" s="9">
        <v>1</v>
      </c>
      <c r="R77" s="10">
        <f t="shared" si="3"/>
        <v>0</v>
      </c>
    </row>
    <row r="78" spans="1:18" x14ac:dyDescent="0.3">
      <c r="A78" s="9">
        <v>16188</v>
      </c>
      <c r="B78" s="9" t="s">
        <v>40</v>
      </c>
      <c r="C78" s="9" t="s">
        <v>38</v>
      </c>
      <c r="D78" s="10">
        <v>20000</v>
      </c>
      <c r="E78" s="9" t="str" cm="1">
        <f t="array" ref="E78">_xlfn.IFS(D78&lt;= 60000, "Low Income",
D78&lt;=120000,"Medium Income",
D78&gt; 120000,"High Income"
)</f>
        <v>Low Income</v>
      </c>
      <c r="F78" s="9">
        <v>0</v>
      </c>
      <c r="G78" s="9" t="s">
        <v>32</v>
      </c>
      <c r="H78" s="9" t="s">
        <v>28</v>
      </c>
      <c r="I78" s="9" t="s">
        <v>20</v>
      </c>
      <c r="J78" s="9">
        <v>2</v>
      </c>
      <c r="K78" s="9" t="s">
        <v>29</v>
      </c>
      <c r="L78" s="9" t="s">
        <v>19</v>
      </c>
      <c r="M78" s="9">
        <v>26</v>
      </c>
      <c r="N78" s="9" t="str" cm="1">
        <f t="array" ref="N78">_xlfn.IFS(
M78&lt;=12,"Children",
M78&lt;=19,"Teens",
M78&lt;=29,"Young Adults",
M78&lt;=39,"Adults",
M78&lt;=59,"Middle-Aged",
M78&gt;=60,"Seniors"
)</f>
        <v>Young Adults</v>
      </c>
      <c r="O78" s="9" t="s">
        <v>20</v>
      </c>
      <c r="P78" s="9">
        <f t="shared" si="2"/>
        <v>0</v>
      </c>
      <c r="Q78" s="9">
        <v>1</v>
      </c>
      <c r="R78" s="10">
        <f t="shared" si="3"/>
        <v>0</v>
      </c>
    </row>
    <row r="79" spans="1:18" x14ac:dyDescent="0.3">
      <c r="A79" s="9">
        <v>27969</v>
      </c>
      <c r="B79" s="9" t="s">
        <v>37</v>
      </c>
      <c r="C79" s="9" t="s">
        <v>39</v>
      </c>
      <c r="D79" s="10">
        <v>80000</v>
      </c>
      <c r="E79" s="9" t="str" cm="1">
        <f t="array" ref="E79">_xlfn.IFS(D79&lt;= 60000, "Low Income",
D79&lt;=120000,"Medium Income",
D79&gt; 120000,"High Income"
)</f>
        <v>Medium Income</v>
      </c>
      <c r="F79" s="9">
        <v>0</v>
      </c>
      <c r="G79" s="9" t="s">
        <v>15</v>
      </c>
      <c r="H79" s="9" t="s">
        <v>23</v>
      </c>
      <c r="I79" s="9" t="s">
        <v>17</v>
      </c>
      <c r="J79" s="9">
        <v>2</v>
      </c>
      <c r="K79" s="9" t="s">
        <v>41</v>
      </c>
      <c r="L79" s="9" t="s">
        <v>27</v>
      </c>
      <c r="M79" s="9">
        <v>29</v>
      </c>
      <c r="N79" s="9" t="str" cm="1">
        <f t="array" ref="N79">_xlfn.IFS(
M79&lt;=12,"Children",
M79&lt;=19,"Teens",
M79&lt;=29,"Young Adults",
M79&lt;=39,"Adults",
M79&lt;=59,"Middle-Aged",
M79&gt;=60,"Seniors"
)</f>
        <v>Young Adults</v>
      </c>
      <c r="O79" s="9" t="s">
        <v>17</v>
      </c>
      <c r="P79" s="9">
        <f t="shared" si="2"/>
        <v>1</v>
      </c>
      <c r="Q79" s="9">
        <v>1</v>
      </c>
      <c r="R79" s="10">
        <f t="shared" si="3"/>
        <v>80000</v>
      </c>
    </row>
    <row r="80" spans="1:18" x14ac:dyDescent="0.3">
      <c r="A80" s="9">
        <v>15752</v>
      </c>
      <c r="B80" s="9" t="s">
        <v>37</v>
      </c>
      <c r="C80" s="9" t="s">
        <v>39</v>
      </c>
      <c r="D80" s="10">
        <v>80000</v>
      </c>
      <c r="E80" s="9" t="str" cm="1">
        <f t="array" ref="E80">_xlfn.IFS(D80&lt;= 60000, "Low Income",
D80&lt;=120000,"Medium Income",
D80&gt; 120000,"High Income"
)</f>
        <v>Medium Income</v>
      </c>
      <c r="F80" s="9">
        <v>2</v>
      </c>
      <c r="G80" s="9" t="s">
        <v>30</v>
      </c>
      <c r="H80" s="9" t="s">
        <v>16</v>
      </c>
      <c r="I80" s="9" t="s">
        <v>20</v>
      </c>
      <c r="J80" s="9">
        <v>2</v>
      </c>
      <c r="K80" s="9" t="s">
        <v>29</v>
      </c>
      <c r="L80" s="9" t="s">
        <v>27</v>
      </c>
      <c r="M80" s="9">
        <v>50</v>
      </c>
      <c r="N80" s="9" t="str" cm="1">
        <f t="array" ref="N80">_xlfn.IFS(
M80&lt;=12,"Children",
M80&lt;=19,"Teens",
M80&lt;=29,"Young Adults",
M80&lt;=39,"Adults",
M80&lt;=59,"Middle-Aged",
M80&gt;=60,"Seniors"
)</f>
        <v>Middle-Aged</v>
      </c>
      <c r="O80" s="9" t="s">
        <v>17</v>
      </c>
      <c r="P80" s="9">
        <f t="shared" si="2"/>
        <v>1</v>
      </c>
      <c r="Q80" s="9">
        <v>1</v>
      </c>
      <c r="R80" s="10">
        <f t="shared" si="3"/>
        <v>80000</v>
      </c>
    </row>
    <row r="81" spans="1:18" x14ac:dyDescent="0.3">
      <c r="A81" s="9">
        <v>27745</v>
      </c>
      <c r="B81" s="9" t="s">
        <v>40</v>
      </c>
      <c r="C81" s="9" t="s">
        <v>39</v>
      </c>
      <c r="D81" s="10">
        <v>40000</v>
      </c>
      <c r="E81" s="9" t="str" cm="1">
        <f t="array" ref="E81">_xlfn.IFS(D81&lt;= 60000, "Low Income",
D81&lt;=120000,"Medium Income",
D81&gt; 120000,"High Income"
)</f>
        <v>Low Income</v>
      </c>
      <c r="F81" s="9">
        <v>2</v>
      </c>
      <c r="G81" s="9" t="s">
        <v>15</v>
      </c>
      <c r="H81" s="9" t="s">
        <v>31</v>
      </c>
      <c r="I81" s="9" t="s">
        <v>17</v>
      </c>
      <c r="J81" s="9">
        <v>2</v>
      </c>
      <c r="K81" s="9" t="s">
        <v>26</v>
      </c>
      <c r="L81" s="9" t="s">
        <v>27</v>
      </c>
      <c r="M81" s="9">
        <v>63</v>
      </c>
      <c r="N81" s="9" t="str" cm="1">
        <f t="array" ref="N81">_xlfn.IFS(
M81&lt;=12,"Children",
M81&lt;=19,"Teens",
M81&lt;=29,"Young Adults",
M81&lt;=39,"Adults",
M81&lt;=59,"Middle-Aged",
M81&gt;=60,"Seniors"
)</f>
        <v>Seniors</v>
      </c>
      <c r="O81" s="9" t="s">
        <v>17</v>
      </c>
      <c r="P81" s="9">
        <f t="shared" si="2"/>
        <v>1</v>
      </c>
      <c r="Q81" s="9">
        <v>1</v>
      </c>
      <c r="R81" s="10">
        <f t="shared" si="3"/>
        <v>40000</v>
      </c>
    </row>
    <row r="82" spans="1:18" x14ac:dyDescent="0.3">
      <c r="A82" s="9">
        <v>20828</v>
      </c>
      <c r="B82" s="9" t="s">
        <v>37</v>
      </c>
      <c r="C82" s="9" t="s">
        <v>38</v>
      </c>
      <c r="D82" s="10">
        <v>30000</v>
      </c>
      <c r="E82" s="9" t="str" cm="1">
        <f t="array" ref="E82">_xlfn.IFS(D82&lt;= 60000, "Low Income",
D82&lt;=120000,"Medium Income",
D82&gt; 120000,"High Income"
)</f>
        <v>Low Income</v>
      </c>
      <c r="F82" s="9">
        <v>4</v>
      </c>
      <c r="G82" s="9" t="s">
        <v>34</v>
      </c>
      <c r="H82" s="9" t="s">
        <v>22</v>
      </c>
      <c r="I82" s="9" t="s">
        <v>17</v>
      </c>
      <c r="J82" s="9">
        <v>0</v>
      </c>
      <c r="K82" s="9" t="s">
        <v>18</v>
      </c>
      <c r="L82" s="9" t="s">
        <v>19</v>
      </c>
      <c r="M82" s="9">
        <v>45</v>
      </c>
      <c r="N82" s="9" t="str" cm="1">
        <f t="array" ref="N82">_xlfn.IFS(
M82&lt;=12,"Children",
M82&lt;=19,"Teens",
M82&lt;=29,"Young Adults",
M82&lt;=39,"Adults",
M82&lt;=59,"Middle-Aged",
M82&gt;=60,"Seniors"
)</f>
        <v>Middle-Aged</v>
      </c>
      <c r="O82" s="9" t="s">
        <v>17</v>
      </c>
      <c r="P82" s="9">
        <f t="shared" si="2"/>
        <v>1</v>
      </c>
      <c r="Q82" s="9">
        <v>1</v>
      </c>
      <c r="R82" s="10">
        <f t="shared" si="3"/>
        <v>30000</v>
      </c>
    </row>
    <row r="83" spans="1:18" x14ac:dyDescent="0.3">
      <c r="A83" s="9">
        <v>19461</v>
      </c>
      <c r="B83" s="9" t="s">
        <v>40</v>
      </c>
      <c r="C83" s="9" t="s">
        <v>38</v>
      </c>
      <c r="D83" s="10">
        <v>10000</v>
      </c>
      <c r="E83" s="9" t="str" cm="1">
        <f t="array" ref="E83">_xlfn.IFS(D83&lt;= 60000, "Low Income",
D83&lt;=120000,"Medium Income",
D83&gt; 120000,"High Income"
)</f>
        <v>Low Income</v>
      </c>
      <c r="F83" s="9">
        <v>4</v>
      </c>
      <c r="G83" s="9" t="s">
        <v>32</v>
      </c>
      <c r="H83" s="9" t="s">
        <v>28</v>
      </c>
      <c r="I83" s="9" t="s">
        <v>17</v>
      </c>
      <c r="J83" s="9">
        <v>2</v>
      </c>
      <c r="K83" s="9" t="s">
        <v>18</v>
      </c>
      <c r="L83" s="9" t="s">
        <v>19</v>
      </c>
      <c r="M83" s="9">
        <v>40</v>
      </c>
      <c r="N83" s="9" t="str" cm="1">
        <f t="array" ref="N83">_xlfn.IFS(
M83&lt;=12,"Children",
M83&lt;=19,"Teens",
M83&lt;=29,"Young Adults",
M83&lt;=39,"Adults",
M83&lt;=59,"Middle-Aged",
M83&gt;=60,"Seniors"
)</f>
        <v>Middle-Aged</v>
      </c>
      <c r="O83" s="9" t="s">
        <v>20</v>
      </c>
      <c r="P83" s="9">
        <f t="shared" si="2"/>
        <v>0</v>
      </c>
      <c r="Q83" s="9">
        <v>1</v>
      </c>
      <c r="R83" s="10">
        <f t="shared" si="3"/>
        <v>0</v>
      </c>
    </row>
    <row r="84" spans="1:18" x14ac:dyDescent="0.3">
      <c r="A84" s="9">
        <v>26941</v>
      </c>
      <c r="B84" s="9" t="s">
        <v>37</v>
      </c>
      <c r="C84" s="9" t="s">
        <v>39</v>
      </c>
      <c r="D84" s="10">
        <v>30000</v>
      </c>
      <c r="E84" s="9" t="str" cm="1">
        <f t="array" ref="E84">_xlfn.IFS(D84&lt;= 60000, "Low Income",
D84&lt;=120000,"Medium Income",
D84&gt; 120000,"High Income"
)</f>
        <v>Low Income</v>
      </c>
      <c r="F84" s="9">
        <v>0</v>
      </c>
      <c r="G84" s="9" t="s">
        <v>15</v>
      </c>
      <c r="H84" s="9" t="s">
        <v>22</v>
      </c>
      <c r="I84" s="9" t="s">
        <v>17</v>
      </c>
      <c r="J84" s="9">
        <v>0</v>
      </c>
      <c r="K84" s="9" t="s">
        <v>18</v>
      </c>
      <c r="L84" s="9" t="s">
        <v>19</v>
      </c>
      <c r="M84" s="9">
        <v>47</v>
      </c>
      <c r="N84" s="9" t="str" cm="1">
        <f t="array" ref="N84">_xlfn.IFS(
M84&lt;=12,"Children",
M84&lt;=19,"Teens",
M84&lt;=29,"Young Adults",
M84&lt;=39,"Adults",
M84&lt;=59,"Middle-Aged",
M84&gt;=60,"Seniors"
)</f>
        <v>Middle-Aged</v>
      </c>
      <c r="O84" s="9" t="s">
        <v>17</v>
      </c>
      <c r="P84" s="9">
        <f t="shared" si="2"/>
        <v>1</v>
      </c>
      <c r="Q84" s="9">
        <v>1</v>
      </c>
      <c r="R84" s="10">
        <f t="shared" si="3"/>
        <v>30000</v>
      </c>
    </row>
    <row r="85" spans="1:18" x14ac:dyDescent="0.3">
      <c r="A85" s="9">
        <v>28412</v>
      </c>
      <c r="B85" s="9" t="s">
        <v>40</v>
      </c>
      <c r="C85" s="9" t="s">
        <v>39</v>
      </c>
      <c r="D85" s="10">
        <v>20000</v>
      </c>
      <c r="E85" s="9" t="str" cm="1">
        <f t="array" ref="E85">_xlfn.IFS(D85&lt;= 60000, "Low Income",
D85&lt;=120000,"Medium Income",
D85&gt; 120000,"High Income"
)</f>
        <v>Low Income</v>
      </c>
      <c r="F85" s="9">
        <v>0</v>
      </c>
      <c r="G85" s="9" t="s">
        <v>30</v>
      </c>
      <c r="H85" s="9" t="s">
        <v>28</v>
      </c>
      <c r="I85" s="9" t="s">
        <v>20</v>
      </c>
      <c r="J85" s="9">
        <v>1</v>
      </c>
      <c r="K85" s="9" t="s">
        <v>24</v>
      </c>
      <c r="L85" s="9" t="s">
        <v>19</v>
      </c>
      <c r="M85" s="9">
        <v>29</v>
      </c>
      <c r="N85" s="9" t="str" cm="1">
        <f t="array" ref="N85">_xlfn.IFS(
M85&lt;=12,"Children",
M85&lt;=19,"Teens",
M85&lt;=29,"Young Adults",
M85&lt;=39,"Adults",
M85&lt;=59,"Middle-Aged",
M85&gt;=60,"Seniors"
)</f>
        <v>Young Adults</v>
      </c>
      <c r="O85" s="9" t="s">
        <v>20</v>
      </c>
      <c r="P85" s="9">
        <f t="shared" si="2"/>
        <v>0</v>
      </c>
      <c r="Q85" s="9">
        <v>1</v>
      </c>
      <c r="R85" s="10">
        <f t="shared" si="3"/>
        <v>0</v>
      </c>
    </row>
    <row r="86" spans="1:18" x14ac:dyDescent="0.3">
      <c r="A86" s="9">
        <v>24485</v>
      </c>
      <c r="B86" s="9" t="s">
        <v>40</v>
      </c>
      <c r="C86" s="9" t="s">
        <v>39</v>
      </c>
      <c r="D86" s="10">
        <v>40000</v>
      </c>
      <c r="E86" s="9" t="str" cm="1">
        <f t="array" ref="E86">_xlfn.IFS(D86&lt;= 60000, "Low Income",
D86&lt;=120000,"Medium Income",
D86&gt; 120000,"High Income"
)</f>
        <v>Low Income</v>
      </c>
      <c r="F86" s="9">
        <v>2</v>
      </c>
      <c r="G86" s="9" t="s">
        <v>15</v>
      </c>
      <c r="H86" s="9" t="s">
        <v>31</v>
      </c>
      <c r="I86" s="9" t="s">
        <v>20</v>
      </c>
      <c r="J86" s="9">
        <v>1</v>
      </c>
      <c r="K86" s="9" t="s">
        <v>26</v>
      </c>
      <c r="L86" s="9" t="s">
        <v>27</v>
      </c>
      <c r="M86" s="9">
        <v>52</v>
      </c>
      <c r="N86" s="9" t="str" cm="1">
        <f t="array" ref="N86">_xlfn.IFS(
M86&lt;=12,"Children",
M86&lt;=19,"Teens",
M86&lt;=29,"Young Adults",
M86&lt;=39,"Adults",
M86&lt;=59,"Middle-Aged",
M86&gt;=60,"Seniors"
)</f>
        <v>Middle-Aged</v>
      </c>
      <c r="O86" s="9" t="s">
        <v>17</v>
      </c>
      <c r="P86" s="9">
        <f t="shared" si="2"/>
        <v>1</v>
      </c>
      <c r="Q86" s="9">
        <v>1</v>
      </c>
      <c r="R86" s="10">
        <f t="shared" si="3"/>
        <v>40000</v>
      </c>
    </row>
    <row r="87" spans="1:18" x14ac:dyDescent="0.3">
      <c r="A87" s="9">
        <v>16514</v>
      </c>
      <c r="B87" s="9" t="s">
        <v>40</v>
      </c>
      <c r="C87" s="9" t="s">
        <v>39</v>
      </c>
      <c r="D87" s="10">
        <v>10000</v>
      </c>
      <c r="E87" s="9" t="str" cm="1">
        <f t="array" ref="E87">_xlfn.IFS(D87&lt;= 60000, "Low Income",
D87&lt;=120000,"Medium Income",
D87&gt; 120000,"High Income"
)</f>
        <v>Low Income</v>
      </c>
      <c r="F87" s="9">
        <v>0</v>
      </c>
      <c r="G87" s="9" t="s">
        <v>21</v>
      </c>
      <c r="H87" s="9" t="s">
        <v>28</v>
      </c>
      <c r="I87" s="9" t="s">
        <v>17</v>
      </c>
      <c r="J87" s="9">
        <v>1</v>
      </c>
      <c r="K87" s="9" t="s">
        <v>29</v>
      </c>
      <c r="L87" s="9" t="s">
        <v>27</v>
      </c>
      <c r="M87" s="9">
        <v>26</v>
      </c>
      <c r="N87" s="9" t="str" cm="1">
        <f t="array" ref="N87">_xlfn.IFS(
M87&lt;=12,"Children",
M87&lt;=19,"Teens",
M87&lt;=29,"Young Adults",
M87&lt;=39,"Adults",
M87&lt;=59,"Middle-Aged",
M87&gt;=60,"Seniors"
)</f>
        <v>Young Adults</v>
      </c>
      <c r="O87" s="9" t="s">
        <v>17</v>
      </c>
      <c r="P87" s="9">
        <f t="shared" si="2"/>
        <v>1</v>
      </c>
      <c r="Q87" s="9">
        <v>1</v>
      </c>
      <c r="R87" s="10">
        <f t="shared" si="3"/>
        <v>10000</v>
      </c>
    </row>
    <row r="88" spans="1:18" x14ac:dyDescent="0.3">
      <c r="A88" s="9">
        <v>17191</v>
      </c>
      <c r="B88" s="9" t="s">
        <v>40</v>
      </c>
      <c r="C88" s="9" t="s">
        <v>39</v>
      </c>
      <c r="D88" s="10">
        <v>130000</v>
      </c>
      <c r="E88" s="9" t="str" cm="1">
        <f t="array" ref="E88">_xlfn.IFS(D88&lt;= 60000, "Low Income",
D88&lt;=120000,"Medium Income",
D88&gt; 120000,"High Income"
)</f>
        <v>High Income</v>
      </c>
      <c r="F88" s="9">
        <v>3</v>
      </c>
      <c r="G88" s="9" t="s">
        <v>21</v>
      </c>
      <c r="H88" s="9" t="s">
        <v>23</v>
      </c>
      <c r="I88" s="9" t="s">
        <v>20</v>
      </c>
      <c r="J88" s="9">
        <v>3</v>
      </c>
      <c r="K88" s="9" t="s">
        <v>18</v>
      </c>
      <c r="L88" s="9" t="s">
        <v>19</v>
      </c>
      <c r="M88" s="9">
        <v>51</v>
      </c>
      <c r="N88" s="9" t="str" cm="1">
        <f t="array" ref="N88">_xlfn.IFS(
M88&lt;=12,"Children",
M88&lt;=19,"Teens",
M88&lt;=29,"Young Adults",
M88&lt;=39,"Adults",
M88&lt;=59,"Middle-Aged",
M88&gt;=60,"Seniors"
)</f>
        <v>Middle-Aged</v>
      </c>
      <c r="O88" s="9" t="s">
        <v>17</v>
      </c>
      <c r="P88" s="9">
        <f t="shared" si="2"/>
        <v>1</v>
      </c>
      <c r="Q88" s="9">
        <v>1</v>
      </c>
      <c r="R88" s="10">
        <f t="shared" si="3"/>
        <v>130000</v>
      </c>
    </row>
    <row r="89" spans="1:18" x14ac:dyDescent="0.3">
      <c r="A89" s="9">
        <v>19608</v>
      </c>
      <c r="B89" s="9" t="s">
        <v>37</v>
      </c>
      <c r="C89" s="9" t="s">
        <v>39</v>
      </c>
      <c r="D89" s="10">
        <v>80000</v>
      </c>
      <c r="E89" s="9" t="str" cm="1">
        <f t="array" ref="E89">_xlfn.IFS(D89&lt;= 60000, "Low Income",
D89&lt;=120000,"Medium Income",
D89&gt; 120000,"High Income"
)</f>
        <v>Medium Income</v>
      </c>
      <c r="F89" s="9">
        <v>5</v>
      </c>
      <c r="G89" s="9" t="s">
        <v>15</v>
      </c>
      <c r="H89" s="9" t="s">
        <v>23</v>
      </c>
      <c r="I89" s="9" t="s">
        <v>17</v>
      </c>
      <c r="J89" s="9">
        <v>4</v>
      </c>
      <c r="K89" s="9" t="s">
        <v>29</v>
      </c>
      <c r="L89" s="9" t="s">
        <v>27</v>
      </c>
      <c r="M89" s="9">
        <v>40</v>
      </c>
      <c r="N89" s="9" t="str" cm="1">
        <f t="array" ref="N89">_xlfn.IFS(
M89&lt;=12,"Children",
M89&lt;=19,"Teens",
M89&lt;=29,"Young Adults",
M89&lt;=39,"Adults",
M89&lt;=59,"Middle-Aged",
M89&gt;=60,"Seniors"
)</f>
        <v>Middle-Aged</v>
      </c>
      <c r="O89" s="9" t="s">
        <v>20</v>
      </c>
      <c r="P89" s="9">
        <f t="shared" si="2"/>
        <v>0</v>
      </c>
      <c r="Q89" s="9">
        <v>1</v>
      </c>
      <c r="R89" s="10">
        <f t="shared" si="3"/>
        <v>0</v>
      </c>
    </row>
    <row r="90" spans="1:18" x14ac:dyDescent="0.3">
      <c r="A90" s="9">
        <v>24119</v>
      </c>
      <c r="B90" s="9" t="s">
        <v>40</v>
      </c>
      <c r="C90" s="9" t="s">
        <v>39</v>
      </c>
      <c r="D90" s="10">
        <v>30000</v>
      </c>
      <c r="E90" s="9" t="str" cm="1">
        <f t="array" ref="E90">_xlfn.IFS(D90&lt;= 60000, "Low Income",
D90&lt;=120000,"Medium Income",
D90&gt; 120000,"High Income"
)</f>
        <v>Low Income</v>
      </c>
      <c r="F90" s="9">
        <v>0</v>
      </c>
      <c r="G90" s="9" t="s">
        <v>21</v>
      </c>
      <c r="H90" s="9" t="s">
        <v>22</v>
      </c>
      <c r="I90" s="9" t="s">
        <v>20</v>
      </c>
      <c r="J90" s="9">
        <v>1</v>
      </c>
      <c r="K90" s="9" t="s">
        <v>24</v>
      </c>
      <c r="L90" s="9" t="s">
        <v>19</v>
      </c>
      <c r="M90" s="9">
        <v>29</v>
      </c>
      <c r="N90" s="9" t="str" cm="1">
        <f t="array" ref="N90">_xlfn.IFS(
M90&lt;=12,"Children",
M90&lt;=19,"Teens",
M90&lt;=29,"Young Adults",
M90&lt;=39,"Adults",
M90&lt;=59,"Middle-Aged",
M90&gt;=60,"Seniors"
)</f>
        <v>Young Adults</v>
      </c>
      <c r="O90" s="9" t="s">
        <v>20</v>
      </c>
      <c r="P90" s="9">
        <f t="shared" si="2"/>
        <v>0</v>
      </c>
      <c r="Q90" s="9">
        <v>1</v>
      </c>
      <c r="R90" s="10">
        <f t="shared" si="3"/>
        <v>0</v>
      </c>
    </row>
    <row r="91" spans="1:18" x14ac:dyDescent="0.3">
      <c r="A91" s="9">
        <v>25458</v>
      </c>
      <c r="B91" s="9" t="s">
        <v>37</v>
      </c>
      <c r="C91" s="9" t="s">
        <v>39</v>
      </c>
      <c r="D91" s="10">
        <v>20000</v>
      </c>
      <c r="E91" s="9" t="str" cm="1">
        <f t="array" ref="E91">_xlfn.IFS(D91&lt;= 60000, "Low Income",
D91&lt;=120000,"Medium Income",
D91&gt; 120000,"High Income"
)</f>
        <v>Low Income</v>
      </c>
      <c r="F91" s="9">
        <v>1</v>
      </c>
      <c r="G91" s="9" t="s">
        <v>30</v>
      </c>
      <c r="H91" s="9" t="s">
        <v>28</v>
      </c>
      <c r="I91" s="9" t="s">
        <v>20</v>
      </c>
      <c r="J91" s="9">
        <v>1</v>
      </c>
      <c r="K91" s="9" t="s">
        <v>29</v>
      </c>
      <c r="L91" s="9" t="s">
        <v>19</v>
      </c>
      <c r="M91" s="9">
        <v>40</v>
      </c>
      <c r="N91" s="9" t="str" cm="1">
        <f t="array" ref="N91">_xlfn.IFS(
M91&lt;=12,"Children",
M91&lt;=19,"Teens",
M91&lt;=29,"Young Adults",
M91&lt;=39,"Adults",
M91&lt;=59,"Middle-Aged",
M91&gt;=60,"Seniors"
)</f>
        <v>Middle-Aged</v>
      </c>
      <c r="O91" s="9" t="s">
        <v>17</v>
      </c>
      <c r="P91" s="9">
        <f t="shared" si="2"/>
        <v>1</v>
      </c>
      <c r="Q91" s="9">
        <v>1</v>
      </c>
      <c r="R91" s="10">
        <f t="shared" si="3"/>
        <v>20000</v>
      </c>
    </row>
    <row r="92" spans="1:18" x14ac:dyDescent="0.3">
      <c r="A92" s="9">
        <v>26886</v>
      </c>
      <c r="B92" s="9" t="s">
        <v>40</v>
      </c>
      <c r="C92" s="9" t="s">
        <v>38</v>
      </c>
      <c r="D92" s="10">
        <v>30000</v>
      </c>
      <c r="E92" s="9" t="str" cm="1">
        <f t="array" ref="E92">_xlfn.IFS(D92&lt;= 60000, "Low Income",
D92&lt;=120000,"Medium Income",
D92&gt; 120000,"High Income"
)</f>
        <v>Low Income</v>
      </c>
      <c r="F92" s="9">
        <v>0</v>
      </c>
      <c r="G92" s="9" t="s">
        <v>21</v>
      </c>
      <c r="H92" s="9" t="s">
        <v>22</v>
      </c>
      <c r="I92" s="9" t="s">
        <v>20</v>
      </c>
      <c r="J92" s="9">
        <v>1</v>
      </c>
      <c r="K92" s="9" t="s">
        <v>18</v>
      </c>
      <c r="L92" s="9" t="s">
        <v>19</v>
      </c>
      <c r="M92" s="9">
        <v>29</v>
      </c>
      <c r="N92" s="9" t="str" cm="1">
        <f t="array" ref="N92">_xlfn.IFS(
M92&lt;=12,"Children",
M92&lt;=19,"Teens",
M92&lt;=29,"Young Adults",
M92&lt;=39,"Adults",
M92&lt;=59,"Middle-Aged",
M92&gt;=60,"Seniors"
)</f>
        <v>Young Adults</v>
      </c>
      <c r="O92" s="9" t="s">
        <v>17</v>
      </c>
      <c r="P92" s="9">
        <f t="shared" si="2"/>
        <v>1</v>
      </c>
      <c r="Q92" s="9">
        <v>1</v>
      </c>
      <c r="R92" s="10">
        <f t="shared" si="3"/>
        <v>30000</v>
      </c>
    </row>
    <row r="93" spans="1:18" x14ac:dyDescent="0.3">
      <c r="A93" s="9">
        <v>28436</v>
      </c>
      <c r="B93" s="9" t="s">
        <v>40</v>
      </c>
      <c r="C93" s="9" t="s">
        <v>39</v>
      </c>
      <c r="D93" s="10">
        <v>30000</v>
      </c>
      <c r="E93" s="9" t="str" cm="1">
        <f t="array" ref="E93">_xlfn.IFS(D93&lt;= 60000, "Low Income",
D93&lt;=120000,"Medium Income",
D93&gt; 120000,"High Income"
)</f>
        <v>Low Income</v>
      </c>
      <c r="F93" s="9">
        <v>0</v>
      </c>
      <c r="G93" s="9" t="s">
        <v>21</v>
      </c>
      <c r="H93" s="9" t="s">
        <v>22</v>
      </c>
      <c r="I93" s="9" t="s">
        <v>20</v>
      </c>
      <c r="J93" s="9">
        <v>1</v>
      </c>
      <c r="K93" s="9" t="s">
        <v>18</v>
      </c>
      <c r="L93" s="9" t="s">
        <v>19</v>
      </c>
      <c r="M93" s="9">
        <v>30</v>
      </c>
      <c r="N93" s="9" t="str" cm="1">
        <f t="array" ref="N93">_xlfn.IFS(
M93&lt;=12,"Children",
M93&lt;=19,"Teens",
M93&lt;=29,"Young Adults",
M93&lt;=39,"Adults",
M93&lt;=59,"Middle-Aged",
M93&gt;=60,"Seniors"
)</f>
        <v>Adults</v>
      </c>
      <c r="O93" s="9" t="s">
        <v>17</v>
      </c>
      <c r="P93" s="9">
        <f t="shared" si="2"/>
        <v>1</v>
      </c>
      <c r="Q93" s="9">
        <v>1</v>
      </c>
      <c r="R93" s="10">
        <f t="shared" si="3"/>
        <v>30000</v>
      </c>
    </row>
    <row r="94" spans="1:18" x14ac:dyDescent="0.3">
      <c r="A94" s="9">
        <v>19562</v>
      </c>
      <c r="B94" s="9" t="s">
        <v>40</v>
      </c>
      <c r="C94" s="9" t="s">
        <v>38</v>
      </c>
      <c r="D94" s="10">
        <v>60000</v>
      </c>
      <c r="E94" s="9" t="str" cm="1">
        <f t="array" ref="E94">_xlfn.IFS(D94&lt;= 60000, "Low Income",
D94&lt;=120000,"Medium Income",
D94&gt; 120000,"High Income"
)</f>
        <v>Low Income</v>
      </c>
      <c r="F94" s="9">
        <v>2</v>
      </c>
      <c r="G94" s="9" t="s">
        <v>15</v>
      </c>
      <c r="H94" s="9" t="s">
        <v>23</v>
      </c>
      <c r="I94" s="9" t="s">
        <v>17</v>
      </c>
      <c r="J94" s="9">
        <v>1</v>
      </c>
      <c r="K94" s="9" t="s">
        <v>24</v>
      </c>
      <c r="L94" s="9" t="s">
        <v>27</v>
      </c>
      <c r="M94" s="9">
        <v>37</v>
      </c>
      <c r="N94" s="9" t="str" cm="1">
        <f t="array" ref="N94">_xlfn.IFS(
M94&lt;=12,"Children",
M94&lt;=19,"Teens",
M94&lt;=29,"Young Adults",
M94&lt;=39,"Adults",
M94&lt;=59,"Middle-Aged",
M94&gt;=60,"Seniors"
)</f>
        <v>Adults</v>
      </c>
      <c r="O94" s="9" t="s">
        <v>17</v>
      </c>
      <c r="P94" s="9">
        <f t="shared" si="2"/>
        <v>1</v>
      </c>
      <c r="Q94" s="9">
        <v>1</v>
      </c>
      <c r="R94" s="10">
        <f t="shared" si="3"/>
        <v>60000</v>
      </c>
    </row>
    <row r="95" spans="1:18" x14ac:dyDescent="0.3">
      <c r="A95" s="9">
        <v>15608</v>
      </c>
      <c r="B95" s="9" t="s">
        <v>40</v>
      </c>
      <c r="C95" s="9" t="s">
        <v>38</v>
      </c>
      <c r="D95" s="10">
        <v>30000</v>
      </c>
      <c r="E95" s="9" t="str" cm="1">
        <f t="array" ref="E95">_xlfn.IFS(D95&lt;= 60000, "Low Income",
D95&lt;=120000,"Medium Income",
D95&gt; 120000,"High Income"
)</f>
        <v>Low Income</v>
      </c>
      <c r="F95" s="9">
        <v>0</v>
      </c>
      <c r="G95" s="9" t="s">
        <v>21</v>
      </c>
      <c r="H95" s="9" t="s">
        <v>22</v>
      </c>
      <c r="I95" s="9" t="s">
        <v>20</v>
      </c>
      <c r="J95" s="9">
        <v>1</v>
      </c>
      <c r="K95" s="9" t="s">
        <v>24</v>
      </c>
      <c r="L95" s="9" t="s">
        <v>19</v>
      </c>
      <c r="M95" s="9">
        <v>33</v>
      </c>
      <c r="N95" s="9" t="str" cm="1">
        <f t="array" ref="N95">_xlfn.IFS(
M95&lt;=12,"Children",
M95&lt;=19,"Teens",
M95&lt;=29,"Young Adults",
M95&lt;=39,"Adults",
M95&lt;=59,"Middle-Aged",
M95&gt;=60,"Seniors"
)</f>
        <v>Adults</v>
      </c>
      <c r="O95" s="9" t="s">
        <v>20</v>
      </c>
      <c r="P95" s="9">
        <f t="shared" si="2"/>
        <v>0</v>
      </c>
      <c r="Q95" s="9">
        <v>1</v>
      </c>
      <c r="R95" s="10">
        <f t="shared" si="3"/>
        <v>0</v>
      </c>
    </row>
    <row r="96" spans="1:18" x14ac:dyDescent="0.3">
      <c r="A96" s="9">
        <v>16487</v>
      </c>
      <c r="B96" s="9" t="s">
        <v>40</v>
      </c>
      <c r="C96" s="9" t="s">
        <v>38</v>
      </c>
      <c r="D96" s="10">
        <v>30000</v>
      </c>
      <c r="E96" s="9" t="str" cm="1">
        <f t="array" ref="E96">_xlfn.IFS(D96&lt;= 60000, "Low Income",
D96&lt;=120000,"Medium Income",
D96&gt; 120000,"High Income"
)</f>
        <v>Low Income</v>
      </c>
      <c r="F96" s="9">
        <v>3</v>
      </c>
      <c r="G96" s="9" t="s">
        <v>30</v>
      </c>
      <c r="H96" s="9" t="s">
        <v>16</v>
      </c>
      <c r="I96" s="9" t="s">
        <v>17</v>
      </c>
      <c r="J96" s="9">
        <v>2</v>
      </c>
      <c r="K96" s="9" t="s">
        <v>26</v>
      </c>
      <c r="L96" s="9" t="s">
        <v>27</v>
      </c>
      <c r="M96" s="9">
        <v>55</v>
      </c>
      <c r="N96" s="9" t="str" cm="1">
        <f t="array" ref="N96">_xlfn.IFS(
M96&lt;=12,"Children",
M96&lt;=19,"Teens",
M96&lt;=29,"Young Adults",
M96&lt;=39,"Adults",
M96&lt;=59,"Middle-Aged",
M96&gt;=60,"Seniors"
)</f>
        <v>Middle-Aged</v>
      </c>
      <c r="O96" s="9" t="s">
        <v>20</v>
      </c>
      <c r="P96" s="9">
        <f t="shared" si="2"/>
        <v>0</v>
      </c>
      <c r="Q96" s="9">
        <v>1</v>
      </c>
      <c r="R96" s="10">
        <f t="shared" si="3"/>
        <v>0</v>
      </c>
    </row>
    <row r="97" spans="1:18" x14ac:dyDescent="0.3">
      <c r="A97" s="9">
        <v>17197</v>
      </c>
      <c r="B97" s="9" t="s">
        <v>40</v>
      </c>
      <c r="C97" s="9" t="s">
        <v>38</v>
      </c>
      <c r="D97" s="10">
        <v>90000</v>
      </c>
      <c r="E97" s="9" t="str" cm="1">
        <f t="array" ref="E97">_xlfn.IFS(D97&lt;= 60000, "Low Income",
D97&lt;=120000,"Medium Income",
D97&gt; 120000,"High Income"
)</f>
        <v>Medium Income</v>
      </c>
      <c r="F97" s="9">
        <v>5</v>
      </c>
      <c r="G97" s="9" t="s">
        <v>21</v>
      </c>
      <c r="H97" s="9" t="s">
        <v>23</v>
      </c>
      <c r="I97" s="9" t="s">
        <v>17</v>
      </c>
      <c r="J97" s="9">
        <v>2</v>
      </c>
      <c r="K97" s="9" t="s">
        <v>41</v>
      </c>
      <c r="L97" s="9" t="s">
        <v>19</v>
      </c>
      <c r="M97" s="9">
        <v>62</v>
      </c>
      <c r="N97" s="9" t="str" cm="1">
        <f t="array" ref="N97">_xlfn.IFS(
M97&lt;=12,"Children",
M97&lt;=19,"Teens",
M97&lt;=29,"Young Adults",
M97&lt;=39,"Adults",
M97&lt;=59,"Middle-Aged",
M97&gt;=60,"Seniors"
)</f>
        <v>Seniors</v>
      </c>
      <c r="O97" s="9" t="s">
        <v>20</v>
      </c>
      <c r="P97" s="9">
        <f t="shared" si="2"/>
        <v>0</v>
      </c>
      <c r="Q97" s="9">
        <v>1</v>
      </c>
      <c r="R97" s="10">
        <f t="shared" si="3"/>
        <v>0</v>
      </c>
    </row>
    <row r="98" spans="1:18" x14ac:dyDescent="0.3">
      <c r="A98" s="9">
        <v>12507</v>
      </c>
      <c r="B98" s="9" t="s">
        <v>37</v>
      </c>
      <c r="C98" s="9" t="s">
        <v>39</v>
      </c>
      <c r="D98" s="10">
        <v>30000</v>
      </c>
      <c r="E98" s="9" t="str" cm="1">
        <f t="array" ref="E98">_xlfn.IFS(D98&lt;= 60000, "Low Income",
D98&lt;=120000,"Medium Income",
D98&gt; 120000,"High Income"
)</f>
        <v>Low Income</v>
      </c>
      <c r="F98" s="9">
        <v>1</v>
      </c>
      <c r="G98" s="9" t="s">
        <v>21</v>
      </c>
      <c r="H98" s="9" t="s">
        <v>22</v>
      </c>
      <c r="I98" s="9" t="s">
        <v>17</v>
      </c>
      <c r="J98" s="9">
        <v>1</v>
      </c>
      <c r="K98" s="9" t="s">
        <v>18</v>
      </c>
      <c r="L98" s="9" t="s">
        <v>19</v>
      </c>
      <c r="M98" s="9">
        <v>43</v>
      </c>
      <c r="N98" s="9" t="str" cm="1">
        <f t="array" ref="N98">_xlfn.IFS(
M98&lt;=12,"Children",
M98&lt;=19,"Teens",
M98&lt;=29,"Young Adults",
M98&lt;=39,"Adults",
M98&lt;=59,"Middle-Aged",
M98&gt;=60,"Seniors"
)</f>
        <v>Middle-Aged</v>
      </c>
      <c r="O98" s="9" t="s">
        <v>20</v>
      </c>
      <c r="P98" s="9">
        <f t="shared" si="2"/>
        <v>0</v>
      </c>
      <c r="Q98" s="9">
        <v>1</v>
      </c>
      <c r="R98" s="10">
        <f t="shared" si="3"/>
        <v>0</v>
      </c>
    </row>
    <row r="99" spans="1:18" x14ac:dyDescent="0.3">
      <c r="A99" s="9">
        <v>23940</v>
      </c>
      <c r="B99" s="9" t="s">
        <v>37</v>
      </c>
      <c r="C99" s="9" t="s">
        <v>39</v>
      </c>
      <c r="D99" s="10">
        <v>40000</v>
      </c>
      <c r="E99" s="9" t="str" cm="1">
        <f t="array" ref="E99">_xlfn.IFS(D99&lt;= 60000, "Low Income",
D99&lt;=120000,"Medium Income",
D99&gt; 120000,"High Income"
)</f>
        <v>Low Income</v>
      </c>
      <c r="F99" s="9">
        <v>1</v>
      </c>
      <c r="G99" s="9" t="s">
        <v>15</v>
      </c>
      <c r="H99" s="9" t="s">
        <v>16</v>
      </c>
      <c r="I99" s="9" t="s">
        <v>17</v>
      </c>
      <c r="J99" s="9">
        <v>1</v>
      </c>
      <c r="K99" s="9" t="s">
        <v>18</v>
      </c>
      <c r="L99" s="9" t="s">
        <v>19</v>
      </c>
      <c r="M99" s="9">
        <v>44</v>
      </c>
      <c r="N99" s="9" t="str" cm="1">
        <f t="array" ref="N99">_xlfn.IFS(
M99&lt;=12,"Children",
M99&lt;=19,"Teens",
M99&lt;=29,"Young Adults",
M99&lt;=39,"Adults",
M99&lt;=59,"Middle-Aged",
M99&gt;=60,"Seniors"
)</f>
        <v>Middle-Aged</v>
      </c>
      <c r="O99" s="9" t="s">
        <v>17</v>
      </c>
      <c r="P99" s="9">
        <f t="shared" si="2"/>
        <v>1</v>
      </c>
      <c r="Q99" s="9">
        <v>1</v>
      </c>
      <c r="R99" s="10">
        <f t="shared" si="3"/>
        <v>40000</v>
      </c>
    </row>
    <row r="100" spans="1:18" x14ac:dyDescent="0.3">
      <c r="A100" s="9">
        <v>19441</v>
      </c>
      <c r="B100" s="9" t="s">
        <v>37</v>
      </c>
      <c r="C100" s="9" t="s">
        <v>39</v>
      </c>
      <c r="D100" s="10">
        <v>40000</v>
      </c>
      <c r="E100" s="9" t="str" cm="1">
        <f t="array" ref="E100">_xlfn.IFS(D100&lt;= 60000, "Low Income",
D100&lt;=120000,"Medium Income",
D100&gt; 120000,"High Income"
)</f>
        <v>Low Income</v>
      </c>
      <c r="F100" s="9">
        <v>0</v>
      </c>
      <c r="G100" s="9" t="s">
        <v>34</v>
      </c>
      <c r="H100" s="9" t="s">
        <v>22</v>
      </c>
      <c r="I100" s="9" t="s">
        <v>17</v>
      </c>
      <c r="J100" s="9">
        <v>0</v>
      </c>
      <c r="K100" s="9" t="s">
        <v>18</v>
      </c>
      <c r="L100" s="9" t="s">
        <v>19</v>
      </c>
      <c r="M100" s="9">
        <v>25</v>
      </c>
      <c r="N100" s="9" t="str" cm="1">
        <f t="array" ref="N100">_xlfn.IFS(
M100&lt;=12,"Children",
M100&lt;=19,"Teens",
M100&lt;=29,"Young Adults",
M100&lt;=39,"Adults",
M100&lt;=59,"Middle-Aged",
M100&gt;=60,"Seniors"
)</f>
        <v>Young Adults</v>
      </c>
      <c r="O100" s="9" t="s">
        <v>17</v>
      </c>
      <c r="P100" s="9">
        <f t="shared" si="2"/>
        <v>1</v>
      </c>
      <c r="Q100" s="9">
        <v>1</v>
      </c>
      <c r="R100" s="10">
        <f t="shared" si="3"/>
        <v>40000</v>
      </c>
    </row>
    <row r="101" spans="1:18" x14ac:dyDescent="0.3">
      <c r="A101" s="9">
        <v>26852</v>
      </c>
      <c r="B101" s="9" t="s">
        <v>37</v>
      </c>
      <c r="C101" s="9" t="s">
        <v>38</v>
      </c>
      <c r="D101" s="10">
        <v>20000</v>
      </c>
      <c r="E101" s="9" t="str" cm="1">
        <f t="array" ref="E101">_xlfn.IFS(D101&lt;= 60000, "Low Income",
D101&lt;=120000,"Medium Income",
D101&gt; 120000,"High Income"
)</f>
        <v>Low Income</v>
      </c>
      <c r="F101" s="9">
        <v>3</v>
      </c>
      <c r="G101" s="9" t="s">
        <v>30</v>
      </c>
      <c r="H101" s="9" t="s">
        <v>28</v>
      </c>
      <c r="I101" s="9" t="s">
        <v>17</v>
      </c>
      <c r="J101" s="9">
        <v>2</v>
      </c>
      <c r="K101" s="9" t="s">
        <v>18</v>
      </c>
      <c r="L101" s="9" t="s">
        <v>19</v>
      </c>
      <c r="M101" s="9">
        <v>43</v>
      </c>
      <c r="N101" s="9" t="str" cm="1">
        <f t="array" ref="N101">_xlfn.IFS(
M101&lt;=12,"Children",
M101&lt;=19,"Teens",
M101&lt;=29,"Young Adults",
M101&lt;=39,"Adults",
M101&lt;=59,"Middle-Aged",
M101&gt;=60,"Seniors"
)</f>
        <v>Middle-Aged</v>
      </c>
      <c r="O101" s="9" t="s">
        <v>20</v>
      </c>
      <c r="P101" s="9">
        <f t="shared" si="2"/>
        <v>0</v>
      </c>
      <c r="Q101" s="9">
        <v>1</v>
      </c>
      <c r="R101" s="10">
        <f t="shared" si="3"/>
        <v>0</v>
      </c>
    </row>
    <row r="102" spans="1:18" x14ac:dyDescent="0.3">
      <c r="A102" s="9">
        <v>12274</v>
      </c>
      <c r="B102" s="9" t="s">
        <v>40</v>
      </c>
      <c r="C102" s="9" t="s">
        <v>39</v>
      </c>
      <c r="D102" s="10">
        <v>10000</v>
      </c>
      <c r="E102" s="9" t="str" cm="1">
        <f t="array" ref="E102">_xlfn.IFS(D102&lt;= 60000, "Low Income",
D102&lt;=120000,"Medium Income",
D102&gt; 120000,"High Income"
)</f>
        <v>Low Income</v>
      </c>
      <c r="F102" s="9">
        <v>2</v>
      </c>
      <c r="G102" s="9" t="s">
        <v>30</v>
      </c>
      <c r="H102" s="9" t="s">
        <v>28</v>
      </c>
      <c r="I102" s="9" t="s">
        <v>17</v>
      </c>
      <c r="J102" s="9">
        <v>0</v>
      </c>
      <c r="K102" s="9" t="s">
        <v>18</v>
      </c>
      <c r="L102" s="9" t="s">
        <v>19</v>
      </c>
      <c r="M102" s="9">
        <v>35</v>
      </c>
      <c r="N102" s="9" t="str" cm="1">
        <f t="array" ref="N102">_xlfn.IFS(
M102&lt;=12,"Children",
M102&lt;=19,"Teens",
M102&lt;=29,"Young Adults",
M102&lt;=39,"Adults",
M102&lt;=59,"Middle-Aged",
M102&gt;=60,"Seniors"
)</f>
        <v>Adults</v>
      </c>
      <c r="O102" s="9" t="s">
        <v>20</v>
      </c>
      <c r="P102" s="9">
        <f t="shared" si="2"/>
        <v>0</v>
      </c>
      <c r="Q102" s="9">
        <v>1</v>
      </c>
      <c r="R102" s="10">
        <f t="shared" si="3"/>
        <v>0</v>
      </c>
    </row>
    <row r="103" spans="1:18" x14ac:dyDescent="0.3">
      <c r="A103" s="9">
        <v>20236</v>
      </c>
      <c r="B103" s="9" t="s">
        <v>40</v>
      </c>
      <c r="C103" s="9" t="s">
        <v>39</v>
      </c>
      <c r="D103" s="10">
        <v>60000</v>
      </c>
      <c r="E103" s="9" t="str" cm="1">
        <f t="array" ref="E103">_xlfn.IFS(D103&lt;= 60000, "Low Income",
D103&lt;=120000,"Medium Income",
D103&gt; 120000,"High Income"
)</f>
        <v>Low Income</v>
      </c>
      <c r="F103" s="9">
        <v>3</v>
      </c>
      <c r="G103" s="9" t="s">
        <v>15</v>
      </c>
      <c r="H103" s="9" t="s">
        <v>23</v>
      </c>
      <c r="I103" s="9" t="s">
        <v>20</v>
      </c>
      <c r="J103" s="9">
        <v>2</v>
      </c>
      <c r="K103" s="9" t="s">
        <v>18</v>
      </c>
      <c r="L103" s="9" t="s">
        <v>27</v>
      </c>
      <c r="M103" s="9">
        <v>43</v>
      </c>
      <c r="N103" s="9" t="str" cm="1">
        <f t="array" ref="N103">_xlfn.IFS(
M103&lt;=12,"Children",
M103&lt;=19,"Teens",
M103&lt;=29,"Young Adults",
M103&lt;=39,"Adults",
M103&lt;=59,"Middle-Aged",
M103&gt;=60,"Seniors"
)</f>
        <v>Middle-Aged</v>
      </c>
      <c r="O103" s="9" t="s">
        <v>17</v>
      </c>
      <c r="P103" s="9">
        <f t="shared" si="2"/>
        <v>1</v>
      </c>
      <c r="Q103" s="9">
        <v>1</v>
      </c>
      <c r="R103" s="10">
        <f t="shared" si="3"/>
        <v>60000</v>
      </c>
    </row>
    <row r="104" spans="1:18" x14ac:dyDescent="0.3">
      <c r="A104" s="9">
        <v>24149</v>
      </c>
      <c r="B104" s="9" t="s">
        <v>37</v>
      </c>
      <c r="C104" s="9" t="s">
        <v>39</v>
      </c>
      <c r="D104" s="10">
        <v>10000</v>
      </c>
      <c r="E104" s="9" t="str" cm="1">
        <f t="array" ref="E104">_xlfn.IFS(D104&lt;= 60000, "Low Income",
D104&lt;=120000,"Medium Income",
D104&gt; 120000,"High Income"
)</f>
        <v>Low Income</v>
      </c>
      <c r="F104" s="9">
        <v>2</v>
      </c>
      <c r="G104" s="9" t="s">
        <v>21</v>
      </c>
      <c r="H104" s="9" t="s">
        <v>28</v>
      </c>
      <c r="I104" s="9" t="s">
        <v>17</v>
      </c>
      <c r="J104" s="9">
        <v>0</v>
      </c>
      <c r="K104" s="9" t="s">
        <v>29</v>
      </c>
      <c r="L104" s="9" t="s">
        <v>19</v>
      </c>
      <c r="M104" s="9">
        <v>49</v>
      </c>
      <c r="N104" s="9" t="str" cm="1">
        <f t="array" ref="N104">_xlfn.IFS(
M104&lt;=12,"Children",
M104&lt;=19,"Teens",
M104&lt;=29,"Young Adults",
M104&lt;=39,"Adults",
M104&lt;=59,"Middle-Aged",
M104&gt;=60,"Seniors"
)</f>
        <v>Middle-Aged</v>
      </c>
      <c r="O104" s="9" t="s">
        <v>20</v>
      </c>
      <c r="P104" s="9">
        <f t="shared" si="2"/>
        <v>0</v>
      </c>
      <c r="Q104" s="9">
        <v>1</v>
      </c>
      <c r="R104" s="10">
        <f t="shared" si="3"/>
        <v>0</v>
      </c>
    </row>
    <row r="105" spans="1:18" x14ac:dyDescent="0.3">
      <c r="A105" s="9">
        <v>26139</v>
      </c>
      <c r="B105" s="9" t="s">
        <v>40</v>
      </c>
      <c r="C105" s="9" t="s">
        <v>39</v>
      </c>
      <c r="D105" s="10">
        <v>60000</v>
      </c>
      <c r="E105" s="9" t="str" cm="1">
        <f t="array" ref="E105">_xlfn.IFS(D105&lt;= 60000, "Low Income",
D105&lt;=120000,"Medium Income",
D105&gt; 120000,"High Income"
)</f>
        <v>Low Income</v>
      </c>
      <c r="F105" s="9">
        <v>1</v>
      </c>
      <c r="G105" s="9" t="s">
        <v>21</v>
      </c>
      <c r="H105" s="9" t="s">
        <v>16</v>
      </c>
      <c r="I105" s="9" t="s">
        <v>17</v>
      </c>
      <c r="J105" s="9">
        <v>1</v>
      </c>
      <c r="K105" s="9" t="s">
        <v>26</v>
      </c>
      <c r="L105" s="9" t="s">
        <v>27</v>
      </c>
      <c r="M105" s="9">
        <v>45</v>
      </c>
      <c r="N105" s="9" t="str" cm="1">
        <f t="array" ref="N105">_xlfn.IFS(
M105&lt;=12,"Children",
M105&lt;=19,"Teens",
M105&lt;=29,"Young Adults",
M105&lt;=39,"Adults",
M105&lt;=59,"Middle-Aged",
M105&gt;=60,"Seniors"
)</f>
        <v>Middle-Aged</v>
      </c>
      <c r="O105" s="9" t="s">
        <v>20</v>
      </c>
      <c r="P105" s="9">
        <f t="shared" si="2"/>
        <v>0</v>
      </c>
      <c r="Q105" s="9">
        <v>1</v>
      </c>
      <c r="R105" s="10">
        <f t="shared" si="3"/>
        <v>0</v>
      </c>
    </row>
    <row r="106" spans="1:18" x14ac:dyDescent="0.3">
      <c r="A106" s="9">
        <v>18491</v>
      </c>
      <c r="B106" s="9" t="s">
        <v>40</v>
      </c>
      <c r="C106" s="9" t="s">
        <v>38</v>
      </c>
      <c r="D106" s="10">
        <v>70000</v>
      </c>
      <c r="E106" s="9" t="str" cm="1">
        <f t="array" ref="E106">_xlfn.IFS(D106&lt;= 60000, "Low Income",
D106&lt;=120000,"Medium Income",
D106&gt; 120000,"High Income"
)</f>
        <v>Medium Income</v>
      </c>
      <c r="F106" s="9">
        <v>2</v>
      </c>
      <c r="G106" s="9" t="s">
        <v>30</v>
      </c>
      <c r="H106" s="9" t="s">
        <v>23</v>
      </c>
      <c r="I106" s="9" t="s">
        <v>17</v>
      </c>
      <c r="J106" s="9">
        <v>2</v>
      </c>
      <c r="K106" s="9" t="s">
        <v>26</v>
      </c>
      <c r="L106" s="9" t="s">
        <v>27</v>
      </c>
      <c r="M106" s="9">
        <v>49</v>
      </c>
      <c r="N106" s="9" t="str" cm="1">
        <f t="array" ref="N106">_xlfn.IFS(
M106&lt;=12,"Children",
M106&lt;=19,"Teens",
M106&lt;=29,"Young Adults",
M106&lt;=39,"Adults",
M106&lt;=59,"Middle-Aged",
M106&gt;=60,"Seniors"
)</f>
        <v>Middle-Aged</v>
      </c>
      <c r="O106" s="9" t="s">
        <v>17</v>
      </c>
      <c r="P106" s="9">
        <f t="shared" si="2"/>
        <v>1</v>
      </c>
      <c r="Q106" s="9">
        <v>1</v>
      </c>
      <c r="R106" s="10">
        <f t="shared" si="3"/>
        <v>70000</v>
      </c>
    </row>
    <row r="107" spans="1:18" x14ac:dyDescent="0.3">
      <c r="A107" s="9">
        <v>22707</v>
      </c>
      <c r="B107" s="9" t="s">
        <v>40</v>
      </c>
      <c r="C107" s="9" t="s">
        <v>38</v>
      </c>
      <c r="D107" s="10">
        <v>30000</v>
      </c>
      <c r="E107" s="9" t="str" cm="1">
        <f t="array" ref="E107">_xlfn.IFS(D107&lt;= 60000, "Low Income",
D107&lt;=120000,"Medium Income",
D107&gt; 120000,"High Income"
)</f>
        <v>Low Income</v>
      </c>
      <c r="F107" s="9">
        <v>0</v>
      </c>
      <c r="G107" s="9" t="s">
        <v>21</v>
      </c>
      <c r="H107" s="9" t="s">
        <v>22</v>
      </c>
      <c r="I107" s="9" t="s">
        <v>20</v>
      </c>
      <c r="J107" s="9">
        <v>1</v>
      </c>
      <c r="K107" s="9" t="s">
        <v>24</v>
      </c>
      <c r="L107" s="9" t="s">
        <v>19</v>
      </c>
      <c r="M107" s="9">
        <v>30</v>
      </c>
      <c r="N107" s="9" t="str" cm="1">
        <f t="array" ref="N107">_xlfn.IFS(
M107&lt;=12,"Children",
M107&lt;=19,"Teens",
M107&lt;=29,"Young Adults",
M107&lt;=39,"Adults",
M107&lt;=59,"Middle-Aged",
M107&gt;=60,"Seniors"
)</f>
        <v>Adults</v>
      </c>
      <c r="O107" s="9" t="s">
        <v>20</v>
      </c>
      <c r="P107" s="9">
        <f t="shared" si="2"/>
        <v>0</v>
      </c>
      <c r="Q107" s="9">
        <v>1</v>
      </c>
      <c r="R107" s="10">
        <f t="shared" si="3"/>
        <v>0</v>
      </c>
    </row>
    <row r="108" spans="1:18" x14ac:dyDescent="0.3">
      <c r="A108" s="9">
        <v>20430</v>
      </c>
      <c r="B108" s="9" t="s">
        <v>37</v>
      </c>
      <c r="C108" s="9" t="s">
        <v>39</v>
      </c>
      <c r="D108" s="10">
        <v>70000</v>
      </c>
      <c r="E108" s="9" t="str" cm="1">
        <f t="array" ref="E108">_xlfn.IFS(D108&lt;= 60000, "Low Income",
D108&lt;=120000,"Medium Income",
D108&gt; 120000,"High Income"
)</f>
        <v>Medium Income</v>
      </c>
      <c r="F108" s="9">
        <v>2</v>
      </c>
      <c r="G108" s="9" t="s">
        <v>21</v>
      </c>
      <c r="H108" s="9" t="s">
        <v>16</v>
      </c>
      <c r="I108" s="9" t="s">
        <v>17</v>
      </c>
      <c r="J108" s="9">
        <v>2</v>
      </c>
      <c r="K108" s="9" t="s">
        <v>26</v>
      </c>
      <c r="L108" s="9" t="s">
        <v>27</v>
      </c>
      <c r="M108" s="9">
        <v>52</v>
      </c>
      <c r="N108" s="9" t="str" cm="1">
        <f t="array" ref="N108">_xlfn.IFS(
M108&lt;=12,"Children",
M108&lt;=19,"Teens",
M108&lt;=29,"Young Adults",
M108&lt;=39,"Adults",
M108&lt;=59,"Middle-Aged",
M108&gt;=60,"Seniors"
)</f>
        <v>Middle-Aged</v>
      </c>
      <c r="O108" s="9" t="s">
        <v>17</v>
      </c>
      <c r="P108" s="9">
        <f t="shared" si="2"/>
        <v>1</v>
      </c>
      <c r="Q108" s="9">
        <v>1</v>
      </c>
      <c r="R108" s="10">
        <f t="shared" si="3"/>
        <v>70000</v>
      </c>
    </row>
    <row r="109" spans="1:18" x14ac:dyDescent="0.3">
      <c r="A109" s="9">
        <v>27494</v>
      </c>
      <c r="B109" s="9" t="s">
        <v>40</v>
      </c>
      <c r="C109" s="9" t="s">
        <v>38</v>
      </c>
      <c r="D109" s="10">
        <v>40000</v>
      </c>
      <c r="E109" s="9" t="str" cm="1">
        <f t="array" ref="E109">_xlfn.IFS(D109&lt;= 60000, "Low Income",
D109&lt;=120000,"Medium Income",
D109&gt; 120000,"High Income"
)</f>
        <v>Low Income</v>
      </c>
      <c r="F109" s="9">
        <v>2</v>
      </c>
      <c r="G109" s="9" t="s">
        <v>21</v>
      </c>
      <c r="H109" s="9" t="s">
        <v>16</v>
      </c>
      <c r="I109" s="9" t="s">
        <v>20</v>
      </c>
      <c r="J109" s="9">
        <v>2</v>
      </c>
      <c r="K109" s="9" t="s">
        <v>29</v>
      </c>
      <c r="L109" s="9" t="s">
        <v>27</v>
      </c>
      <c r="M109" s="9">
        <v>53</v>
      </c>
      <c r="N109" s="9" t="str" cm="1">
        <f t="array" ref="N109">_xlfn.IFS(
M109&lt;=12,"Children",
M109&lt;=19,"Teens",
M109&lt;=29,"Young Adults",
M109&lt;=39,"Adults",
M109&lt;=59,"Middle-Aged",
M109&gt;=60,"Seniors"
)</f>
        <v>Middle-Aged</v>
      </c>
      <c r="O109" s="9" t="s">
        <v>17</v>
      </c>
      <c r="P109" s="9">
        <f t="shared" si="2"/>
        <v>1</v>
      </c>
      <c r="Q109" s="9">
        <v>1</v>
      </c>
      <c r="R109" s="10">
        <f t="shared" si="3"/>
        <v>40000</v>
      </c>
    </row>
    <row r="110" spans="1:18" x14ac:dyDescent="0.3">
      <c r="A110" s="9">
        <v>26829</v>
      </c>
      <c r="B110" s="9" t="s">
        <v>37</v>
      </c>
      <c r="C110" s="9" t="s">
        <v>38</v>
      </c>
      <c r="D110" s="10">
        <v>40000</v>
      </c>
      <c r="E110" s="9" t="str" cm="1">
        <f t="array" ref="E110">_xlfn.IFS(D110&lt;= 60000, "Low Income",
D110&lt;=120000,"Medium Income",
D110&gt; 120000,"High Income"
)</f>
        <v>Low Income</v>
      </c>
      <c r="F110" s="9">
        <v>0</v>
      </c>
      <c r="G110" s="9" t="s">
        <v>15</v>
      </c>
      <c r="H110" s="9" t="s">
        <v>22</v>
      </c>
      <c r="I110" s="9" t="s">
        <v>17</v>
      </c>
      <c r="J110" s="9">
        <v>0</v>
      </c>
      <c r="K110" s="9" t="s">
        <v>18</v>
      </c>
      <c r="L110" s="9" t="s">
        <v>19</v>
      </c>
      <c r="M110" s="9">
        <v>38</v>
      </c>
      <c r="N110" s="9" t="str" cm="1">
        <f t="array" ref="N110">_xlfn.IFS(
M110&lt;=12,"Children",
M110&lt;=19,"Teens",
M110&lt;=29,"Young Adults",
M110&lt;=39,"Adults",
M110&lt;=59,"Middle-Aged",
M110&gt;=60,"Seniors"
)</f>
        <v>Adults</v>
      </c>
      <c r="O110" s="9" t="s">
        <v>17</v>
      </c>
      <c r="P110" s="9">
        <f t="shared" si="2"/>
        <v>1</v>
      </c>
      <c r="Q110" s="9">
        <v>1</v>
      </c>
      <c r="R110" s="10">
        <f t="shared" si="3"/>
        <v>40000</v>
      </c>
    </row>
    <row r="111" spans="1:18" x14ac:dyDescent="0.3">
      <c r="A111" s="9">
        <v>28395</v>
      </c>
      <c r="B111" s="9" t="s">
        <v>40</v>
      </c>
      <c r="C111" s="9" t="s">
        <v>39</v>
      </c>
      <c r="D111" s="10">
        <v>40000</v>
      </c>
      <c r="E111" s="9" t="str" cm="1">
        <f t="array" ref="E111">_xlfn.IFS(D111&lt;= 60000, "Low Income",
D111&lt;=120000,"Medium Income",
D111&gt; 120000,"High Income"
)</f>
        <v>Low Income</v>
      </c>
      <c r="F111" s="9">
        <v>0</v>
      </c>
      <c r="G111" s="9" t="s">
        <v>15</v>
      </c>
      <c r="H111" s="9" t="s">
        <v>23</v>
      </c>
      <c r="I111" s="9" t="s">
        <v>20</v>
      </c>
      <c r="J111" s="9">
        <v>0</v>
      </c>
      <c r="K111" s="9" t="s">
        <v>18</v>
      </c>
      <c r="L111" s="9" t="s">
        <v>19</v>
      </c>
      <c r="M111" s="9">
        <v>39</v>
      </c>
      <c r="N111" s="9" t="str" cm="1">
        <f t="array" ref="N111">_xlfn.IFS(
M111&lt;=12,"Children",
M111&lt;=19,"Teens",
M111&lt;=29,"Young Adults",
M111&lt;=39,"Adults",
M111&lt;=59,"Middle-Aged",
M111&gt;=60,"Seniors"
)</f>
        <v>Adults</v>
      </c>
      <c r="O111" s="9" t="s">
        <v>17</v>
      </c>
      <c r="P111" s="9">
        <f t="shared" si="2"/>
        <v>1</v>
      </c>
      <c r="Q111" s="9">
        <v>1</v>
      </c>
      <c r="R111" s="10">
        <f t="shared" si="3"/>
        <v>40000</v>
      </c>
    </row>
    <row r="112" spans="1:18" x14ac:dyDescent="0.3">
      <c r="A112" s="9">
        <v>21006</v>
      </c>
      <c r="B112" s="9" t="s">
        <v>40</v>
      </c>
      <c r="C112" s="9" t="s">
        <v>38</v>
      </c>
      <c r="D112" s="10">
        <v>30000</v>
      </c>
      <c r="E112" s="9" t="str" cm="1">
        <f t="array" ref="E112">_xlfn.IFS(D112&lt;= 60000, "Low Income",
D112&lt;=120000,"Medium Income",
D112&gt; 120000,"High Income"
)</f>
        <v>Low Income</v>
      </c>
      <c r="F112" s="9">
        <v>1</v>
      </c>
      <c r="G112" s="9" t="s">
        <v>21</v>
      </c>
      <c r="H112" s="9" t="s">
        <v>28</v>
      </c>
      <c r="I112" s="9" t="s">
        <v>20</v>
      </c>
      <c r="J112" s="9">
        <v>0</v>
      </c>
      <c r="K112" s="9" t="s">
        <v>18</v>
      </c>
      <c r="L112" s="9" t="s">
        <v>19</v>
      </c>
      <c r="M112" s="9">
        <v>46</v>
      </c>
      <c r="N112" s="9" t="str" cm="1">
        <f t="array" ref="N112">_xlfn.IFS(
M112&lt;=12,"Children",
M112&lt;=19,"Teens",
M112&lt;=29,"Young Adults",
M112&lt;=39,"Adults",
M112&lt;=59,"Middle-Aged",
M112&gt;=60,"Seniors"
)</f>
        <v>Middle-Aged</v>
      </c>
      <c r="O112" s="9" t="s">
        <v>17</v>
      </c>
      <c r="P112" s="9">
        <f t="shared" si="2"/>
        <v>1</v>
      </c>
      <c r="Q112" s="9">
        <v>1</v>
      </c>
      <c r="R112" s="10">
        <f t="shared" si="3"/>
        <v>30000</v>
      </c>
    </row>
    <row r="113" spans="1:18" x14ac:dyDescent="0.3">
      <c r="A113" s="9">
        <v>14682</v>
      </c>
      <c r="B113" s="9" t="s">
        <v>40</v>
      </c>
      <c r="C113" s="9" t="s">
        <v>38</v>
      </c>
      <c r="D113" s="10">
        <v>70000</v>
      </c>
      <c r="E113" s="9" t="str" cm="1">
        <f t="array" ref="E113">_xlfn.IFS(D113&lt;= 60000, "Low Income",
D113&lt;=120000,"Medium Income",
D113&gt; 120000,"High Income"
)</f>
        <v>Medium Income</v>
      </c>
      <c r="F113" s="9">
        <v>0</v>
      </c>
      <c r="G113" s="9" t="s">
        <v>15</v>
      </c>
      <c r="H113" s="9" t="s">
        <v>23</v>
      </c>
      <c r="I113" s="9" t="s">
        <v>20</v>
      </c>
      <c r="J113" s="9">
        <v>1</v>
      </c>
      <c r="K113" s="9" t="s">
        <v>26</v>
      </c>
      <c r="L113" s="9" t="s">
        <v>27</v>
      </c>
      <c r="M113" s="9">
        <v>38</v>
      </c>
      <c r="N113" s="9" t="str" cm="1">
        <f t="array" ref="N113">_xlfn.IFS(
M113&lt;=12,"Children",
M113&lt;=19,"Teens",
M113&lt;=29,"Young Adults",
M113&lt;=39,"Adults",
M113&lt;=59,"Middle-Aged",
M113&gt;=60,"Seniors"
)</f>
        <v>Adults</v>
      </c>
      <c r="O113" s="9" t="s">
        <v>20</v>
      </c>
      <c r="P113" s="9">
        <f t="shared" si="2"/>
        <v>0</v>
      </c>
      <c r="Q113" s="9">
        <v>1</v>
      </c>
      <c r="R113" s="10">
        <f t="shared" si="3"/>
        <v>0</v>
      </c>
    </row>
    <row r="114" spans="1:18" x14ac:dyDescent="0.3">
      <c r="A114" s="9">
        <v>17650</v>
      </c>
      <c r="B114" s="9" t="s">
        <v>40</v>
      </c>
      <c r="C114" s="9" t="s">
        <v>38</v>
      </c>
      <c r="D114" s="10">
        <v>40000</v>
      </c>
      <c r="E114" s="9" t="str" cm="1">
        <f t="array" ref="E114">_xlfn.IFS(D114&lt;= 60000, "Low Income",
D114&lt;=120000,"Medium Income",
D114&gt; 120000,"High Income"
)</f>
        <v>Low Income</v>
      </c>
      <c r="F114" s="9">
        <v>2</v>
      </c>
      <c r="G114" s="9" t="s">
        <v>21</v>
      </c>
      <c r="H114" s="9" t="s">
        <v>22</v>
      </c>
      <c r="I114" s="9" t="s">
        <v>17</v>
      </c>
      <c r="J114" s="9">
        <v>2</v>
      </c>
      <c r="K114" s="9" t="s">
        <v>29</v>
      </c>
      <c r="L114" s="9" t="s">
        <v>19</v>
      </c>
      <c r="M114" s="9">
        <v>35</v>
      </c>
      <c r="N114" s="9" t="str" cm="1">
        <f t="array" ref="N114">_xlfn.IFS(
M114&lt;=12,"Children",
M114&lt;=19,"Teens",
M114&lt;=29,"Young Adults",
M114&lt;=39,"Adults",
M114&lt;=59,"Middle-Aged",
M114&gt;=60,"Seniors"
)</f>
        <v>Adults</v>
      </c>
      <c r="O114" s="9" t="s">
        <v>20</v>
      </c>
      <c r="P114" s="9">
        <f t="shared" si="2"/>
        <v>0</v>
      </c>
      <c r="Q114" s="9">
        <v>1</v>
      </c>
      <c r="R114" s="10">
        <f t="shared" si="3"/>
        <v>0</v>
      </c>
    </row>
    <row r="115" spans="1:18" x14ac:dyDescent="0.3">
      <c r="A115" s="9">
        <v>29191</v>
      </c>
      <c r="B115" s="9" t="s">
        <v>40</v>
      </c>
      <c r="C115" s="9" t="s">
        <v>38</v>
      </c>
      <c r="D115" s="10">
        <v>130000</v>
      </c>
      <c r="E115" s="9" t="str" cm="1">
        <f t="array" ref="E115">_xlfn.IFS(D115&lt;= 60000, "Low Income",
D115&lt;=120000,"Medium Income",
D115&gt; 120000,"High Income"
)</f>
        <v>High Income</v>
      </c>
      <c r="F115" s="9">
        <v>1</v>
      </c>
      <c r="G115" s="9" t="s">
        <v>34</v>
      </c>
      <c r="H115" s="9" t="s">
        <v>31</v>
      </c>
      <c r="I115" s="9" t="s">
        <v>20</v>
      </c>
      <c r="J115" s="9">
        <v>1</v>
      </c>
      <c r="K115" s="9" t="s">
        <v>18</v>
      </c>
      <c r="L115" s="9" t="s">
        <v>27</v>
      </c>
      <c r="M115" s="9">
        <v>36</v>
      </c>
      <c r="N115" s="9" t="str" cm="1">
        <f t="array" ref="N115">_xlfn.IFS(
M115&lt;=12,"Children",
M115&lt;=19,"Teens",
M115&lt;=29,"Young Adults",
M115&lt;=39,"Adults",
M115&lt;=59,"Middle-Aged",
M115&gt;=60,"Seniors"
)</f>
        <v>Adults</v>
      </c>
      <c r="O115" s="9" t="s">
        <v>17</v>
      </c>
      <c r="P115" s="9">
        <f t="shared" si="2"/>
        <v>1</v>
      </c>
      <c r="Q115" s="9">
        <v>1</v>
      </c>
      <c r="R115" s="10">
        <f t="shared" si="3"/>
        <v>130000</v>
      </c>
    </row>
    <row r="116" spans="1:18" x14ac:dyDescent="0.3">
      <c r="A116" s="9">
        <v>15030</v>
      </c>
      <c r="B116" s="9" t="s">
        <v>37</v>
      </c>
      <c r="C116" s="9" t="s">
        <v>39</v>
      </c>
      <c r="D116" s="10">
        <v>20000</v>
      </c>
      <c r="E116" s="9" t="str" cm="1">
        <f t="array" ref="E116">_xlfn.IFS(D116&lt;= 60000, "Low Income",
D116&lt;=120000,"Medium Income",
D116&gt; 120000,"High Income"
)</f>
        <v>Low Income</v>
      </c>
      <c r="F116" s="9">
        <v>0</v>
      </c>
      <c r="G116" s="9" t="s">
        <v>15</v>
      </c>
      <c r="H116" s="9" t="s">
        <v>22</v>
      </c>
      <c r="I116" s="9" t="s">
        <v>17</v>
      </c>
      <c r="J116" s="9">
        <v>0</v>
      </c>
      <c r="K116" s="9" t="s">
        <v>18</v>
      </c>
      <c r="L116" s="9" t="s">
        <v>27</v>
      </c>
      <c r="M116" s="9">
        <v>26</v>
      </c>
      <c r="N116" s="9" t="str" cm="1">
        <f t="array" ref="N116">_xlfn.IFS(
M116&lt;=12,"Children",
M116&lt;=19,"Teens",
M116&lt;=29,"Young Adults",
M116&lt;=39,"Adults",
M116&lt;=59,"Middle-Aged",
M116&gt;=60,"Seniors"
)</f>
        <v>Young Adults</v>
      </c>
      <c r="O116" s="9" t="s">
        <v>17</v>
      </c>
      <c r="P116" s="9">
        <f t="shared" si="2"/>
        <v>1</v>
      </c>
      <c r="Q116" s="9">
        <v>1</v>
      </c>
      <c r="R116" s="10">
        <f t="shared" si="3"/>
        <v>20000</v>
      </c>
    </row>
    <row r="117" spans="1:18" x14ac:dyDescent="0.3">
      <c r="A117" s="9">
        <v>24140</v>
      </c>
      <c r="B117" s="9" t="s">
        <v>40</v>
      </c>
      <c r="C117" s="9" t="s">
        <v>39</v>
      </c>
      <c r="D117" s="10">
        <v>10000</v>
      </c>
      <c r="E117" s="9" t="str" cm="1">
        <f t="array" ref="E117">_xlfn.IFS(D117&lt;= 60000, "Low Income",
D117&lt;=120000,"Medium Income",
D117&gt; 120000,"High Income"
)</f>
        <v>Low Income</v>
      </c>
      <c r="F117" s="9">
        <v>0</v>
      </c>
      <c r="G117" s="9" t="s">
        <v>34</v>
      </c>
      <c r="H117" s="9" t="s">
        <v>28</v>
      </c>
      <c r="I117" s="9" t="s">
        <v>20</v>
      </c>
      <c r="J117" s="9">
        <v>0</v>
      </c>
      <c r="K117" s="9" t="s">
        <v>18</v>
      </c>
      <c r="L117" s="9" t="s">
        <v>19</v>
      </c>
      <c r="M117" s="9">
        <v>30</v>
      </c>
      <c r="N117" s="9" t="str" cm="1">
        <f t="array" ref="N117">_xlfn.IFS(
M117&lt;=12,"Children",
M117&lt;=19,"Teens",
M117&lt;=29,"Young Adults",
M117&lt;=39,"Adults",
M117&lt;=59,"Middle-Aged",
M117&gt;=60,"Seniors"
)</f>
        <v>Adults</v>
      </c>
      <c r="O117" s="9" t="s">
        <v>17</v>
      </c>
      <c r="P117" s="9">
        <f t="shared" si="2"/>
        <v>1</v>
      </c>
      <c r="Q117" s="9">
        <v>1</v>
      </c>
      <c r="R117" s="10">
        <f t="shared" si="3"/>
        <v>10000</v>
      </c>
    </row>
    <row r="118" spans="1:18" x14ac:dyDescent="0.3">
      <c r="A118" s="9">
        <v>22496</v>
      </c>
      <c r="B118" s="9" t="s">
        <v>37</v>
      </c>
      <c r="C118" s="9" t="s">
        <v>38</v>
      </c>
      <c r="D118" s="10">
        <v>30000</v>
      </c>
      <c r="E118" s="9" t="str" cm="1">
        <f t="array" ref="E118">_xlfn.IFS(D118&lt;= 60000, "Low Income",
D118&lt;=120000,"Medium Income",
D118&gt; 120000,"High Income"
)</f>
        <v>Low Income</v>
      </c>
      <c r="F118" s="9">
        <v>1</v>
      </c>
      <c r="G118" s="9" t="s">
        <v>15</v>
      </c>
      <c r="H118" s="9" t="s">
        <v>16</v>
      </c>
      <c r="I118" s="9" t="s">
        <v>17</v>
      </c>
      <c r="J118" s="9">
        <v>2</v>
      </c>
      <c r="K118" s="9" t="s">
        <v>18</v>
      </c>
      <c r="L118" s="9" t="s">
        <v>19</v>
      </c>
      <c r="M118" s="9">
        <v>42</v>
      </c>
      <c r="N118" s="9" t="str" cm="1">
        <f t="array" ref="N118">_xlfn.IFS(
M118&lt;=12,"Children",
M118&lt;=19,"Teens",
M118&lt;=29,"Young Adults",
M118&lt;=39,"Adults",
M118&lt;=59,"Middle-Aged",
M118&gt;=60,"Seniors"
)</f>
        <v>Middle-Aged</v>
      </c>
      <c r="O118" s="9" t="s">
        <v>20</v>
      </c>
      <c r="P118" s="9">
        <f t="shared" si="2"/>
        <v>0</v>
      </c>
      <c r="Q118" s="9">
        <v>1</v>
      </c>
      <c r="R118" s="10">
        <f t="shared" si="3"/>
        <v>0</v>
      </c>
    </row>
    <row r="119" spans="1:18" x14ac:dyDescent="0.3">
      <c r="A119" s="9">
        <v>24065</v>
      </c>
      <c r="B119" s="9" t="s">
        <v>40</v>
      </c>
      <c r="C119" s="9" t="s">
        <v>38</v>
      </c>
      <c r="D119" s="10">
        <v>20000</v>
      </c>
      <c r="E119" s="9" t="str" cm="1">
        <f t="array" ref="E119">_xlfn.IFS(D119&lt;= 60000, "Low Income",
D119&lt;=120000,"Medium Income",
D119&gt; 120000,"High Income"
)</f>
        <v>Low Income</v>
      </c>
      <c r="F119" s="9">
        <v>0</v>
      </c>
      <c r="G119" s="9" t="s">
        <v>30</v>
      </c>
      <c r="H119" s="9" t="s">
        <v>28</v>
      </c>
      <c r="I119" s="9" t="s">
        <v>17</v>
      </c>
      <c r="J119" s="9">
        <v>0</v>
      </c>
      <c r="K119" s="9" t="s">
        <v>18</v>
      </c>
      <c r="L119" s="9" t="s">
        <v>19</v>
      </c>
      <c r="M119" s="9">
        <v>40</v>
      </c>
      <c r="N119" s="9" t="str" cm="1">
        <f t="array" ref="N119">_xlfn.IFS(
M119&lt;=12,"Children",
M119&lt;=19,"Teens",
M119&lt;=29,"Young Adults",
M119&lt;=39,"Adults",
M119&lt;=59,"Middle-Aged",
M119&gt;=60,"Seniors"
)</f>
        <v>Middle-Aged</v>
      </c>
      <c r="O119" s="9" t="s">
        <v>17</v>
      </c>
      <c r="P119" s="9">
        <f t="shared" si="2"/>
        <v>1</v>
      </c>
      <c r="Q119" s="9">
        <v>1</v>
      </c>
      <c r="R119" s="10">
        <f t="shared" si="3"/>
        <v>20000</v>
      </c>
    </row>
    <row r="120" spans="1:18" x14ac:dyDescent="0.3">
      <c r="A120" s="9">
        <v>19914</v>
      </c>
      <c r="B120" s="9" t="s">
        <v>37</v>
      </c>
      <c r="C120" s="9" t="s">
        <v>39</v>
      </c>
      <c r="D120" s="10">
        <v>80000</v>
      </c>
      <c r="E120" s="9" t="str" cm="1">
        <f t="array" ref="E120">_xlfn.IFS(D120&lt;= 60000, "Low Income",
D120&lt;=120000,"Medium Income",
D120&gt; 120000,"High Income"
)</f>
        <v>Medium Income</v>
      </c>
      <c r="F120" s="9">
        <v>5</v>
      </c>
      <c r="G120" s="9" t="s">
        <v>15</v>
      </c>
      <c r="H120" s="9" t="s">
        <v>31</v>
      </c>
      <c r="I120" s="9" t="s">
        <v>17</v>
      </c>
      <c r="J120" s="9">
        <v>2</v>
      </c>
      <c r="K120" s="9" t="s">
        <v>24</v>
      </c>
      <c r="L120" s="9" t="s">
        <v>19</v>
      </c>
      <c r="M120" s="9">
        <v>62</v>
      </c>
      <c r="N120" s="9" t="str" cm="1">
        <f t="array" ref="N120">_xlfn.IFS(
M120&lt;=12,"Children",
M120&lt;=19,"Teens",
M120&lt;=29,"Young Adults",
M120&lt;=39,"Adults",
M120&lt;=59,"Middle-Aged",
M120&gt;=60,"Seniors"
)</f>
        <v>Seniors</v>
      </c>
      <c r="O120" s="9" t="s">
        <v>20</v>
      </c>
      <c r="P120" s="9">
        <f t="shared" si="2"/>
        <v>0</v>
      </c>
      <c r="Q120" s="9">
        <v>1</v>
      </c>
      <c r="R120" s="10">
        <f t="shared" si="3"/>
        <v>0</v>
      </c>
    </row>
    <row r="121" spans="1:18" x14ac:dyDescent="0.3">
      <c r="A121" s="9">
        <v>12871</v>
      </c>
      <c r="B121" s="9" t="s">
        <v>40</v>
      </c>
      <c r="C121" s="9" t="s">
        <v>38</v>
      </c>
      <c r="D121" s="10">
        <v>30000</v>
      </c>
      <c r="E121" s="9" t="str" cm="1">
        <f t="array" ref="E121">_xlfn.IFS(D121&lt;= 60000, "Low Income",
D121&lt;=120000,"Medium Income",
D121&gt; 120000,"High Income"
)</f>
        <v>Low Income</v>
      </c>
      <c r="F121" s="9">
        <v>0</v>
      </c>
      <c r="G121" s="9" t="s">
        <v>21</v>
      </c>
      <c r="H121" s="9" t="s">
        <v>22</v>
      </c>
      <c r="I121" s="9" t="s">
        <v>20</v>
      </c>
      <c r="J121" s="9">
        <v>1</v>
      </c>
      <c r="K121" s="9" t="s">
        <v>24</v>
      </c>
      <c r="L121" s="9" t="s">
        <v>19</v>
      </c>
      <c r="M121" s="9">
        <v>29</v>
      </c>
      <c r="N121" s="9" t="str" cm="1">
        <f t="array" ref="N121">_xlfn.IFS(
M121&lt;=12,"Children",
M121&lt;=19,"Teens",
M121&lt;=29,"Young Adults",
M121&lt;=39,"Adults",
M121&lt;=59,"Middle-Aged",
M121&gt;=60,"Seniors"
)</f>
        <v>Young Adults</v>
      </c>
      <c r="O121" s="9" t="s">
        <v>20</v>
      </c>
      <c r="P121" s="9">
        <f t="shared" si="2"/>
        <v>0</v>
      </c>
      <c r="Q121" s="9">
        <v>1</v>
      </c>
      <c r="R121" s="10">
        <f t="shared" si="3"/>
        <v>0</v>
      </c>
    </row>
    <row r="122" spans="1:18" x14ac:dyDescent="0.3">
      <c r="A122" s="9">
        <v>22988</v>
      </c>
      <c r="B122" s="9" t="s">
        <v>37</v>
      </c>
      <c r="C122" s="9" t="s">
        <v>38</v>
      </c>
      <c r="D122" s="10">
        <v>40000</v>
      </c>
      <c r="E122" s="9" t="str" cm="1">
        <f t="array" ref="E122">_xlfn.IFS(D122&lt;= 60000, "Low Income",
D122&lt;=120000,"Medium Income",
D122&gt; 120000,"High Income"
)</f>
        <v>Low Income</v>
      </c>
      <c r="F122" s="9">
        <v>2</v>
      </c>
      <c r="G122" s="9" t="s">
        <v>15</v>
      </c>
      <c r="H122" s="9" t="s">
        <v>31</v>
      </c>
      <c r="I122" s="9" t="s">
        <v>17</v>
      </c>
      <c r="J122" s="9">
        <v>2</v>
      </c>
      <c r="K122" s="9" t="s">
        <v>26</v>
      </c>
      <c r="L122" s="9" t="s">
        <v>27</v>
      </c>
      <c r="M122" s="9">
        <v>66</v>
      </c>
      <c r="N122" s="9" t="str" cm="1">
        <f t="array" ref="N122">_xlfn.IFS(
M122&lt;=12,"Children",
M122&lt;=19,"Teens",
M122&lt;=29,"Young Adults",
M122&lt;=39,"Adults",
M122&lt;=59,"Middle-Aged",
M122&gt;=60,"Seniors"
)</f>
        <v>Seniors</v>
      </c>
      <c r="O122" s="9" t="s">
        <v>17</v>
      </c>
      <c r="P122" s="9">
        <f t="shared" si="2"/>
        <v>1</v>
      </c>
      <c r="Q122" s="9">
        <v>1</v>
      </c>
      <c r="R122" s="10">
        <f t="shared" si="3"/>
        <v>40000</v>
      </c>
    </row>
    <row r="123" spans="1:18" x14ac:dyDescent="0.3">
      <c r="A123" s="9">
        <v>15922</v>
      </c>
      <c r="B123" s="9" t="s">
        <v>37</v>
      </c>
      <c r="C123" s="9" t="s">
        <v>39</v>
      </c>
      <c r="D123" s="10">
        <v>150000</v>
      </c>
      <c r="E123" s="9" t="str" cm="1">
        <f t="array" ref="E123">_xlfn.IFS(D123&lt;= 60000, "Low Income",
D123&lt;=120000,"Medium Income",
D123&gt; 120000,"High Income"
)</f>
        <v>High Income</v>
      </c>
      <c r="F123" s="9">
        <v>2</v>
      </c>
      <c r="G123" s="9" t="s">
        <v>30</v>
      </c>
      <c r="H123" s="9" t="s">
        <v>23</v>
      </c>
      <c r="I123" s="9" t="s">
        <v>17</v>
      </c>
      <c r="J123" s="9">
        <v>4</v>
      </c>
      <c r="K123" s="9" t="s">
        <v>18</v>
      </c>
      <c r="L123" s="9" t="s">
        <v>19</v>
      </c>
      <c r="M123" s="9">
        <v>48</v>
      </c>
      <c r="N123" s="9" t="str" cm="1">
        <f t="array" ref="N123">_xlfn.IFS(
M123&lt;=12,"Children",
M123&lt;=19,"Teens",
M123&lt;=29,"Young Adults",
M123&lt;=39,"Adults",
M123&lt;=59,"Middle-Aged",
M123&gt;=60,"Seniors"
)</f>
        <v>Middle-Aged</v>
      </c>
      <c r="O123" s="9" t="s">
        <v>20</v>
      </c>
      <c r="P123" s="9">
        <f t="shared" si="2"/>
        <v>0</v>
      </c>
      <c r="Q123" s="9">
        <v>1</v>
      </c>
      <c r="R123" s="10">
        <f t="shared" si="3"/>
        <v>0</v>
      </c>
    </row>
    <row r="124" spans="1:18" x14ac:dyDescent="0.3">
      <c r="A124" s="9">
        <v>12344</v>
      </c>
      <c r="B124" s="9" t="s">
        <v>40</v>
      </c>
      <c r="C124" s="9" t="s">
        <v>38</v>
      </c>
      <c r="D124" s="10">
        <v>80000</v>
      </c>
      <c r="E124" s="9" t="str" cm="1">
        <f t="array" ref="E124">_xlfn.IFS(D124&lt;= 60000, "Low Income",
D124&lt;=120000,"Medium Income",
D124&gt; 120000,"High Income"
)</f>
        <v>Medium Income</v>
      </c>
      <c r="F124" s="9">
        <v>0</v>
      </c>
      <c r="G124" s="9" t="s">
        <v>15</v>
      </c>
      <c r="H124" s="9" t="s">
        <v>23</v>
      </c>
      <c r="I124" s="9" t="s">
        <v>20</v>
      </c>
      <c r="J124" s="9">
        <v>3</v>
      </c>
      <c r="K124" s="9" t="s">
        <v>41</v>
      </c>
      <c r="L124" s="9" t="s">
        <v>27</v>
      </c>
      <c r="M124" s="9">
        <v>31</v>
      </c>
      <c r="N124" s="9" t="str" cm="1">
        <f t="array" ref="N124">_xlfn.IFS(
M124&lt;=12,"Children",
M124&lt;=19,"Teens",
M124&lt;=29,"Young Adults",
M124&lt;=39,"Adults",
M124&lt;=59,"Middle-Aged",
M124&gt;=60,"Seniors"
)</f>
        <v>Adults</v>
      </c>
      <c r="O124" s="9" t="s">
        <v>20</v>
      </c>
      <c r="P124" s="9">
        <f t="shared" si="2"/>
        <v>0</v>
      </c>
      <c r="Q124" s="9">
        <v>1</v>
      </c>
      <c r="R124" s="10">
        <f t="shared" si="3"/>
        <v>0</v>
      </c>
    </row>
    <row r="125" spans="1:18" x14ac:dyDescent="0.3">
      <c r="A125" s="9">
        <v>23627</v>
      </c>
      <c r="B125" s="9" t="s">
        <v>40</v>
      </c>
      <c r="C125" s="9" t="s">
        <v>38</v>
      </c>
      <c r="D125" s="10">
        <v>100000</v>
      </c>
      <c r="E125" s="9" t="str" cm="1">
        <f t="array" ref="E125">_xlfn.IFS(D125&lt;= 60000, "Low Income",
D125&lt;=120000,"Medium Income",
D125&gt; 120000,"High Income"
)</f>
        <v>Medium Income</v>
      </c>
      <c r="F125" s="9">
        <v>3</v>
      </c>
      <c r="G125" s="9" t="s">
        <v>21</v>
      </c>
      <c r="H125" s="9" t="s">
        <v>31</v>
      </c>
      <c r="I125" s="9" t="s">
        <v>20</v>
      </c>
      <c r="J125" s="9">
        <v>4</v>
      </c>
      <c r="K125" s="9" t="s">
        <v>26</v>
      </c>
      <c r="L125" s="9" t="s">
        <v>19</v>
      </c>
      <c r="M125" s="9">
        <v>56</v>
      </c>
      <c r="N125" s="9" t="str" cm="1">
        <f t="array" ref="N125">_xlfn.IFS(
M125&lt;=12,"Children",
M125&lt;=19,"Teens",
M125&lt;=29,"Young Adults",
M125&lt;=39,"Adults",
M125&lt;=59,"Middle-Aged",
M125&gt;=60,"Seniors"
)</f>
        <v>Middle-Aged</v>
      </c>
      <c r="O125" s="9" t="s">
        <v>20</v>
      </c>
      <c r="P125" s="9">
        <f t="shared" si="2"/>
        <v>0</v>
      </c>
      <c r="Q125" s="9">
        <v>1</v>
      </c>
      <c r="R125" s="10">
        <f t="shared" si="3"/>
        <v>0</v>
      </c>
    </row>
    <row r="126" spans="1:18" x14ac:dyDescent="0.3">
      <c r="A126" s="9">
        <v>27775</v>
      </c>
      <c r="B126" s="9" t="s">
        <v>40</v>
      </c>
      <c r="C126" s="9" t="s">
        <v>38</v>
      </c>
      <c r="D126" s="10">
        <v>40000</v>
      </c>
      <c r="E126" s="9" t="str" cm="1">
        <f t="array" ref="E126">_xlfn.IFS(D126&lt;= 60000, "Low Income",
D126&lt;=120000,"Medium Income",
D126&gt; 120000,"High Income"
)</f>
        <v>Low Income</v>
      </c>
      <c r="F126" s="9">
        <v>0</v>
      </c>
      <c r="G126" s="9" t="s">
        <v>15</v>
      </c>
      <c r="H126" s="9" t="s">
        <v>22</v>
      </c>
      <c r="I126" s="9" t="s">
        <v>20</v>
      </c>
      <c r="J126" s="9">
        <v>0</v>
      </c>
      <c r="K126" s="9" t="s">
        <v>18</v>
      </c>
      <c r="L126" s="9" t="s">
        <v>19</v>
      </c>
      <c r="M126" s="9">
        <v>38</v>
      </c>
      <c r="N126" s="9" t="str" cm="1">
        <f t="array" ref="N126">_xlfn.IFS(
M126&lt;=12,"Children",
M126&lt;=19,"Teens",
M126&lt;=29,"Young Adults",
M126&lt;=39,"Adults",
M126&lt;=59,"Middle-Aged",
M126&gt;=60,"Seniors"
)</f>
        <v>Adults</v>
      </c>
      <c r="O126" s="9" t="s">
        <v>17</v>
      </c>
      <c r="P126" s="9">
        <f t="shared" si="2"/>
        <v>1</v>
      </c>
      <c r="Q126" s="9">
        <v>1</v>
      </c>
      <c r="R126" s="10">
        <f t="shared" si="3"/>
        <v>40000</v>
      </c>
    </row>
    <row r="127" spans="1:18" x14ac:dyDescent="0.3">
      <c r="A127" s="9">
        <v>29301</v>
      </c>
      <c r="B127" s="9" t="s">
        <v>37</v>
      </c>
      <c r="C127" s="9" t="s">
        <v>39</v>
      </c>
      <c r="D127" s="10">
        <v>80000</v>
      </c>
      <c r="E127" s="9" t="str" cm="1">
        <f t="array" ref="E127">_xlfn.IFS(D127&lt;= 60000, "Low Income",
D127&lt;=120000,"Medium Income",
D127&gt; 120000,"High Income"
)</f>
        <v>Medium Income</v>
      </c>
      <c r="F127" s="9">
        <v>5</v>
      </c>
      <c r="G127" s="9" t="s">
        <v>15</v>
      </c>
      <c r="H127" s="9" t="s">
        <v>23</v>
      </c>
      <c r="I127" s="9" t="s">
        <v>17</v>
      </c>
      <c r="J127" s="9">
        <v>4</v>
      </c>
      <c r="K127" s="9" t="s">
        <v>29</v>
      </c>
      <c r="L127" s="9" t="s">
        <v>27</v>
      </c>
      <c r="M127" s="9">
        <v>40</v>
      </c>
      <c r="N127" s="9" t="str" cm="1">
        <f t="array" ref="N127">_xlfn.IFS(
M127&lt;=12,"Children",
M127&lt;=19,"Teens",
M127&lt;=29,"Young Adults",
M127&lt;=39,"Adults",
M127&lt;=59,"Middle-Aged",
M127&gt;=60,"Seniors"
)</f>
        <v>Middle-Aged</v>
      </c>
      <c r="O127" s="9" t="s">
        <v>20</v>
      </c>
      <c r="P127" s="9">
        <f t="shared" si="2"/>
        <v>0</v>
      </c>
      <c r="Q127" s="9">
        <v>1</v>
      </c>
      <c r="R127" s="10">
        <f t="shared" si="3"/>
        <v>0</v>
      </c>
    </row>
    <row r="128" spans="1:18" x14ac:dyDescent="0.3">
      <c r="A128" s="9">
        <v>12716</v>
      </c>
      <c r="B128" s="9" t="s">
        <v>40</v>
      </c>
      <c r="C128" s="9" t="s">
        <v>39</v>
      </c>
      <c r="D128" s="10">
        <v>30000</v>
      </c>
      <c r="E128" s="9" t="str" cm="1">
        <f t="array" ref="E128">_xlfn.IFS(D128&lt;= 60000, "Low Income",
D128&lt;=120000,"Medium Income",
D128&gt; 120000,"High Income"
)</f>
        <v>Low Income</v>
      </c>
      <c r="F128" s="9">
        <v>0</v>
      </c>
      <c r="G128" s="9" t="s">
        <v>21</v>
      </c>
      <c r="H128" s="9" t="s">
        <v>22</v>
      </c>
      <c r="I128" s="9" t="s">
        <v>17</v>
      </c>
      <c r="J128" s="9">
        <v>1</v>
      </c>
      <c r="K128" s="9" t="s">
        <v>24</v>
      </c>
      <c r="L128" s="9" t="s">
        <v>19</v>
      </c>
      <c r="M128" s="9">
        <v>32</v>
      </c>
      <c r="N128" s="9" t="str" cm="1">
        <f t="array" ref="N128">_xlfn.IFS(
M128&lt;=12,"Children",
M128&lt;=19,"Teens",
M128&lt;=29,"Young Adults",
M128&lt;=39,"Adults",
M128&lt;=59,"Middle-Aged",
M128&gt;=60,"Seniors"
)</f>
        <v>Adults</v>
      </c>
      <c r="O128" s="9" t="s">
        <v>20</v>
      </c>
      <c r="P128" s="9">
        <f t="shared" si="2"/>
        <v>0</v>
      </c>
      <c r="Q128" s="9">
        <v>1</v>
      </c>
      <c r="R128" s="10">
        <f t="shared" si="3"/>
        <v>0</v>
      </c>
    </row>
    <row r="129" spans="1:18" x14ac:dyDescent="0.3">
      <c r="A129" s="9">
        <v>12472</v>
      </c>
      <c r="B129" s="9" t="s">
        <v>37</v>
      </c>
      <c r="C129" s="9" t="s">
        <v>39</v>
      </c>
      <c r="D129" s="10">
        <v>30000</v>
      </c>
      <c r="E129" s="9" t="str" cm="1">
        <f t="array" ref="E129">_xlfn.IFS(D129&lt;= 60000, "Low Income",
D129&lt;=120000,"Medium Income",
D129&gt; 120000,"High Income"
)</f>
        <v>Low Income</v>
      </c>
      <c r="F129" s="9">
        <v>1</v>
      </c>
      <c r="G129" s="9" t="s">
        <v>15</v>
      </c>
      <c r="H129" s="9" t="s">
        <v>22</v>
      </c>
      <c r="I129" s="9" t="s">
        <v>17</v>
      </c>
      <c r="J129" s="9">
        <v>1</v>
      </c>
      <c r="K129" s="9" t="s">
        <v>24</v>
      </c>
      <c r="L129" s="9" t="s">
        <v>19</v>
      </c>
      <c r="M129" s="9">
        <v>39</v>
      </c>
      <c r="N129" s="9" t="str" cm="1">
        <f t="array" ref="N129">_xlfn.IFS(
M129&lt;=12,"Children",
M129&lt;=19,"Teens",
M129&lt;=29,"Young Adults",
M129&lt;=39,"Adults",
M129&lt;=59,"Middle-Aged",
M129&gt;=60,"Seniors"
)</f>
        <v>Adults</v>
      </c>
      <c r="O129" s="9" t="s">
        <v>20</v>
      </c>
      <c r="P129" s="9">
        <f t="shared" si="2"/>
        <v>0</v>
      </c>
      <c r="Q129" s="9">
        <v>1</v>
      </c>
      <c r="R129" s="10">
        <f t="shared" si="3"/>
        <v>0</v>
      </c>
    </row>
    <row r="130" spans="1:18" x14ac:dyDescent="0.3">
      <c r="A130" s="9">
        <v>20970</v>
      </c>
      <c r="B130" s="9" t="s">
        <v>40</v>
      </c>
      <c r="C130" s="9" t="s">
        <v>39</v>
      </c>
      <c r="D130" s="10">
        <v>10000</v>
      </c>
      <c r="E130" s="9" t="str" cm="1">
        <f t="array" ref="E130">_xlfn.IFS(D130&lt;= 60000, "Low Income",
D130&lt;=120000,"Medium Income",
D130&gt; 120000,"High Income"
)</f>
        <v>Low Income</v>
      </c>
      <c r="F130" s="9">
        <v>2</v>
      </c>
      <c r="G130" s="9" t="s">
        <v>21</v>
      </c>
      <c r="H130" s="9" t="s">
        <v>28</v>
      </c>
      <c r="I130" s="9" t="s">
        <v>17</v>
      </c>
      <c r="J130" s="9">
        <v>1</v>
      </c>
      <c r="K130" s="9" t="s">
        <v>18</v>
      </c>
      <c r="L130" s="9" t="s">
        <v>19</v>
      </c>
      <c r="M130" s="9">
        <v>52</v>
      </c>
      <c r="N130" s="9" t="str" cm="1">
        <f t="array" ref="N130">_xlfn.IFS(
M130&lt;=12,"Children",
M130&lt;=19,"Teens",
M130&lt;=29,"Young Adults",
M130&lt;=39,"Adults",
M130&lt;=59,"Middle-Aged",
M130&gt;=60,"Seniors"
)</f>
        <v>Middle-Aged</v>
      </c>
      <c r="O130" s="9" t="s">
        <v>17</v>
      </c>
      <c r="P130" s="9">
        <f t="shared" si="2"/>
        <v>1</v>
      </c>
      <c r="Q130" s="9">
        <v>1</v>
      </c>
      <c r="R130" s="10">
        <f t="shared" si="3"/>
        <v>10000</v>
      </c>
    </row>
    <row r="131" spans="1:18" x14ac:dyDescent="0.3">
      <c r="A131" s="9">
        <v>26818</v>
      </c>
      <c r="B131" s="9" t="s">
        <v>40</v>
      </c>
      <c r="C131" s="9" t="s">
        <v>39</v>
      </c>
      <c r="D131" s="10">
        <v>10000</v>
      </c>
      <c r="E131" s="9" t="str" cm="1">
        <f t="array" ref="E131">_xlfn.IFS(D131&lt;= 60000, "Low Income",
D131&lt;=120000,"Medium Income",
D131&gt; 120000,"High Income"
)</f>
        <v>Low Income</v>
      </c>
      <c r="F131" s="9">
        <v>3</v>
      </c>
      <c r="G131" s="9" t="s">
        <v>30</v>
      </c>
      <c r="H131" s="9" t="s">
        <v>28</v>
      </c>
      <c r="I131" s="9" t="s">
        <v>17</v>
      </c>
      <c r="J131" s="9">
        <v>1</v>
      </c>
      <c r="K131" s="9" t="s">
        <v>18</v>
      </c>
      <c r="L131" s="9" t="s">
        <v>19</v>
      </c>
      <c r="M131" s="9">
        <v>39</v>
      </c>
      <c r="N131" s="9" t="str" cm="1">
        <f t="array" ref="N131">_xlfn.IFS(
M131&lt;=12,"Children",
M131&lt;=19,"Teens",
M131&lt;=29,"Young Adults",
M131&lt;=39,"Adults",
M131&lt;=59,"Middle-Aged",
M131&gt;=60,"Seniors"
)</f>
        <v>Adults</v>
      </c>
      <c r="O131" s="9" t="s">
        <v>17</v>
      </c>
      <c r="P131" s="9">
        <f t="shared" ref="P131:P194" si="4">IF(O131="No", 0, 1)</f>
        <v>1</v>
      </c>
      <c r="Q131" s="9">
        <v>1</v>
      </c>
      <c r="R131" s="10">
        <f t="shared" ref="R131:R194" si="5">IF(P131=1, D131, 0)</f>
        <v>10000</v>
      </c>
    </row>
    <row r="132" spans="1:18" x14ac:dyDescent="0.3">
      <c r="A132" s="9">
        <v>12993</v>
      </c>
      <c r="B132" s="9" t="s">
        <v>37</v>
      </c>
      <c r="C132" s="9" t="s">
        <v>39</v>
      </c>
      <c r="D132" s="10">
        <v>60000</v>
      </c>
      <c r="E132" s="9" t="str" cm="1">
        <f t="array" ref="E132">_xlfn.IFS(D132&lt;= 60000, "Low Income",
D132&lt;=120000,"Medium Income",
D132&gt; 120000,"High Income"
)</f>
        <v>Low Income</v>
      </c>
      <c r="F132" s="9">
        <v>2</v>
      </c>
      <c r="G132" s="9" t="s">
        <v>15</v>
      </c>
      <c r="H132" s="9" t="s">
        <v>23</v>
      </c>
      <c r="I132" s="9" t="s">
        <v>17</v>
      </c>
      <c r="J132" s="9">
        <v>1</v>
      </c>
      <c r="K132" s="9" t="s">
        <v>24</v>
      </c>
      <c r="L132" s="9" t="s">
        <v>27</v>
      </c>
      <c r="M132" s="9">
        <v>37</v>
      </c>
      <c r="N132" s="9" t="str" cm="1">
        <f t="array" ref="N132">_xlfn.IFS(
M132&lt;=12,"Children",
M132&lt;=19,"Teens",
M132&lt;=29,"Young Adults",
M132&lt;=39,"Adults",
M132&lt;=59,"Middle-Aged",
M132&gt;=60,"Seniors"
)</f>
        <v>Adults</v>
      </c>
      <c r="O132" s="9" t="s">
        <v>20</v>
      </c>
      <c r="P132" s="9">
        <f t="shared" si="4"/>
        <v>0</v>
      </c>
      <c r="Q132" s="9">
        <v>1</v>
      </c>
      <c r="R132" s="10">
        <f t="shared" si="5"/>
        <v>0</v>
      </c>
    </row>
    <row r="133" spans="1:18" x14ac:dyDescent="0.3">
      <c r="A133" s="9">
        <v>14192</v>
      </c>
      <c r="B133" s="9" t="s">
        <v>37</v>
      </c>
      <c r="C133" s="9" t="s">
        <v>39</v>
      </c>
      <c r="D133" s="10">
        <v>90000</v>
      </c>
      <c r="E133" s="9" t="str" cm="1">
        <f t="array" ref="E133">_xlfn.IFS(D133&lt;= 60000, "Low Income",
D133&lt;=120000,"Medium Income",
D133&gt; 120000,"High Income"
)</f>
        <v>Medium Income</v>
      </c>
      <c r="F133" s="9">
        <v>4</v>
      </c>
      <c r="G133" s="9" t="s">
        <v>30</v>
      </c>
      <c r="H133" s="9" t="s">
        <v>31</v>
      </c>
      <c r="I133" s="9" t="s">
        <v>17</v>
      </c>
      <c r="J133" s="9">
        <v>3</v>
      </c>
      <c r="K133" s="9" t="s">
        <v>26</v>
      </c>
      <c r="L133" s="9" t="s">
        <v>19</v>
      </c>
      <c r="M133" s="9">
        <v>56</v>
      </c>
      <c r="N133" s="9" t="str" cm="1">
        <f t="array" ref="N133">_xlfn.IFS(
M133&lt;=12,"Children",
M133&lt;=19,"Teens",
M133&lt;=29,"Young Adults",
M133&lt;=39,"Adults",
M133&lt;=59,"Middle-Aged",
M133&gt;=60,"Seniors"
)</f>
        <v>Middle-Aged</v>
      </c>
      <c r="O133" s="9" t="s">
        <v>17</v>
      </c>
      <c r="P133" s="9">
        <f t="shared" si="4"/>
        <v>1</v>
      </c>
      <c r="Q133" s="9">
        <v>1</v>
      </c>
      <c r="R133" s="10">
        <f t="shared" si="5"/>
        <v>90000</v>
      </c>
    </row>
    <row r="134" spans="1:18" x14ac:dyDescent="0.3">
      <c r="A134" s="9">
        <v>19477</v>
      </c>
      <c r="B134" s="9" t="s">
        <v>37</v>
      </c>
      <c r="C134" s="9" t="s">
        <v>39</v>
      </c>
      <c r="D134" s="10">
        <v>40000</v>
      </c>
      <c r="E134" s="9" t="str" cm="1">
        <f t="array" ref="E134">_xlfn.IFS(D134&lt;= 60000, "Low Income",
D134&lt;=120000,"Medium Income",
D134&gt; 120000,"High Income"
)</f>
        <v>Low Income</v>
      </c>
      <c r="F134" s="9">
        <v>0</v>
      </c>
      <c r="G134" s="9" t="s">
        <v>15</v>
      </c>
      <c r="H134" s="9" t="s">
        <v>23</v>
      </c>
      <c r="I134" s="9" t="s">
        <v>17</v>
      </c>
      <c r="J134" s="9">
        <v>0</v>
      </c>
      <c r="K134" s="9" t="s">
        <v>18</v>
      </c>
      <c r="L134" s="9" t="s">
        <v>19</v>
      </c>
      <c r="M134" s="9">
        <v>40</v>
      </c>
      <c r="N134" s="9" t="str" cm="1">
        <f t="array" ref="N134">_xlfn.IFS(
M134&lt;=12,"Children",
M134&lt;=19,"Teens",
M134&lt;=29,"Young Adults",
M134&lt;=39,"Adults",
M134&lt;=59,"Middle-Aged",
M134&gt;=60,"Seniors"
)</f>
        <v>Middle-Aged</v>
      </c>
      <c r="O134" s="9" t="s">
        <v>17</v>
      </c>
      <c r="P134" s="9">
        <f t="shared" si="4"/>
        <v>1</v>
      </c>
      <c r="Q134" s="9">
        <v>1</v>
      </c>
      <c r="R134" s="10">
        <f t="shared" si="5"/>
        <v>40000</v>
      </c>
    </row>
    <row r="135" spans="1:18" x14ac:dyDescent="0.3">
      <c r="A135" s="9">
        <v>26796</v>
      </c>
      <c r="B135" s="9" t="s">
        <v>40</v>
      </c>
      <c r="C135" s="9" t="s">
        <v>39</v>
      </c>
      <c r="D135" s="10">
        <v>40000</v>
      </c>
      <c r="E135" s="9" t="str" cm="1">
        <f t="array" ref="E135">_xlfn.IFS(D135&lt;= 60000, "Low Income",
D135&lt;=120000,"Medium Income",
D135&gt; 120000,"High Income"
)</f>
        <v>Low Income</v>
      </c>
      <c r="F135" s="9">
        <v>2</v>
      </c>
      <c r="G135" s="9" t="s">
        <v>15</v>
      </c>
      <c r="H135" s="9" t="s">
        <v>31</v>
      </c>
      <c r="I135" s="9" t="s">
        <v>17</v>
      </c>
      <c r="J135" s="9">
        <v>2</v>
      </c>
      <c r="K135" s="9" t="s">
        <v>26</v>
      </c>
      <c r="L135" s="9" t="s">
        <v>27</v>
      </c>
      <c r="M135" s="9">
        <v>65</v>
      </c>
      <c r="N135" s="9" t="str" cm="1">
        <f t="array" ref="N135">_xlfn.IFS(
M135&lt;=12,"Children",
M135&lt;=19,"Teens",
M135&lt;=29,"Young Adults",
M135&lt;=39,"Adults",
M135&lt;=59,"Middle-Aged",
M135&gt;=60,"Seniors"
)</f>
        <v>Seniors</v>
      </c>
      <c r="O135" s="9" t="s">
        <v>17</v>
      </c>
      <c r="P135" s="9">
        <f t="shared" si="4"/>
        <v>1</v>
      </c>
      <c r="Q135" s="9">
        <v>1</v>
      </c>
      <c r="R135" s="10">
        <f t="shared" si="5"/>
        <v>40000</v>
      </c>
    </row>
    <row r="136" spans="1:18" x14ac:dyDescent="0.3">
      <c r="A136" s="9">
        <v>21094</v>
      </c>
      <c r="B136" s="9" t="s">
        <v>40</v>
      </c>
      <c r="C136" s="9" t="s">
        <v>38</v>
      </c>
      <c r="D136" s="10">
        <v>30000</v>
      </c>
      <c r="E136" s="9" t="str" cm="1">
        <f t="array" ref="E136">_xlfn.IFS(D136&lt;= 60000, "Low Income",
D136&lt;=120000,"Medium Income",
D136&gt; 120000,"High Income"
)</f>
        <v>Low Income</v>
      </c>
      <c r="F136" s="9">
        <v>2</v>
      </c>
      <c r="G136" s="9" t="s">
        <v>21</v>
      </c>
      <c r="H136" s="9" t="s">
        <v>22</v>
      </c>
      <c r="I136" s="9" t="s">
        <v>17</v>
      </c>
      <c r="J136" s="9">
        <v>2</v>
      </c>
      <c r="K136" s="9" t="s">
        <v>18</v>
      </c>
      <c r="L136" s="9" t="s">
        <v>19</v>
      </c>
      <c r="M136" s="9">
        <v>42</v>
      </c>
      <c r="N136" s="9" t="str" cm="1">
        <f t="array" ref="N136">_xlfn.IFS(
M136&lt;=12,"Children",
M136&lt;=19,"Teens",
M136&lt;=29,"Young Adults",
M136&lt;=39,"Adults",
M136&lt;=59,"Middle-Aged",
M136&gt;=60,"Seniors"
)</f>
        <v>Middle-Aged</v>
      </c>
      <c r="O136" s="9" t="s">
        <v>20</v>
      </c>
      <c r="P136" s="9">
        <f t="shared" si="4"/>
        <v>0</v>
      </c>
      <c r="Q136" s="9">
        <v>1</v>
      </c>
      <c r="R136" s="10">
        <f t="shared" si="5"/>
        <v>0</v>
      </c>
    </row>
    <row r="137" spans="1:18" x14ac:dyDescent="0.3">
      <c r="A137" s="9">
        <v>12234</v>
      </c>
      <c r="B137" s="9" t="s">
        <v>37</v>
      </c>
      <c r="C137" s="9" t="s">
        <v>39</v>
      </c>
      <c r="D137" s="10">
        <v>10000</v>
      </c>
      <c r="E137" s="9" t="str" cm="1">
        <f t="array" ref="E137">_xlfn.IFS(D137&lt;= 60000, "Low Income",
D137&lt;=120000,"Medium Income",
D137&gt; 120000,"High Income"
)</f>
        <v>Low Income</v>
      </c>
      <c r="F137" s="9">
        <v>2</v>
      </c>
      <c r="G137" s="9" t="s">
        <v>21</v>
      </c>
      <c r="H137" s="9" t="s">
        <v>28</v>
      </c>
      <c r="I137" s="9" t="s">
        <v>17</v>
      </c>
      <c r="J137" s="9">
        <v>1</v>
      </c>
      <c r="K137" s="9" t="s">
        <v>24</v>
      </c>
      <c r="L137" s="9" t="s">
        <v>19</v>
      </c>
      <c r="M137" s="9">
        <v>52</v>
      </c>
      <c r="N137" s="9" t="str" cm="1">
        <f t="array" ref="N137">_xlfn.IFS(
M137&lt;=12,"Children",
M137&lt;=19,"Teens",
M137&lt;=29,"Young Adults",
M137&lt;=39,"Adults",
M137&lt;=59,"Middle-Aged",
M137&gt;=60,"Seniors"
)</f>
        <v>Middle-Aged</v>
      </c>
      <c r="O137" s="9" t="s">
        <v>20</v>
      </c>
      <c r="P137" s="9">
        <f t="shared" si="4"/>
        <v>0</v>
      </c>
      <c r="Q137" s="9">
        <v>1</v>
      </c>
      <c r="R137" s="10">
        <f t="shared" si="5"/>
        <v>0</v>
      </c>
    </row>
    <row r="138" spans="1:18" x14ac:dyDescent="0.3">
      <c r="A138" s="9">
        <v>28683</v>
      </c>
      <c r="B138" s="9" t="s">
        <v>40</v>
      </c>
      <c r="C138" s="9" t="s">
        <v>38</v>
      </c>
      <c r="D138" s="10">
        <v>10000</v>
      </c>
      <c r="E138" s="9" t="str" cm="1">
        <f t="array" ref="E138">_xlfn.IFS(D138&lt;= 60000, "Low Income",
D138&lt;=120000,"Medium Income",
D138&gt; 120000,"High Income"
)</f>
        <v>Low Income</v>
      </c>
      <c r="F138" s="9">
        <v>1</v>
      </c>
      <c r="G138" s="9" t="s">
        <v>30</v>
      </c>
      <c r="H138" s="9" t="s">
        <v>28</v>
      </c>
      <c r="I138" s="9" t="s">
        <v>20</v>
      </c>
      <c r="J138" s="9">
        <v>1</v>
      </c>
      <c r="K138" s="9" t="s">
        <v>26</v>
      </c>
      <c r="L138" s="9" t="s">
        <v>19</v>
      </c>
      <c r="M138" s="9">
        <v>35</v>
      </c>
      <c r="N138" s="9" t="str" cm="1">
        <f t="array" ref="N138">_xlfn.IFS(
M138&lt;=12,"Children",
M138&lt;=19,"Teens",
M138&lt;=29,"Young Adults",
M138&lt;=39,"Adults",
M138&lt;=59,"Middle-Aged",
M138&gt;=60,"Seniors"
)</f>
        <v>Adults</v>
      </c>
      <c r="O138" s="9" t="s">
        <v>17</v>
      </c>
      <c r="P138" s="9">
        <f t="shared" si="4"/>
        <v>1</v>
      </c>
      <c r="Q138" s="9">
        <v>1</v>
      </c>
      <c r="R138" s="10">
        <f t="shared" si="5"/>
        <v>10000</v>
      </c>
    </row>
    <row r="139" spans="1:18" x14ac:dyDescent="0.3">
      <c r="A139" s="9">
        <v>17994</v>
      </c>
      <c r="B139" s="9" t="s">
        <v>40</v>
      </c>
      <c r="C139" s="9" t="s">
        <v>39</v>
      </c>
      <c r="D139" s="10">
        <v>20000</v>
      </c>
      <c r="E139" s="9" t="str" cm="1">
        <f t="array" ref="E139">_xlfn.IFS(D139&lt;= 60000, "Low Income",
D139&lt;=120000,"Medium Income",
D139&gt; 120000,"High Income"
)</f>
        <v>Low Income</v>
      </c>
      <c r="F139" s="9">
        <v>2</v>
      </c>
      <c r="G139" s="9" t="s">
        <v>30</v>
      </c>
      <c r="H139" s="9" t="s">
        <v>28</v>
      </c>
      <c r="I139" s="9" t="s">
        <v>17</v>
      </c>
      <c r="J139" s="9">
        <v>2</v>
      </c>
      <c r="K139" s="9" t="s">
        <v>18</v>
      </c>
      <c r="L139" s="9" t="s">
        <v>19</v>
      </c>
      <c r="M139" s="9">
        <v>42</v>
      </c>
      <c r="N139" s="9" t="str" cm="1">
        <f t="array" ref="N139">_xlfn.IFS(
M139&lt;=12,"Children",
M139&lt;=19,"Teens",
M139&lt;=29,"Young Adults",
M139&lt;=39,"Adults",
M139&lt;=59,"Middle-Aged",
M139&gt;=60,"Seniors"
)</f>
        <v>Middle-Aged</v>
      </c>
      <c r="O139" s="9" t="s">
        <v>20</v>
      </c>
      <c r="P139" s="9">
        <f t="shared" si="4"/>
        <v>0</v>
      </c>
      <c r="Q139" s="9">
        <v>1</v>
      </c>
      <c r="R139" s="10">
        <f t="shared" si="5"/>
        <v>0</v>
      </c>
    </row>
    <row r="140" spans="1:18" x14ac:dyDescent="0.3">
      <c r="A140" s="9">
        <v>24273</v>
      </c>
      <c r="B140" s="9" t="s">
        <v>37</v>
      </c>
      <c r="C140" s="9" t="s">
        <v>38</v>
      </c>
      <c r="D140" s="10">
        <v>20000</v>
      </c>
      <c r="E140" s="9" t="str" cm="1">
        <f t="array" ref="E140">_xlfn.IFS(D140&lt;= 60000, "Low Income",
D140&lt;=120000,"Medium Income",
D140&gt; 120000,"High Income"
)</f>
        <v>Low Income</v>
      </c>
      <c r="F140" s="9">
        <v>2</v>
      </c>
      <c r="G140" s="9" t="s">
        <v>32</v>
      </c>
      <c r="H140" s="9" t="s">
        <v>22</v>
      </c>
      <c r="I140" s="9" t="s">
        <v>17</v>
      </c>
      <c r="J140" s="9">
        <v>2</v>
      </c>
      <c r="K140" s="9" t="s">
        <v>26</v>
      </c>
      <c r="L140" s="9" t="s">
        <v>27</v>
      </c>
      <c r="M140" s="9">
        <v>55</v>
      </c>
      <c r="N140" s="9" t="str" cm="1">
        <f t="array" ref="N140">_xlfn.IFS(
M140&lt;=12,"Children",
M140&lt;=19,"Teens",
M140&lt;=29,"Young Adults",
M140&lt;=39,"Adults",
M140&lt;=59,"Middle-Aged",
M140&gt;=60,"Seniors"
)</f>
        <v>Middle-Aged</v>
      </c>
      <c r="O140" s="9" t="s">
        <v>17</v>
      </c>
      <c r="P140" s="9">
        <f t="shared" si="4"/>
        <v>1</v>
      </c>
      <c r="Q140" s="9">
        <v>1</v>
      </c>
      <c r="R140" s="10">
        <f t="shared" si="5"/>
        <v>20000</v>
      </c>
    </row>
    <row r="141" spans="1:18" x14ac:dyDescent="0.3">
      <c r="A141" s="9">
        <v>26547</v>
      </c>
      <c r="B141" s="9" t="s">
        <v>40</v>
      </c>
      <c r="C141" s="9" t="s">
        <v>38</v>
      </c>
      <c r="D141" s="10">
        <v>30000</v>
      </c>
      <c r="E141" s="9" t="str" cm="1">
        <f t="array" ref="E141">_xlfn.IFS(D141&lt;= 60000, "Low Income",
D141&lt;=120000,"Medium Income",
D141&gt; 120000,"High Income"
)</f>
        <v>Low Income</v>
      </c>
      <c r="F141" s="9">
        <v>2</v>
      </c>
      <c r="G141" s="9" t="s">
        <v>21</v>
      </c>
      <c r="H141" s="9" t="s">
        <v>22</v>
      </c>
      <c r="I141" s="9" t="s">
        <v>20</v>
      </c>
      <c r="J141" s="9">
        <v>2</v>
      </c>
      <c r="K141" s="9" t="s">
        <v>26</v>
      </c>
      <c r="L141" s="9" t="s">
        <v>27</v>
      </c>
      <c r="M141" s="9">
        <v>60</v>
      </c>
      <c r="N141" s="9" t="str" cm="1">
        <f t="array" ref="N141">_xlfn.IFS(
M141&lt;=12,"Children",
M141&lt;=19,"Teens",
M141&lt;=29,"Young Adults",
M141&lt;=39,"Adults",
M141&lt;=59,"Middle-Aged",
M141&gt;=60,"Seniors"
)</f>
        <v>Seniors</v>
      </c>
      <c r="O141" s="9" t="s">
        <v>17</v>
      </c>
      <c r="P141" s="9">
        <f t="shared" si="4"/>
        <v>1</v>
      </c>
      <c r="Q141" s="9">
        <v>1</v>
      </c>
      <c r="R141" s="10">
        <f t="shared" si="5"/>
        <v>30000</v>
      </c>
    </row>
    <row r="142" spans="1:18" x14ac:dyDescent="0.3">
      <c r="A142" s="9">
        <v>22500</v>
      </c>
      <c r="B142" s="9" t="s">
        <v>40</v>
      </c>
      <c r="C142" s="9" t="s">
        <v>39</v>
      </c>
      <c r="D142" s="10">
        <v>40000</v>
      </c>
      <c r="E142" s="9" t="str" cm="1">
        <f t="array" ref="E142">_xlfn.IFS(D142&lt;= 60000, "Low Income",
D142&lt;=120000,"Medium Income",
D142&gt; 120000,"High Income"
)</f>
        <v>Low Income</v>
      </c>
      <c r="F142" s="9">
        <v>0</v>
      </c>
      <c r="G142" s="9" t="s">
        <v>15</v>
      </c>
      <c r="H142" s="9" t="s">
        <v>23</v>
      </c>
      <c r="I142" s="9" t="s">
        <v>20</v>
      </c>
      <c r="J142" s="9">
        <v>0</v>
      </c>
      <c r="K142" s="9" t="s">
        <v>18</v>
      </c>
      <c r="L142" s="9" t="s">
        <v>19</v>
      </c>
      <c r="M142" s="9">
        <v>40</v>
      </c>
      <c r="N142" s="9" t="str" cm="1">
        <f t="array" ref="N142">_xlfn.IFS(
M142&lt;=12,"Children",
M142&lt;=19,"Teens",
M142&lt;=29,"Young Adults",
M142&lt;=39,"Adults",
M142&lt;=59,"Middle-Aged",
M142&gt;=60,"Seniors"
)</f>
        <v>Middle-Aged</v>
      </c>
      <c r="O142" s="9" t="s">
        <v>17</v>
      </c>
      <c r="P142" s="9">
        <f t="shared" si="4"/>
        <v>1</v>
      </c>
      <c r="Q142" s="9">
        <v>1</v>
      </c>
      <c r="R142" s="10">
        <f t="shared" si="5"/>
        <v>40000</v>
      </c>
    </row>
    <row r="143" spans="1:18" x14ac:dyDescent="0.3">
      <c r="A143" s="9">
        <v>23993</v>
      </c>
      <c r="B143" s="9" t="s">
        <v>40</v>
      </c>
      <c r="C143" s="9" t="s">
        <v>38</v>
      </c>
      <c r="D143" s="10">
        <v>10000</v>
      </c>
      <c r="E143" s="9" t="str" cm="1">
        <f t="array" ref="E143">_xlfn.IFS(D143&lt;= 60000, "Low Income",
D143&lt;=120000,"Medium Income",
D143&gt; 120000,"High Income"
)</f>
        <v>Low Income</v>
      </c>
      <c r="F143" s="9">
        <v>0</v>
      </c>
      <c r="G143" s="9" t="s">
        <v>21</v>
      </c>
      <c r="H143" s="9" t="s">
        <v>28</v>
      </c>
      <c r="I143" s="9" t="s">
        <v>20</v>
      </c>
      <c r="J143" s="9">
        <v>1</v>
      </c>
      <c r="K143" s="9" t="s">
        <v>18</v>
      </c>
      <c r="L143" s="9" t="s">
        <v>27</v>
      </c>
      <c r="M143" s="9">
        <v>26</v>
      </c>
      <c r="N143" s="9" t="str" cm="1">
        <f t="array" ref="N143">_xlfn.IFS(
M143&lt;=12,"Children",
M143&lt;=19,"Teens",
M143&lt;=29,"Young Adults",
M143&lt;=39,"Adults",
M143&lt;=59,"Middle-Aged",
M143&gt;=60,"Seniors"
)</f>
        <v>Young Adults</v>
      </c>
      <c r="O143" s="9" t="s">
        <v>17</v>
      </c>
      <c r="P143" s="9">
        <f t="shared" si="4"/>
        <v>1</v>
      </c>
      <c r="Q143" s="9">
        <v>1</v>
      </c>
      <c r="R143" s="10">
        <f t="shared" si="5"/>
        <v>10000</v>
      </c>
    </row>
    <row r="144" spans="1:18" x14ac:dyDescent="0.3">
      <c r="A144" s="9">
        <v>14832</v>
      </c>
      <c r="B144" s="9" t="s">
        <v>37</v>
      </c>
      <c r="C144" s="9" t="s">
        <v>39</v>
      </c>
      <c r="D144" s="10">
        <v>40000</v>
      </c>
      <c r="E144" s="9" t="str" cm="1">
        <f t="array" ref="E144">_xlfn.IFS(D144&lt;= 60000, "Low Income",
D144&lt;=120000,"Medium Income",
D144&gt; 120000,"High Income"
)</f>
        <v>Low Income</v>
      </c>
      <c r="F144" s="9">
        <v>1</v>
      </c>
      <c r="G144" s="9" t="s">
        <v>15</v>
      </c>
      <c r="H144" s="9" t="s">
        <v>16</v>
      </c>
      <c r="I144" s="9" t="s">
        <v>17</v>
      </c>
      <c r="J144" s="9">
        <v>0</v>
      </c>
      <c r="K144" s="9" t="s">
        <v>18</v>
      </c>
      <c r="L144" s="9" t="s">
        <v>19</v>
      </c>
      <c r="M144" s="9">
        <v>42</v>
      </c>
      <c r="N144" s="9" t="str" cm="1">
        <f t="array" ref="N144">_xlfn.IFS(
M144&lt;=12,"Children",
M144&lt;=19,"Teens",
M144&lt;=29,"Young Adults",
M144&lt;=39,"Adults",
M144&lt;=59,"Middle-Aged",
M144&gt;=60,"Seniors"
)</f>
        <v>Middle-Aged</v>
      </c>
      <c r="O144" s="9" t="s">
        <v>17</v>
      </c>
      <c r="P144" s="9">
        <f t="shared" si="4"/>
        <v>1</v>
      </c>
      <c r="Q144" s="9">
        <v>1</v>
      </c>
      <c r="R144" s="10">
        <f t="shared" si="5"/>
        <v>40000</v>
      </c>
    </row>
    <row r="145" spans="1:18" x14ac:dyDescent="0.3">
      <c r="A145" s="9">
        <v>16614</v>
      </c>
      <c r="B145" s="9" t="s">
        <v>37</v>
      </c>
      <c r="C145" s="9" t="s">
        <v>38</v>
      </c>
      <c r="D145" s="10">
        <v>80000</v>
      </c>
      <c r="E145" s="9" t="str" cm="1">
        <f t="array" ref="E145">_xlfn.IFS(D145&lt;= 60000, "Low Income",
D145&lt;=120000,"Medium Income",
D145&gt; 120000,"High Income"
)</f>
        <v>Medium Income</v>
      </c>
      <c r="F145" s="9">
        <v>0</v>
      </c>
      <c r="G145" s="9" t="s">
        <v>15</v>
      </c>
      <c r="H145" s="9" t="s">
        <v>23</v>
      </c>
      <c r="I145" s="9" t="s">
        <v>17</v>
      </c>
      <c r="J145" s="9">
        <v>3</v>
      </c>
      <c r="K145" s="9" t="s">
        <v>41</v>
      </c>
      <c r="L145" s="9" t="s">
        <v>27</v>
      </c>
      <c r="M145" s="9">
        <v>32</v>
      </c>
      <c r="N145" s="9" t="str" cm="1">
        <f t="array" ref="N145">_xlfn.IFS(
M145&lt;=12,"Children",
M145&lt;=19,"Teens",
M145&lt;=29,"Young Adults",
M145&lt;=39,"Adults",
M145&lt;=59,"Middle-Aged",
M145&gt;=60,"Seniors"
)</f>
        <v>Adults</v>
      </c>
      <c r="O145" s="9" t="s">
        <v>20</v>
      </c>
      <c r="P145" s="9">
        <f t="shared" si="4"/>
        <v>0</v>
      </c>
      <c r="Q145" s="9">
        <v>1</v>
      </c>
      <c r="R145" s="10">
        <f t="shared" si="5"/>
        <v>0</v>
      </c>
    </row>
    <row r="146" spans="1:18" x14ac:dyDescent="0.3">
      <c r="A146" s="9">
        <v>20877</v>
      </c>
      <c r="B146" s="9" t="s">
        <v>40</v>
      </c>
      <c r="C146" s="9" t="s">
        <v>39</v>
      </c>
      <c r="D146" s="10">
        <v>30000</v>
      </c>
      <c r="E146" s="9" t="str" cm="1">
        <f t="array" ref="E146">_xlfn.IFS(D146&lt;= 60000, "Low Income",
D146&lt;=120000,"Medium Income",
D146&gt; 120000,"High Income"
)</f>
        <v>Low Income</v>
      </c>
      <c r="F146" s="9">
        <v>1</v>
      </c>
      <c r="G146" s="9" t="s">
        <v>15</v>
      </c>
      <c r="H146" s="9" t="s">
        <v>22</v>
      </c>
      <c r="I146" s="9" t="s">
        <v>17</v>
      </c>
      <c r="J146" s="9">
        <v>0</v>
      </c>
      <c r="K146" s="9" t="s">
        <v>29</v>
      </c>
      <c r="L146" s="9" t="s">
        <v>19</v>
      </c>
      <c r="M146" s="9">
        <v>37</v>
      </c>
      <c r="N146" s="9" t="str" cm="1">
        <f t="array" ref="N146">_xlfn.IFS(
M146&lt;=12,"Children",
M146&lt;=19,"Teens",
M146&lt;=29,"Young Adults",
M146&lt;=39,"Adults",
M146&lt;=59,"Middle-Aged",
M146&gt;=60,"Seniors"
)</f>
        <v>Adults</v>
      </c>
      <c r="O146" s="9" t="s">
        <v>17</v>
      </c>
      <c r="P146" s="9">
        <f t="shared" si="4"/>
        <v>1</v>
      </c>
      <c r="Q146" s="9">
        <v>1</v>
      </c>
      <c r="R146" s="10">
        <f t="shared" si="5"/>
        <v>30000</v>
      </c>
    </row>
    <row r="147" spans="1:18" x14ac:dyDescent="0.3">
      <c r="A147" s="9">
        <v>20729</v>
      </c>
      <c r="B147" s="9" t="s">
        <v>37</v>
      </c>
      <c r="C147" s="9" t="s">
        <v>38</v>
      </c>
      <c r="D147" s="10">
        <v>40000</v>
      </c>
      <c r="E147" s="9" t="str" cm="1">
        <f t="array" ref="E147">_xlfn.IFS(D147&lt;= 60000, "Low Income",
D147&lt;=120000,"Medium Income",
D147&gt; 120000,"High Income"
)</f>
        <v>Low Income</v>
      </c>
      <c r="F147" s="9">
        <v>2</v>
      </c>
      <c r="G147" s="9" t="s">
        <v>21</v>
      </c>
      <c r="H147" s="9" t="s">
        <v>22</v>
      </c>
      <c r="I147" s="9" t="s">
        <v>20</v>
      </c>
      <c r="J147" s="9">
        <v>1</v>
      </c>
      <c r="K147" s="9" t="s">
        <v>18</v>
      </c>
      <c r="L147" s="9" t="s">
        <v>19</v>
      </c>
      <c r="M147" s="9">
        <v>34</v>
      </c>
      <c r="N147" s="9" t="str" cm="1">
        <f t="array" ref="N147">_xlfn.IFS(
M147&lt;=12,"Children",
M147&lt;=19,"Teens",
M147&lt;=29,"Young Adults",
M147&lt;=39,"Adults",
M147&lt;=59,"Middle-Aged",
M147&gt;=60,"Seniors"
)</f>
        <v>Adults</v>
      </c>
      <c r="O147" s="9" t="s">
        <v>20</v>
      </c>
      <c r="P147" s="9">
        <f t="shared" si="4"/>
        <v>0</v>
      </c>
      <c r="Q147" s="9">
        <v>1</v>
      </c>
      <c r="R147" s="10">
        <f t="shared" si="5"/>
        <v>0</v>
      </c>
    </row>
    <row r="148" spans="1:18" x14ac:dyDescent="0.3">
      <c r="A148" s="9">
        <v>22464</v>
      </c>
      <c r="B148" s="9" t="s">
        <v>37</v>
      </c>
      <c r="C148" s="9" t="s">
        <v>39</v>
      </c>
      <c r="D148" s="10">
        <v>40000</v>
      </c>
      <c r="E148" s="9" t="str" cm="1">
        <f t="array" ref="E148">_xlfn.IFS(D148&lt;= 60000, "Low Income",
D148&lt;=120000,"Medium Income",
D148&gt; 120000,"High Income"
)</f>
        <v>Low Income</v>
      </c>
      <c r="F148" s="9">
        <v>0</v>
      </c>
      <c r="G148" s="9" t="s">
        <v>34</v>
      </c>
      <c r="H148" s="9" t="s">
        <v>22</v>
      </c>
      <c r="I148" s="9" t="s">
        <v>17</v>
      </c>
      <c r="J148" s="9">
        <v>0</v>
      </c>
      <c r="K148" s="9" t="s">
        <v>18</v>
      </c>
      <c r="L148" s="9" t="s">
        <v>19</v>
      </c>
      <c r="M148" s="9">
        <v>37</v>
      </c>
      <c r="N148" s="9" t="str" cm="1">
        <f t="array" ref="N148">_xlfn.IFS(
M148&lt;=12,"Children",
M148&lt;=19,"Teens",
M148&lt;=29,"Young Adults",
M148&lt;=39,"Adults",
M148&lt;=59,"Middle-Aged",
M148&gt;=60,"Seniors"
)</f>
        <v>Adults</v>
      </c>
      <c r="O148" s="9" t="s">
        <v>17</v>
      </c>
      <c r="P148" s="9">
        <f t="shared" si="4"/>
        <v>1</v>
      </c>
      <c r="Q148" s="9">
        <v>1</v>
      </c>
      <c r="R148" s="10">
        <f t="shared" si="5"/>
        <v>40000</v>
      </c>
    </row>
    <row r="149" spans="1:18" x14ac:dyDescent="0.3">
      <c r="A149" s="9">
        <v>19475</v>
      </c>
      <c r="B149" s="9" t="s">
        <v>37</v>
      </c>
      <c r="C149" s="9" t="s">
        <v>38</v>
      </c>
      <c r="D149" s="10">
        <v>40000</v>
      </c>
      <c r="E149" s="9" t="str" cm="1">
        <f t="array" ref="E149">_xlfn.IFS(D149&lt;= 60000, "Low Income",
D149&lt;=120000,"Medium Income",
D149&gt; 120000,"High Income"
)</f>
        <v>Low Income</v>
      </c>
      <c r="F149" s="9">
        <v>0</v>
      </c>
      <c r="G149" s="9" t="s">
        <v>15</v>
      </c>
      <c r="H149" s="9" t="s">
        <v>23</v>
      </c>
      <c r="I149" s="9" t="s">
        <v>20</v>
      </c>
      <c r="J149" s="9">
        <v>0</v>
      </c>
      <c r="K149" s="9" t="s">
        <v>18</v>
      </c>
      <c r="L149" s="9" t="s">
        <v>19</v>
      </c>
      <c r="M149" s="9">
        <v>40</v>
      </c>
      <c r="N149" s="9" t="str" cm="1">
        <f t="array" ref="N149">_xlfn.IFS(
M149&lt;=12,"Children",
M149&lt;=19,"Teens",
M149&lt;=29,"Young Adults",
M149&lt;=39,"Adults",
M149&lt;=59,"Middle-Aged",
M149&gt;=60,"Seniors"
)</f>
        <v>Middle-Aged</v>
      </c>
      <c r="O149" s="9" t="s">
        <v>17</v>
      </c>
      <c r="P149" s="9">
        <f t="shared" si="4"/>
        <v>1</v>
      </c>
      <c r="Q149" s="9">
        <v>1</v>
      </c>
      <c r="R149" s="10">
        <f t="shared" si="5"/>
        <v>40000</v>
      </c>
    </row>
    <row r="150" spans="1:18" x14ac:dyDescent="0.3">
      <c r="A150" s="9">
        <v>19675</v>
      </c>
      <c r="B150" s="9" t="s">
        <v>37</v>
      </c>
      <c r="C150" s="9" t="s">
        <v>39</v>
      </c>
      <c r="D150" s="10">
        <v>20000</v>
      </c>
      <c r="E150" s="9" t="str" cm="1">
        <f t="array" ref="E150">_xlfn.IFS(D150&lt;= 60000, "Low Income",
D150&lt;=120000,"Medium Income",
D150&gt; 120000,"High Income"
)</f>
        <v>Low Income</v>
      </c>
      <c r="F150" s="9">
        <v>4</v>
      </c>
      <c r="G150" s="9" t="s">
        <v>30</v>
      </c>
      <c r="H150" s="9" t="s">
        <v>16</v>
      </c>
      <c r="I150" s="9" t="s">
        <v>17</v>
      </c>
      <c r="J150" s="9">
        <v>2</v>
      </c>
      <c r="K150" s="9" t="s">
        <v>26</v>
      </c>
      <c r="L150" s="9" t="s">
        <v>27</v>
      </c>
      <c r="M150" s="9">
        <v>60</v>
      </c>
      <c r="N150" s="9" t="str" cm="1">
        <f t="array" ref="N150">_xlfn.IFS(
M150&lt;=12,"Children",
M150&lt;=19,"Teens",
M150&lt;=29,"Young Adults",
M150&lt;=39,"Adults",
M150&lt;=59,"Middle-Aged",
M150&gt;=60,"Seniors"
)</f>
        <v>Seniors</v>
      </c>
      <c r="O150" s="9" t="s">
        <v>20</v>
      </c>
      <c r="P150" s="9">
        <f t="shared" si="4"/>
        <v>0</v>
      </c>
      <c r="Q150" s="9">
        <v>1</v>
      </c>
      <c r="R150" s="10">
        <f t="shared" si="5"/>
        <v>0</v>
      </c>
    </row>
    <row r="151" spans="1:18" x14ac:dyDescent="0.3">
      <c r="A151" s="9">
        <v>12728</v>
      </c>
      <c r="B151" s="9" t="s">
        <v>40</v>
      </c>
      <c r="C151" s="9" t="s">
        <v>39</v>
      </c>
      <c r="D151" s="10">
        <v>30000</v>
      </c>
      <c r="E151" s="9" t="str" cm="1">
        <f t="array" ref="E151">_xlfn.IFS(D151&lt;= 60000, "Low Income",
D151&lt;=120000,"Medium Income",
D151&gt; 120000,"High Income"
)</f>
        <v>Low Income</v>
      </c>
      <c r="F151" s="9">
        <v>0</v>
      </c>
      <c r="G151" s="9" t="s">
        <v>21</v>
      </c>
      <c r="H151" s="9" t="s">
        <v>22</v>
      </c>
      <c r="I151" s="9" t="s">
        <v>20</v>
      </c>
      <c r="J151" s="9">
        <v>1</v>
      </c>
      <c r="K151" s="9" t="s">
        <v>29</v>
      </c>
      <c r="L151" s="9" t="s">
        <v>19</v>
      </c>
      <c r="M151" s="9">
        <v>27</v>
      </c>
      <c r="N151" s="9" t="str" cm="1">
        <f t="array" ref="N151">_xlfn.IFS(
M151&lt;=12,"Children",
M151&lt;=19,"Teens",
M151&lt;=29,"Young Adults",
M151&lt;=39,"Adults",
M151&lt;=59,"Middle-Aged",
M151&gt;=60,"Seniors"
)</f>
        <v>Young Adults</v>
      </c>
      <c r="O151" s="9" t="s">
        <v>20</v>
      </c>
      <c r="P151" s="9">
        <f t="shared" si="4"/>
        <v>0</v>
      </c>
      <c r="Q151" s="9">
        <v>1</v>
      </c>
      <c r="R151" s="10">
        <f t="shared" si="5"/>
        <v>0</v>
      </c>
    </row>
    <row r="152" spans="1:18" x14ac:dyDescent="0.3">
      <c r="A152" s="9">
        <v>26154</v>
      </c>
      <c r="B152" s="9" t="s">
        <v>37</v>
      </c>
      <c r="C152" s="9" t="s">
        <v>39</v>
      </c>
      <c r="D152" s="10">
        <v>60000</v>
      </c>
      <c r="E152" s="9" t="str" cm="1">
        <f t="array" ref="E152">_xlfn.IFS(D152&lt;= 60000, "Low Income",
D152&lt;=120000,"Medium Income",
D152&gt; 120000,"High Income"
)</f>
        <v>Low Income</v>
      </c>
      <c r="F152" s="9">
        <v>1</v>
      </c>
      <c r="G152" s="9" t="s">
        <v>21</v>
      </c>
      <c r="H152" s="9" t="s">
        <v>16</v>
      </c>
      <c r="I152" s="9" t="s">
        <v>17</v>
      </c>
      <c r="J152" s="9">
        <v>1</v>
      </c>
      <c r="K152" s="9" t="s">
        <v>26</v>
      </c>
      <c r="L152" s="9" t="s">
        <v>27</v>
      </c>
      <c r="M152" s="9">
        <v>43</v>
      </c>
      <c r="N152" s="9" t="str" cm="1">
        <f t="array" ref="N152">_xlfn.IFS(
M152&lt;=12,"Children",
M152&lt;=19,"Teens",
M152&lt;=29,"Young Adults",
M152&lt;=39,"Adults",
M152&lt;=59,"Middle-Aged",
M152&gt;=60,"Seniors"
)</f>
        <v>Middle-Aged</v>
      </c>
      <c r="O152" s="9" t="s">
        <v>17</v>
      </c>
      <c r="P152" s="9">
        <f t="shared" si="4"/>
        <v>1</v>
      </c>
      <c r="Q152" s="9">
        <v>1</v>
      </c>
      <c r="R152" s="10">
        <f t="shared" si="5"/>
        <v>60000</v>
      </c>
    </row>
    <row r="153" spans="1:18" x14ac:dyDescent="0.3">
      <c r="A153" s="9">
        <v>29117</v>
      </c>
      <c r="B153" s="9" t="s">
        <v>40</v>
      </c>
      <c r="C153" s="9" t="s">
        <v>39</v>
      </c>
      <c r="D153" s="10">
        <v>100000</v>
      </c>
      <c r="E153" s="9" t="str" cm="1">
        <f t="array" ref="E153">_xlfn.IFS(D153&lt;= 60000, "Low Income",
D153&lt;=120000,"Medium Income",
D153&gt; 120000,"High Income"
)</f>
        <v>Medium Income</v>
      </c>
      <c r="F153" s="9">
        <v>1</v>
      </c>
      <c r="G153" s="9" t="s">
        <v>15</v>
      </c>
      <c r="H153" s="9" t="s">
        <v>31</v>
      </c>
      <c r="I153" s="9" t="s">
        <v>20</v>
      </c>
      <c r="J153" s="9">
        <v>3</v>
      </c>
      <c r="K153" s="9" t="s">
        <v>18</v>
      </c>
      <c r="L153" s="9" t="s">
        <v>27</v>
      </c>
      <c r="M153" s="9">
        <v>48</v>
      </c>
      <c r="N153" s="9" t="str" cm="1">
        <f t="array" ref="N153">_xlfn.IFS(
M153&lt;=12,"Children",
M153&lt;=19,"Teens",
M153&lt;=29,"Young Adults",
M153&lt;=39,"Adults",
M153&lt;=59,"Middle-Aged",
M153&gt;=60,"Seniors"
)</f>
        <v>Middle-Aged</v>
      </c>
      <c r="O153" s="9" t="s">
        <v>20</v>
      </c>
      <c r="P153" s="9">
        <f t="shared" si="4"/>
        <v>0</v>
      </c>
      <c r="Q153" s="9">
        <v>1</v>
      </c>
      <c r="R153" s="10">
        <f t="shared" si="5"/>
        <v>0</v>
      </c>
    </row>
    <row r="154" spans="1:18" x14ac:dyDescent="0.3">
      <c r="A154" s="9">
        <v>17845</v>
      </c>
      <c r="B154" s="9" t="s">
        <v>40</v>
      </c>
      <c r="C154" s="9" t="s">
        <v>38</v>
      </c>
      <c r="D154" s="10">
        <v>20000</v>
      </c>
      <c r="E154" s="9" t="str" cm="1">
        <f t="array" ref="E154">_xlfn.IFS(D154&lt;= 60000, "Low Income",
D154&lt;=120000,"Medium Income",
D154&gt; 120000,"High Income"
)</f>
        <v>Low Income</v>
      </c>
      <c r="F154" s="9">
        <v>0</v>
      </c>
      <c r="G154" s="9" t="s">
        <v>32</v>
      </c>
      <c r="H154" s="9" t="s">
        <v>28</v>
      </c>
      <c r="I154" s="9" t="s">
        <v>20</v>
      </c>
      <c r="J154" s="9">
        <v>2</v>
      </c>
      <c r="K154" s="9" t="s">
        <v>29</v>
      </c>
      <c r="L154" s="9" t="s">
        <v>19</v>
      </c>
      <c r="M154" s="9">
        <v>32</v>
      </c>
      <c r="N154" s="9" t="str" cm="1">
        <f t="array" ref="N154">_xlfn.IFS(
M154&lt;=12,"Children",
M154&lt;=19,"Teens",
M154&lt;=29,"Young Adults",
M154&lt;=39,"Adults",
M154&lt;=59,"Middle-Aged",
M154&gt;=60,"Seniors"
)</f>
        <v>Adults</v>
      </c>
      <c r="O154" s="9" t="s">
        <v>20</v>
      </c>
      <c r="P154" s="9">
        <f t="shared" si="4"/>
        <v>0</v>
      </c>
      <c r="Q154" s="9">
        <v>1</v>
      </c>
      <c r="R154" s="10">
        <f t="shared" si="5"/>
        <v>0</v>
      </c>
    </row>
    <row r="155" spans="1:18" x14ac:dyDescent="0.3">
      <c r="A155" s="9">
        <v>25058</v>
      </c>
      <c r="B155" s="9" t="s">
        <v>37</v>
      </c>
      <c r="C155" s="9" t="s">
        <v>39</v>
      </c>
      <c r="D155" s="10">
        <v>100000</v>
      </c>
      <c r="E155" s="9" t="str" cm="1">
        <f t="array" ref="E155">_xlfn.IFS(D155&lt;= 60000, "Low Income",
D155&lt;=120000,"Medium Income",
D155&gt; 120000,"High Income"
)</f>
        <v>Medium Income</v>
      </c>
      <c r="F155" s="9">
        <v>1</v>
      </c>
      <c r="G155" s="9" t="s">
        <v>15</v>
      </c>
      <c r="H155" s="9" t="s">
        <v>31</v>
      </c>
      <c r="I155" s="9" t="s">
        <v>17</v>
      </c>
      <c r="J155" s="9">
        <v>3</v>
      </c>
      <c r="K155" s="9" t="s">
        <v>24</v>
      </c>
      <c r="L155" s="9" t="s">
        <v>27</v>
      </c>
      <c r="M155" s="9">
        <v>47</v>
      </c>
      <c r="N155" s="9" t="str" cm="1">
        <f t="array" ref="N155">_xlfn.IFS(
M155&lt;=12,"Children",
M155&lt;=19,"Teens",
M155&lt;=29,"Young Adults",
M155&lt;=39,"Adults",
M155&lt;=59,"Middle-Aged",
M155&gt;=60,"Seniors"
)</f>
        <v>Middle-Aged</v>
      </c>
      <c r="O155" s="9" t="s">
        <v>20</v>
      </c>
      <c r="P155" s="9">
        <f t="shared" si="4"/>
        <v>0</v>
      </c>
      <c r="Q155" s="9">
        <v>1</v>
      </c>
      <c r="R155" s="10">
        <f t="shared" si="5"/>
        <v>0</v>
      </c>
    </row>
    <row r="156" spans="1:18" x14ac:dyDescent="0.3">
      <c r="A156" s="9">
        <v>23426</v>
      </c>
      <c r="B156" s="9" t="s">
        <v>40</v>
      </c>
      <c r="C156" s="9" t="s">
        <v>39</v>
      </c>
      <c r="D156" s="10">
        <v>80000</v>
      </c>
      <c r="E156" s="9" t="str" cm="1">
        <f t="array" ref="E156">_xlfn.IFS(D156&lt;= 60000, "Low Income",
D156&lt;=120000,"Medium Income",
D156&gt; 120000,"High Income"
)</f>
        <v>Medium Income</v>
      </c>
      <c r="F156" s="9">
        <v>5</v>
      </c>
      <c r="G156" s="9" t="s">
        <v>34</v>
      </c>
      <c r="H156" s="9" t="s">
        <v>31</v>
      </c>
      <c r="I156" s="9" t="s">
        <v>17</v>
      </c>
      <c r="J156" s="9">
        <v>3</v>
      </c>
      <c r="K156" s="9" t="s">
        <v>18</v>
      </c>
      <c r="L156" s="9" t="s">
        <v>27</v>
      </c>
      <c r="M156" s="9">
        <v>40</v>
      </c>
      <c r="N156" s="9" t="str" cm="1">
        <f t="array" ref="N156">_xlfn.IFS(
M156&lt;=12,"Children",
M156&lt;=19,"Teens",
M156&lt;=29,"Young Adults",
M156&lt;=39,"Adults",
M156&lt;=59,"Middle-Aged",
M156&gt;=60,"Seniors"
)</f>
        <v>Middle-Aged</v>
      </c>
      <c r="O156" s="9" t="s">
        <v>20</v>
      </c>
      <c r="P156" s="9">
        <f t="shared" si="4"/>
        <v>0</v>
      </c>
      <c r="Q156" s="9">
        <v>1</v>
      </c>
      <c r="R156" s="10">
        <f t="shared" si="5"/>
        <v>0</v>
      </c>
    </row>
    <row r="157" spans="1:18" x14ac:dyDescent="0.3">
      <c r="A157" s="9">
        <v>14798</v>
      </c>
      <c r="B157" s="9" t="s">
        <v>40</v>
      </c>
      <c r="C157" s="9" t="s">
        <v>38</v>
      </c>
      <c r="D157" s="10">
        <v>10000</v>
      </c>
      <c r="E157" s="9" t="str" cm="1">
        <f t="array" ref="E157">_xlfn.IFS(D157&lt;= 60000, "Low Income",
D157&lt;=120000,"Medium Income",
D157&gt; 120000,"High Income"
)</f>
        <v>Low Income</v>
      </c>
      <c r="F157" s="9">
        <v>4</v>
      </c>
      <c r="G157" s="9" t="s">
        <v>32</v>
      </c>
      <c r="H157" s="9" t="s">
        <v>28</v>
      </c>
      <c r="I157" s="9" t="s">
        <v>17</v>
      </c>
      <c r="J157" s="9">
        <v>2</v>
      </c>
      <c r="K157" s="9" t="s">
        <v>18</v>
      </c>
      <c r="L157" s="9" t="s">
        <v>19</v>
      </c>
      <c r="M157" s="9">
        <v>41</v>
      </c>
      <c r="N157" s="9" t="str" cm="1">
        <f t="array" ref="N157">_xlfn.IFS(
M157&lt;=12,"Children",
M157&lt;=19,"Teens",
M157&lt;=29,"Young Adults",
M157&lt;=39,"Adults",
M157&lt;=59,"Middle-Aged",
M157&gt;=60,"Seniors"
)</f>
        <v>Middle-Aged</v>
      </c>
      <c r="O157" s="9" t="s">
        <v>17</v>
      </c>
      <c r="P157" s="9">
        <f t="shared" si="4"/>
        <v>1</v>
      </c>
      <c r="Q157" s="9">
        <v>1</v>
      </c>
      <c r="R157" s="10">
        <f t="shared" si="5"/>
        <v>10000</v>
      </c>
    </row>
    <row r="158" spans="1:18" x14ac:dyDescent="0.3">
      <c r="A158" s="9">
        <v>12664</v>
      </c>
      <c r="B158" s="9" t="s">
        <v>37</v>
      </c>
      <c r="C158" s="9" t="s">
        <v>38</v>
      </c>
      <c r="D158" s="10">
        <v>130000</v>
      </c>
      <c r="E158" s="9" t="str" cm="1">
        <f t="array" ref="E158">_xlfn.IFS(D158&lt;= 60000, "Low Income",
D158&lt;=120000,"Medium Income",
D158&gt; 120000,"High Income"
)</f>
        <v>High Income</v>
      </c>
      <c r="F158" s="9">
        <v>5</v>
      </c>
      <c r="G158" s="9" t="s">
        <v>21</v>
      </c>
      <c r="H158" s="9" t="s">
        <v>23</v>
      </c>
      <c r="I158" s="9" t="s">
        <v>17</v>
      </c>
      <c r="J158" s="9">
        <v>4</v>
      </c>
      <c r="K158" s="9" t="s">
        <v>18</v>
      </c>
      <c r="L158" s="9" t="s">
        <v>19</v>
      </c>
      <c r="M158" s="9">
        <v>59</v>
      </c>
      <c r="N158" s="9" t="str" cm="1">
        <f t="array" ref="N158">_xlfn.IFS(
M158&lt;=12,"Children",
M158&lt;=19,"Teens",
M158&lt;=29,"Young Adults",
M158&lt;=39,"Adults",
M158&lt;=59,"Middle-Aged",
M158&gt;=60,"Seniors"
)</f>
        <v>Middle-Aged</v>
      </c>
      <c r="O158" s="9" t="s">
        <v>20</v>
      </c>
      <c r="P158" s="9">
        <f t="shared" si="4"/>
        <v>0</v>
      </c>
      <c r="Q158" s="9">
        <v>1</v>
      </c>
      <c r="R158" s="10">
        <f t="shared" si="5"/>
        <v>0</v>
      </c>
    </row>
    <row r="159" spans="1:18" x14ac:dyDescent="0.3">
      <c r="A159" s="9">
        <v>23979</v>
      </c>
      <c r="B159" s="9" t="s">
        <v>40</v>
      </c>
      <c r="C159" s="9" t="s">
        <v>39</v>
      </c>
      <c r="D159" s="10">
        <v>10000</v>
      </c>
      <c r="E159" s="9" t="str" cm="1">
        <f t="array" ref="E159">_xlfn.IFS(D159&lt;= 60000, "Low Income",
D159&lt;=120000,"Medium Income",
D159&gt; 120000,"High Income"
)</f>
        <v>Low Income</v>
      </c>
      <c r="F159" s="9">
        <v>2</v>
      </c>
      <c r="G159" s="9" t="s">
        <v>21</v>
      </c>
      <c r="H159" s="9" t="s">
        <v>28</v>
      </c>
      <c r="I159" s="9" t="s">
        <v>20</v>
      </c>
      <c r="J159" s="9">
        <v>0</v>
      </c>
      <c r="K159" s="9" t="s">
        <v>18</v>
      </c>
      <c r="L159" s="9" t="s">
        <v>19</v>
      </c>
      <c r="M159" s="9">
        <v>50</v>
      </c>
      <c r="N159" s="9" t="str" cm="1">
        <f t="array" ref="N159">_xlfn.IFS(
M159&lt;=12,"Children",
M159&lt;=19,"Teens",
M159&lt;=29,"Young Adults",
M159&lt;=39,"Adults",
M159&lt;=59,"Middle-Aged",
M159&gt;=60,"Seniors"
)</f>
        <v>Middle-Aged</v>
      </c>
      <c r="O159" s="9" t="s">
        <v>20</v>
      </c>
      <c r="P159" s="9">
        <f t="shared" si="4"/>
        <v>0</v>
      </c>
      <c r="Q159" s="9">
        <v>1</v>
      </c>
      <c r="R159" s="10">
        <f t="shared" si="5"/>
        <v>0</v>
      </c>
    </row>
    <row r="160" spans="1:18" x14ac:dyDescent="0.3">
      <c r="A160" s="9">
        <v>25605</v>
      </c>
      <c r="B160" s="9" t="s">
        <v>40</v>
      </c>
      <c r="C160" s="9" t="s">
        <v>38</v>
      </c>
      <c r="D160" s="10">
        <v>20000</v>
      </c>
      <c r="E160" s="9" t="str" cm="1">
        <f t="array" ref="E160">_xlfn.IFS(D160&lt;= 60000, "Low Income",
D160&lt;=120000,"Medium Income",
D160&gt; 120000,"High Income"
)</f>
        <v>Low Income</v>
      </c>
      <c r="F160" s="9">
        <v>2</v>
      </c>
      <c r="G160" s="9" t="s">
        <v>21</v>
      </c>
      <c r="H160" s="9" t="s">
        <v>28</v>
      </c>
      <c r="I160" s="9" t="s">
        <v>20</v>
      </c>
      <c r="J160" s="9">
        <v>1</v>
      </c>
      <c r="K160" s="9" t="s">
        <v>18</v>
      </c>
      <c r="L160" s="9" t="s">
        <v>19</v>
      </c>
      <c r="M160" s="9">
        <v>54</v>
      </c>
      <c r="N160" s="9" t="str" cm="1">
        <f t="array" ref="N160">_xlfn.IFS(
M160&lt;=12,"Children",
M160&lt;=19,"Teens",
M160&lt;=29,"Young Adults",
M160&lt;=39,"Adults",
M160&lt;=59,"Middle-Aged",
M160&gt;=60,"Seniors"
)</f>
        <v>Middle-Aged</v>
      </c>
      <c r="O160" s="9" t="s">
        <v>17</v>
      </c>
      <c r="P160" s="9">
        <f t="shared" si="4"/>
        <v>1</v>
      </c>
      <c r="Q160" s="9">
        <v>1</v>
      </c>
      <c r="R160" s="10">
        <f t="shared" si="5"/>
        <v>20000</v>
      </c>
    </row>
    <row r="161" spans="1:18" x14ac:dyDescent="0.3">
      <c r="A161" s="9">
        <v>20797</v>
      </c>
      <c r="B161" s="9" t="s">
        <v>37</v>
      </c>
      <c r="C161" s="9" t="s">
        <v>38</v>
      </c>
      <c r="D161" s="10">
        <v>10000</v>
      </c>
      <c r="E161" s="9" t="str" cm="1">
        <f t="array" ref="E161">_xlfn.IFS(D161&lt;= 60000, "Low Income",
D161&lt;=120000,"Medium Income",
D161&gt; 120000,"High Income"
)</f>
        <v>Low Income</v>
      </c>
      <c r="F161" s="9">
        <v>1</v>
      </c>
      <c r="G161" s="9" t="s">
        <v>15</v>
      </c>
      <c r="H161" s="9" t="s">
        <v>28</v>
      </c>
      <c r="I161" s="9" t="s">
        <v>17</v>
      </c>
      <c r="J161" s="9">
        <v>0</v>
      </c>
      <c r="K161" s="9" t="s">
        <v>18</v>
      </c>
      <c r="L161" s="9" t="s">
        <v>19</v>
      </c>
      <c r="M161" s="9">
        <v>48</v>
      </c>
      <c r="N161" s="9" t="str" cm="1">
        <f t="array" ref="N161">_xlfn.IFS(
M161&lt;=12,"Children",
M161&lt;=19,"Teens",
M161&lt;=29,"Young Adults",
M161&lt;=39,"Adults",
M161&lt;=59,"Middle-Aged",
M161&gt;=60,"Seniors"
)</f>
        <v>Middle-Aged</v>
      </c>
      <c r="O161" s="9" t="s">
        <v>20</v>
      </c>
      <c r="P161" s="9">
        <f t="shared" si="4"/>
        <v>0</v>
      </c>
      <c r="Q161" s="9">
        <v>1</v>
      </c>
      <c r="R161" s="10">
        <f t="shared" si="5"/>
        <v>0</v>
      </c>
    </row>
    <row r="162" spans="1:18" x14ac:dyDescent="0.3">
      <c r="A162" s="9">
        <v>21980</v>
      </c>
      <c r="B162" s="9" t="s">
        <v>40</v>
      </c>
      <c r="C162" s="9" t="s">
        <v>38</v>
      </c>
      <c r="D162" s="10">
        <v>60000</v>
      </c>
      <c r="E162" s="9" t="str" cm="1">
        <f t="array" ref="E162">_xlfn.IFS(D162&lt;= 60000, "Low Income",
D162&lt;=120000,"Medium Income",
D162&gt; 120000,"High Income"
)</f>
        <v>Low Income</v>
      </c>
      <c r="F162" s="9">
        <v>1</v>
      </c>
      <c r="G162" s="9" t="s">
        <v>15</v>
      </c>
      <c r="H162" s="9" t="s">
        <v>23</v>
      </c>
      <c r="I162" s="9" t="s">
        <v>17</v>
      </c>
      <c r="J162" s="9">
        <v>1</v>
      </c>
      <c r="K162" s="9" t="s">
        <v>26</v>
      </c>
      <c r="L162" s="9" t="s">
        <v>27</v>
      </c>
      <c r="M162" s="9">
        <v>44</v>
      </c>
      <c r="N162" s="9" t="str" cm="1">
        <f t="array" ref="N162">_xlfn.IFS(
M162&lt;=12,"Children",
M162&lt;=19,"Teens",
M162&lt;=29,"Young Adults",
M162&lt;=39,"Adults",
M162&lt;=59,"Middle-Aged",
M162&gt;=60,"Seniors"
)</f>
        <v>Middle-Aged</v>
      </c>
      <c r="O162" s="9" t="s">
        <v>17</v>
      </c>
      <c r="P162" s="9">
        <f t="shared" si="4"/>
        <v>1</v>
      </c>
      <c r="Q162" s="9">
        <v>1</v>
      </c>
      <c r="R162" s="10">
        <f t="shared" si="5"/>
        <v>60000</v>
      </c>
    </row>
    <row r="163" spans="1:18" x14ac:dyDescent="0.3">
      <c r="A163" s="9">
        <v>25460</v>
      </c>
      <c r="B163" s="9" t="s">
        <v>37</v>
      </c>
      <c r="C163" s="9" t="s">
        <v>38</v>
      </c>
      <c r="D163" s="10">
        <v>20000</v>
      </c>
      <c r="E163" s="9" t="str" cm="1">
        <f t="array" ref="E163">_xlfn.IFS(D163&lt;= 60000, "Low Income",
D163&lt;=120000,"Medium Income",
D163&gt; 120000,"High Income"
)</f>
        <v>Low Income</v>
      </c>
      <c r="F163" s="9">
        <v>2</v>
      </c>
      <c r="G163" s="9" t="s">
        <v>30</v>
      </c>
      <c r="H163" s="9" t="s">
        <v>28</v>
      </c>
      <c r="I163" s="9" t="s">
        <v>17</v>
      </c>
      <c r="J163" s="9">
        <v>0</v>
      </c>
      <c r="K163" s="9" t="s">
        <v>18</v>
      </c>
      <c r="L163" s="9" t="s">
        <v>19</v>
      </c>
      <c r="M163" s="9">
        <v>40</v>
      </c>
      <c r="N163" s="9" t="str" cm="1">
        <f t="array" ref="N163">_xlfn.IFS(
M163&lt;=12,"Children",
M163&lt;=19,"Teens",
M163&lt;=29,"Young Adults",
M163&lt;=39,"Adults",
M163&lt;=59,"Middle-Aged",
M163&gt;=60,"Seniors"
)</f>
        <v>Middle-Aged</v>
      </c>
      <c r="O163" s="9" t="s">
        <v>17</v>
      </c>
      <c r="P163" s="9">
        <f t="shared" si="4"/>
        <v>1</v>
      </c>
      <c r="Q163" s="9">
        <v>1</v>
      </c>
      <c r="R163" s="10">
        <f t="shared" si="5"/>
        <v>20000</v>
      </c>
    </row>
    <row r="164" spans="1:18" x14ac:dyDescent="0.3">
      <c r="A164" s="9">
        <v>29181</v>
      </c>
      <c r="B164" s="9" t="s">
        <v>40</v>
      </c>
      <c r="C164" s="9" t="s">
        <v>38</v>
      </c>
      <c r="D164" s="10">
        <v>60000</v>
      </c>
      <c r="E164" s="9" t="str" cm="1">
        <f t="array" ref="E164">_xlfn.IFS(D164&lt;= 60000, "Low Income",
D164&lt;=120000,"Medium Income",
D164&gt; 120000,"High Income"
)</f>
        <v>Low Income</v>
      </c>
      <c r="F164" s="9">
        <v>2</v>
      </c>
      <c r="G164" s="9" t="s">
        <v>15</v>
      </c>
      <c r="H164" s="9" t="s">
        <v>23</v>
      </c>
      <c r="I164" s="9" t="s">
        <v>20</v>
      </c>
      <c r="J164" s="9">
        <v>1</v>
      </c>
      <c r="K164" s="9" t="s">
        <v>18</v>
      </c>
      <c r="L164" s="9" t="s">
        <v>27</v>
      </c>
      <c r="M164" s="9">
        <v>38</v>
      </c>
      <c r="N164" s="9" t="str" cm="1">
        <f t="array" ref="N164">_xlfn.IFS(
M164&lt;=12,"Children",
M164&lt;=19,"Teens",
M164&lt;=29,"Young Adults",
M164&lt;=39,"Adults",
M164&lt;=59,"Middle-Aged",
M164&gt;=60,"Seniors"
)</f>
        <v>Adults</v>
      </c>
      <c r="O164" s="9" t="s">
        <v>17</v>
      </c>
      <c r="P164" s="9">
        <f t="shared" si="4"/>
        <v>1</v>
      </c>
      <c r="Q164" s="9">
        <v>1</v>
      </c>
      <c r="R164" s="10">
        <f t="shared" si="5"/>
        <v>60000</v>
      </c>
    </row>
    <row r="165" spans="1:18" x14ac:dyDescent="0.3">
      <c r="A165" s="9">
        <v>24279</v>
      </c>
      <c r="B165" s="9" t="s">
        <v>40</v>
      </c>
      <c r="C165" s="9" t="s">
        <v>39</v>
      </c>
      <c r="D165" s="10">
        <v>40000</v>
      </c>
      <c r="E165" s="9" t="str" cm="1">
        <f t="array" ref="E165">_xlfn.IFS(D165&lt;= 60000, "Low Income",
D165&lt;=120000,"Medium Income",
D165&gt; 120000,"High Income"
)</f>
        <v>Low Income</v>
      </c>
      <c r="F165" s="9">
        <v>2</v>
      </c>
      <c r="G165" s="9" t="s">
        <v>21</v>
      </c>
      <c r="H165" s="9" t="s">
        <v>16</v>
      </c>
      <c r="I165" s="9" t="s">
        <v>20</v>
      </c>
      <c r="J165" s="9">
        <v>2</v>
      </c>
      <c r="K165" s="9" t="s">
        <v>29</v>
      </c>
      <c r="L165" s="9" t="s">
        <v>27</v>
      </c>
      <c r="M165" s="9">
        <v>52</v>
      </c>
      <c r="N165" s="9" t="str" cm="1">
        <f t="array" ref="N165">_xlfn.IFS(
M165&lt;=12,"Children",
M165&lt;=19,"Teens",
M165&lt;=29,"Young Adults",
M165&lt;=39,"Adults",
M165&lt;=59,"Middle-Aged",
M165&gt;=60,"Seniors"
)</f>
        <v>Middle-Aged</v>
      </c>
      <c r="O165" s="9" t="s">
        <v>20</v>
      </c>
      <c r="P165" s="9">
        <f t="shared" si="4"/>
        <v>0</v>
      </c>
      <c r="Q165" s="9">
        <v>1</v>
      </c>
      <c r="R165" s="10">
        <f t="shared" si="5"/>
        <v>0</v>
      </c>
    </row>
    <row r="166" spans="1:18" x14ac:dyDescent="0.3">
      <c r="A166" s="9">
        <v>22402</v>
      </c>
      <c r="B166" s="9" t="s">
        <v>37</v>
      </c>
      <c r="C166" s="9" t="s">
        <v>39</v>
      </c>
      <c r="D166" s="10">
        <v>10000</v>
      </c>
      <c r="E166" s="9" t="str" cm="1">
        <f t="array" ref="E166">_xlfn.IFS(D166&lt;= 60000, "Low Income",
D166&lt;=120000,"Medium Income",
D166&gt; 120000,"High Income"
)</f>
        <v>Low Income</v>
      </c>
      <c r="F166" s="9">
        <v>0</v>
      </c>
      <c r="G166" s="9" t="s">
        <v>21</v>
      </c>
      <c r="H166" s="9" t="s">
        <v>28</v>
      </c>
      <c r="I166" s="9" t="s">
        <v>17</v>
      </c>
      <c r="J166" s="9">
        <v>1</v>
      </c>
      <c r="K166" s="9" t="s">
        <v>24</v>
      </c>
      <c r="L166" s="9" t="s">
        <v>27</v>
      </c>
      <c r="M166" s="9">
        <v>25</v>
      </c>
      <c r="N166" s="9" t="str" cm="1">
        <f t="array" ref="N166">_xlfn.IFS(
M166&lt;=12,"Children",
M166&lt;=19,"Teens",
M166&lt;=29,"Young Adults",
M166&lt;=39,"Adults",
M166&lt;=59,"Middle-Aged",
M166&gt;=60,"Seniors"
)</f>
        <v>Young Adults</v>
      </c>
      <c r="O166" s="9" t="s">
        <v>17</v>
      </c>
      <c r="P166" s="9">
        <f t="shared" si="4"/>
        <v>1</v>
      </c>
      <c r="Q166" s="9">
        <v>1</v>
      </c>
      <c r="R166" s="10">
        <f t="shared" si="5"/>
        <v>10000</v>
      </c>
    </row>
    <row r="167" spans="1:18" x14ac:dyDescent="0.3">
      <c r="A167" s="9">
        <v>15465</v>
      </c>
      <c r="B167" s="9" t="s">
        <v>37</v>
      </c>
      <c r="C167" s="9" t="s">
        <v>38</v>
      </c>
      <c r="D167" s="10">
        <v>10000</v>
      </c>
      <c r="E167" s="9" t="str" cm="1">
        <f t="array" ref="E167">_xlfn.IFS(D167&lt;= 60000, "Low Income",
D167&lt;=120000,"Medium Income",
D167&gt; 120000,"High Income"
)</f>
        <v>Low Income</v>
      </c>
      <c r="F167" s="9">
        <v>0</v>
      </c>
      <c r="G167" s="9" t="s">
        <v>21</v>
      </c>
      <c r="H167" s="9" t="s">
        <v>28</v>
      </c>
      <c r="I167" s="9" t="s">
        <v>20</v>
      </c>
      <c r="J167" s="9">
        <v>1</v>
      </c>
      <c r="K167" s="9" t="s">
        <v>18</v>
      </c>
      <c r="L167" s="9" t="s">
        <v>27</v>
      </c>
      <c r="M167" s="9">
        <v>25</v>
      </c>
      <c r="N167" s="9" t="str" cm="1">
        <f t="array" ref="N167">_xlfn.IFS(
M167&lt;=12,"Children",
M167&lt;=19,"Teens",
M167&lt;=29,"Young Adults",
M167&lt;=39,"Adults",
M167&lt;=59,"Middle-Aged",
M167&gt;=60,"Seniors"
)</f>
        <v>Young Adults</v>
      </c>
      <c r="O167" s="9" t="s">
        <v>20</v>
      </c>
      <c r="P167" s="9">
        <f t="shared" si="4"/>
        <v>0</v>
      </c>
      <c r="Q167" s="9">
        <v>1</v>
      </c>
      <c r="R167" s="10">
        <f t="shared" si="5"/>
        <v>0</v>
      </c>
    </row>
    <row r="168" spans="1:18" x14ac:dyDescent="0.3">
      <c r="A168" s="9">
        <v>26757</v>
      </c>
      <c r="B168" s="9" t="s">
        <v>40</v>
      </c>
      <c r="C168" s="9" t="s">
        <v>39</v>
      </c>
      <c r="D168" s="10">
        <v>90000</v>
      </c>
      <c r="E168" s="9" t="str" cm="1">
        <f t="array" ref="E168">_xlfn.IFS(D168&lt;= 60000, "Low Income",
D168&lt;=120000,"Medium Income",
D168&gt; 120000,"High Income"
)</f>
        <v>Medium Income</v>
      </c>
      <c r="F168" s="9">
        <v>1</v>
      </c>
      <c r="G168" s="9" t="s">
        <v>15</v>
      </c>
      <c r="H168" s="9" t="s">
        <v>23</v>
      </c>
      <c r="I168" s="9" t="s">
        <v>17</v>
      </c>
      <c r="J168" s="9">
        <v>1</v>
      </c>
      <c r="K168" s="9" t="s">
        <v>24</v>
      </c>
      <c r="L168" s="9" t="s">
        <v>27</v>
      </c>
      <c r="M168" s="9">
        <v>47</v>
      </c>
      <c r="N168" s="9" t="str" cm="1">
        <f t="array" ref="N168">_xlfn.IFS(
M168&lt;=12,"Children",
M168&lt;=19,"Teens",
M168&lt;=29,"Young Adults",
M168&lt;=39,"Adults",
M168&lt;=59,"Middle-Aged",
M168&gt;=60,"Seniors"
)</f>
        <v>Middle-Aged</v>
      </c>
      <c r="O168" s="9" t="s">
        <v>17</v>
      </c>
      <c r="P168" s="9">
        <f t="shared" si="4"/>
        <v>1</v>
      </c>
      <c r="Q168" s="9">
        <v>1</v>
      </c>
      <c r="R168" s="10">
        <f t="shared" si="5"/>
        <v>90000</v>
      </c>
    </row>
    <row r="169" spans="1:18" x14ac:dyDescent="0.3">
      <c r="A169" s="9">
        <v>14233</v>
      </c>
      <c r="B169" s="9" t="s">
        <v>40</v>
      </c>
      <c r="C169" s="9" t="s">
        <v>39</v>
      </c>
      <c r="D169" s="10">
        <v>100000</v>
      </c>
      <c r="E169" s="9" t="str" cm="1">
        <f t="array" ref="E169">_xlfn.IFS(D169&lt;= 60000, "Low Income",
D169&lt;=120000,"Medium Income",
D169&gt; 120000,"High Income"
)</f>
        <v>Medium Income</v>
      </c>
      <c r="F169" s="9">
        <v>0</v>
      </c>
      <c r="G169" s="9" t="s">
        <v>30</v>
      </c>
      <c r="H169" s="9" t="s">
        <v>31</v>
      </c>
      <c r="I169" s="9" t="s">
        <v>17</v>
      </c>
      <c r="J169" s="9">
        <v>3</v>
      </c>
      <c r="K169" s="9" t="s">
        <v>41</v>
      </c>
      <c r="L169" s="9" t="s">
        <v>27</v>
      </c>
      <c r="M169" s="9">
        <v>35</v>
      </c>
      <c r="N169" s="9" t="str" cm="1">
        <f t="array" ref="N169">_xlfn.IFS(
M169&lt;=12,"Children",
M169&lt;=19,"Teens",
M169&lt;=29,"Young Adults",
M169&lt;=39,"Adults",
M169&lt;=59,"Middle-Aged",
M169&gt;=60,"Seniors"
)</f>
        <v>Adults</v>
      </c>
      <c r="O169" s="9" t="s">
        <v>20</v>
      </c>
      <c r="P169" s="9">
        <f t="shared" si="4"/>
        <v>0</v>
      </c>
      <c r="Q169" s="9">
        <v>1</v>
      </c>
      <c r="R169" s="10">
        <f t="shared" si="5"/>
        <v>0</v>
      </c>
    </row>
    <row r="170" spans="1:18" x14ac:dyDescent="0.3">
      <c r="A170" s="9">
        <v>14058</v>
      </c>
      <c r="B170" s="9" t="s">
        <v>40</v>
      </c>
      <c r="C170" s="9" t="s">
        <v>39</v>
      </c>
      <c r="D170" s="10">
        <v>70000</v>
      </c>
      <c r="E170" s="9" t="str" cm="1">
        <f t="array" ref="E170">_xlfn.IFS(D170&lt;= 60000, "Low Income",
D170&lt;=120000,"Medium Income",
D170&gt; 120000,"High Income"
)</f>
        <v>Medium Income</v>
      </c>
      <c r="F170" s="9">
        <v>0</v>
      </c>
      <c r="G170" s="9" t="s">
        <v>15</v>
      </c>
      <c r="H170" s="9" t="s">
        <v>23</v>
      </c>
      <c r="I170" s="9" t="s">
        <v>20</v>
      </c>
      <c r="J170" s="9">
        <v>1</v>
      </c>
      <c r="K170" s="9" t="s">
        <v>26</v>
      </c>
      <c r="L170" s="9" t="s">
        <v>27</v>
      </c>
      <c r="M170" s="9">
        <v>41</v>
      </c>
      <c r="N170" s="9" t="str" cm="1">
        <f t="array" ref="N170">_xlfn.IFS(
M170&lt;=12,"Children",
M170&lt;=19,"Teens",
M170&lt;=29,"Young Adults",
M170&lt;=39,"Adults",
M170&lt;=59,"Middle-Aged",
M170&gt;=60,"Seniors"
)</f>
        <v>Middle-Aged</v>
      </c>
      <c r="O170" s="9" t="s">
        <v>17</v>
      </c>
      <c r="P170" s="9">
        <f t="shared" si="4"/>
        <v>1</v>
      </c>
      <c r="Q170" s="9">
        <v>1</v>
      </c>
      <c r="R170" s="10">
        <f t="shared" si="5"/>
        <v>70000</v>
      </c>
    </row>
    <row r="171" spans="1:18" x14ac:dyDescent="0.3">
      <c r="A171" s="9">
        <v>12273</v>
      </c>
      <c r="B171" s="9" t="s">
        <v>37</v>
      </c>
      <c r="C171" s="9" t="s">
        <v>39</v>
      </c>
      <c r="D171" s="10">
        <v>30000</v>
      </c>
      <c r="E171" s="9" t="str" cm="1">
        <f t="array" ref="E171">_xlfn.IFS(D171&lt;= 60000, "Low Income",
D171&lt;=120000,"Medium Income",
D171&gt; 120000,"High Income"
)</f>
        <v>Low Income</v>
      </c>
      <c r="F171" s="9">
        <v>1</v>
      </c>
      <c r="G171" s="9" t="s">
        <v>15</v>
      </c>
      <c r="H171" s="9" t="s">
        <v>22</v>
      </c>
      <c r="I171" s="9" t="s">
        <v>17</v>
      </c>
      <c r="J171" s="9">
        <v>0</v>
      </c>
      <c r="K171" s="9" t="s">
        <v>18</v>
      </c>
      <c r="L171" s="9" t="s">
        <v>19</v>
      </c>
      <c r="M171" s="9">
        <v>47</v>
      </c>
      <c r="N171" s="9" t="str" cm="1">
        <f t="array" ref="N171">_xlfn.IFS(
M171&lt;=12,"Children",
M171&lt;=19,"Teens",
M171&lt;=29,"Young Adults",
M171&lt;=39,"Adults",
M171&lt;=59,"Middle-Aged",
M171&gt;=60,"Seniors"
)</f>
        <v>Middle-Aged</v>
      </c>
      <c r="O171" s="9" t="s">
        <v>20</v>
      </c>
      <c r="P171" s="9">
        <f t="shared" si="4"/>
        <v>0</v>
      </c>
      <c r="Q171" s="9">
        <v>1</v>
      </c>
      <c r="R171" s="10">
        <f t="shared" si="5"/>
        <v>0</v>
      </c>
    </row>
    <row r="172" spans="1:18" x14ac:dyDescent="0.3">
      <c r="A172" s="9">
        <v>17203</v>
      </c>
      <c r="B172" s="9" t="s">
        <v>37</v>
      </c>
      <c r="C172" s="9" t="s">
        <v>38</v>
      </c>
      <c r="D172" s="10">
        <v>130000</v>
      </c>
      <c r="E172" s="9" t="str" cm="1">
        <f t="array" ref="E172">_xlfn.IFS(D172&lt;= 60000, "Low Income",
D172&lt;=120000,"Medium Income",
D172&gt; 120000,"High Income"
)</f>
        <v>High Income</v>
      </c>
      <c r="F172" s="9">
        <v>4</v>
      </c>
      <c r="G172" s="9" t="s">
        <v>21</v>
      </c>
      <c r="H172" s="9" t="s">
        <v>23</v>
      </c>
      <c r="I172" s="9" t="s">
        <v>17</v>
      </c>
      <c r="J172" s="9">
        <v>4</v>
      </c>
      <c r="K172" s="9" t="s">
        <v>26</v>
      </c>
      <c r="L172" s="9" t="s">
        <v>19</v>
      </c>
      <c r="M172" s="9">
        <v>61</v>
      </c>
      <c r="N172" s="9" t="str" cm="1">
        <f t="array" ref="N172">_xlfn.IFS(
M172&lt;=12,"Children",
M172&lt;=19,"Teens",
M172&lt;=29,"Young Adults",
M172&lt;=39,"Adults",
M172&lt;=59,"Middle-Aged",
M172&gt;=60,"Seniors"
)</f>
        <v>Seniors</v>
      </c>
      <c r="O172" s="9" t="s">
        <v>17</v>
      </c>
      <c r="P172" s="9">
        <f t="shared" si="4"/>
        <v>1</v>
      </c>
      <c r="Q172" s="9">
        <v>1</v>
      </c>
      <c r="R172" s="10">
        <f t="shared" si="5"/>
        <v>130000</v>
      </c>
    </row>
    <row r="173" spans="1:18" x14ac:dyDescent="0.3">
      <c r="A173" s="9">
        <v>18144</v>
      </c>
      <c r="B173" s="9" t="s">
        <v>37</v>
      </c>
      <c r="C173" s="9" t="s">
        <v>38</v>
      </c>
      <c r="D173" s="10">
        <v>80000</v>
      </c>
      <c r="E173" s="9" t="str" cm="1">
        <f t="array" ref="E173">_xlfn.IFS(D173&lt;= 60000, "Low Income",
D173&lt;=120000,"Medium Income",
D173&gt; 120000,"High Income"
)</f>
        <v>Medium Income</v>
      </c>
      <c r="F173" s="9">
        <v>5</v>
      </c>
      <c r="G173" s="9" t="s">
        <v>15</v>
      </c>
      <c r="H173" s="9" t="s">
        <v>31</v>
      </c>
      <c r="I173" s="9" t="s">
        <v>17</v>
      </c>
      <c r="J173" s="9">
        <v>2</v>
      </c>
      <c r="K173" s="9" t="s">
        <v>24</v>
      </c>
      <c r="L173" s="9" t="s">
        <v>19</v>
      </c>
      <c r="M173" s="9">
        <v>61</v>
      </c>
      <c r="N173" s="9" t="str" cm="1">
        <f t="array" ref="N173">_xlfn.IFS(
M173&lt;=12,"Children",
M173&lt;=19,"Teens",
M173&lt;=29,"Young Adults",
M173&lt;=39,"Adults",
M173&lt;=59,"Middle-Aged",
M173&gt;=60,"Seniors"
)</f>
        <v>Seniors</v>
      </c>
      <c r="O173" s="9" t="s">
        <v>20</v>
      </c>
      <c r="P173" s="9">
        <f t="shared" si="4"/>
        <v>0</v>
      </c>
      <c r="Q173" s="9">
        <v>1</v>
      </c>
      <c r="R173" s="10">
        <f t="shared" si="5"/>
        <v>0</v>
      </c>
    </row>
    <row r="174" spans="1:18" x14ac:dyDescent="0.3">
      <c r="A174" s="9">
        <v>23963</v>
      </c>
      <c r="B174" s="9" t="s">
        <v>37</v>
      </c>
      <c r="C174" s="9" t="s">
        <v>39</v>
      </c>
      <c r="D174" s="10">
        <v>10000</v>
      </c>
      <c r="E174" s="9" t="str" cm="1">
        <f t="array" ref="E174">_xlfn.IFS(D174&lt;= 60000, "Low Income",
D174&lt;=120000,"Medium Income",
D174&gt; 120000,"High Income"
)</f>
        <v>Low Income</v>
      </c>
      <c r="F174" s="9">
        <v>0</v>
      </c>
      <c r="G174" s="9" t="s">
        <v>32</v>
      </c>
      <c r="H174" s="9" t="s">
        <v>28</v>
      </c>
      <c r="I174" s="9" t="s">
        <v>20</v>
      </c>
      <c r="J174" s="9">
        <v>2</v>
      </c>
      <c r="K174" s="9" t="s">
        <v>18</v>
      </c>
      <c r="L174" s="9" t="s">
        <v>19</v>
      </c>
      <c r="M174" s="9">
        <v>33</v>
      </c>
      <c r="N174" s="9" t="str" cm="1">
        <f t="array" ref="N174">_xlfn.IFS(
M174&lt;=12,"Children",
M174&lt;=19,"Teens",
M174&lt;=29,"Young Adults",
M174&lt;=39,"Adults",
M174&lt;=59,"Middle-Aged",
M174&gt;=60,"Seniors"
)</f>
        <v>Adults</v>
      </c>
      <c r="O174" s="9" t="s">
        <v>20</v>
      </c>
      <c r="P174" s="9">
        <f t="shared" si="4"/>
        <v>0</v>
      </c>
      <c r="Q174" s="9">
        <v>1</v>
      </c>
      <c r="R174" s="10">
        <f t="shared" si="5"/>
        <v>0</v>
      </c>
    </row>
    <row r="175" spans="1:18" x14ac:dyDescent="0.3">
      <c r="A175" s="9">
        <v>17907</v>
      </c>
      <c r="B175" s="9" t="s">
        <v>37</v>
      </c>
      <c r="C175" s="9" t="s">
        <v>38</v>
      </c>
      <c r="D175" s="10">
        <v>10000</v>
      </c>
      <c r="E175" s="9" t="str" cm="1">
        <f t="array" ref="E175">_xlfn.IFS(D175&lt;= 60000, "Low Income",
D175&lt;=120000,"Medium Income",
D175&gt; 120000,"High Income"
)</f>
        <v>Low Income</v>
      </c>
      <c r="F175" s="9">
        <v>0</v>
      </c>
      <c r="G175" s="9" t="s">
        <v>21</v>
      </c>
      <c r="H175" s="9" t="s">
        <v>28</v>
      </c>
      <c r="I175" s="9" t="s">
        <v>17</v>
      </c>
      <c r="J175" s="9">
        <v>1</v>
      </c>
      <c r="K175" s="9" t="s">
        <v>24</v>
      </c>
      <c r="L175" s="9" t="s">
        <v>27</v>
      </c>
      <c r="M175" s="9">
        <v>27</v>
      </c>
      <c r="N175" s="9" t="str" cm="1">
        <f t="array" ref="N175">_xlfn.IFS(
M175&lt;=12,"Children",
M175&lt;=19,"Teens",
M175&lt;=29,"Young Adults",
M175&lt;=39,"Adults",
M175&lt;=59,"Middle-Aged",
M175&gt;=60,"Seniors"
)</f>
        <v>Young Adults</v>
      </c>
      <c r="O175" s="9" t="s">
        <v>20</v>
      </c>
      <c r="P175" s="9">
        <f t="shared" si="4"/>
        <v>0</v>
      </c>
      <c r="Q175" s="9">
        <v>1</v>
      </c>
      <c r="R175" s="10">
        <f t="shared" si="5"/>
        <v>0</v>
      </c>
    </row>
    <row r="176" spans="1:18" x14ac:dyDescent="0.3">
      <c r="A176" s="9">
        <v>19442</v>
      </c>
      <c r="B176" s="9" t="s">
        <v>40</v>
      </c>
      <c r="C176" s="9" t="s">
        <v>39</v>
      </c>
      <c r="D176" s="10">
        <v>50000</v>
      </c>
      <c r="E176" s="9" t="str" cm="1">
        <f t="array" ref="E176">_xlfn.IFS(D176&lt;= 60000, "Low Income",
D176&lt;=120000,"Medium Income",
D176&gt; 120000,"High Income"
)</f>
        <v>Low Income</v>
      </c>
      <c r="F176" s="9">
        <v>0</v>
      </c>
      <c r="G176" s="9" t="s">
        <v>34</v>
      </c>
      <c r="H176" s="9" t="s">
        <v>16</v>
      </c>
      <c r="I176" s="9" t="s">
        <v>17</v>
      </c>
      <c r="J176" s="9">
        <v>0</v>
      </c>
      <c r="K176" s="9" t="s">
        <v>18</v>
      </c>
      <c r="L176" s="9" t="s">
        <v>19</v>
      </c>
      <c r="M176" s="9">
        <v>37</v>
      </c>
      <c r="N176" s="9" t="str" cm="1">
        <f t="array" ref="N176">_xlfn.IFS(
M176&lt;=12,"Children",
M176&lt;=19,"Teens",
M176&lt;=29,"Young Adults",
M176&lt;=39,"Adults",
M176&lt;=59,"Middle-Aged",
M176&gt;=60,"Seniors"
)</f>
        <v>Adults</v>
      </c>
      <c r="O176" s="9" t="s">
        <v>17</v>
      </c>
      <c r="P176" s="9">
        <f t="shared" si="4"/>
        <v>1</v>
      </c>
      <c r="Q176" s="9">
        <v>1</v>
      </c>
      <c r="R176" s="10">
        <f t="shared" si="5"/>
        <v>50000</v>
      </c>
    </row>
    <row r="177" spans="1:18" x14ac:dyDescent="0.3">
      <c r="A177" s="9">
        <v>17504</v>
      </c>
      <c r="B177" s="9" t="s">
        <v>40</v>
      </c>
      <c r="C177" s="9" t="s">
        <v>38</v>
      </c>
      <c r="D177" s="10">
        <v>80000</v>
      </c>
      <c r="E177" s="9" t="str" cm="1">
        <f t="array" ref="E177">_xlfn.IFS(D177&lt;= 60000, "Low Income",
D177&lt;=120000,"Medium Income",
D177&gt; 120000,"High Income"
)</f>
        <v>Medium Income</v>
      </c>
      <c r="F177" s="9">
        <v>2</v>
      </c>
      <c r="G177" s="9" t="s">
        <v>21</v>
      </c>
      <c r="H177" s="9" t="s">
        <v>16</v>
      </c>
      <c r="I177" s="9" t="s">
        <v>17</v>
      </c>
      <c r="J177" s="9">
        <v>2</v>
      </c>
      <c r="K177" s="9" t="s">
        <v>26</v>
      </c>
      <c r="L177" s="9" t="s">
        <v>27</v>
      </c>
      <c r="M177" s="9">
        <v>52</v>
      </c>
      <c r="N177" s="9" t="str" cm="1">
        <f t="array" ref="N177">_xlfn.IFS(
M177&lt;=12,"Children",
M177&lt;=19,"Teens",
M177&lt;=29,"Young Adults",
M177&lt;=39,"Adults",
M177&lt;=59,"Middle-Aged",
M177&gt;=60,"Seniors"
)</f>
        <v>Middle-Aged</v>
      </c>
      <c r="O177" s="9" t="s">
        <v>17</v>
      </c>
      <c r="P177" s="9">
        <f t="shared" si="4"/>
        <v>1</v>
      </c>
      <c r="Q177" s="9">
        <v>1</v>
      </c>
      <c r="R177" s="10">
        <f t="shared" si="5"/>
        <v>80000</v>
      </c>
    </row>
    <row r="178" spans="1:18" x14ac:dyDescent="0.3">
      <c r="A178" s="9">
        <v>12253</v>
      </c>
      <c r="B178" s="9" t="s">
        <v>40</v>
      </c>
      <c r="C178" s="9" t="s">
        <v>38</v>
      </c>
      <c r="D178" s="10">
        <v>20000</v>
      </c>
      <c r="E178" s="9" t="str" cm="1">
        <f t="array" ref="E178">_xlfn.IFS(D178&lt;= 60000, "Low Income",
D178&lt;=120000,"Medium Income",
D178&gt; 120000,"High Income"
)</f>
        <v>Low Income</v>
      </c>
      <c r="F178" s="9">
        <v>0</v>
      </c>
      <c r="G178" s="9" t="s">
        <v>21</v>
      </c>
      <c r="H178" s="9" t="s">
        <v>28</v>
      </c>
      <c r="I178" s="9" t="s">
        <v>17</v>
      </c>
      <c r="J178" s="9">
        <v>0</v>
      </c>
      <c r="K178" s="9" t="s">
        <v>18</v>
      </c>
      <c r="L178" s="9" t="s">
        <v>27</v>
      </c>
      <c r="M178" s="9">
        <v>29</v>
      </c>
      <c r="N178" s="9" t="str" cm="1">
        <f t="array" ref="N178">_xlfn.IFS(
M178&lt;=12,"Children",
M178&lt;=19,"Teens",
M178&lt;=29,"Young Adults",
M178&lt;=39,"Adults",
M178&lt;=59,"Middle-Aged",
M178&gt;=60,"Seniors"
)</f>
        <v>Young Adults</v>
      </c>
      <c r="O178" s="9" t="s">
        <v>17</v>
      </c>
      <c r="P178" s="9">
        <f t="shared" si="4"/>
        <v>1</v>
      </c>
      <c r="Q178" s="9">
        <v>1</v>
      </c>
      <c r="R178" s="10">
        <f t="shared" si="5"/>
        <v>20000</v>
      </c>
    </row>
    <row r="179" spans="1:18" x14ac:dyDescent="0.3">
      <c r="A179" s="9">
        <v>27304</v>
      </c>
      <c r="B179" s="9" t="s">
        <v>40</v>
      </c>
      <c r="C179" s="9" t="s">
        <v>38</v>
      </c>
      <c r="D179" s="10">
        <v>110000</v>
      </c>
      <c r="E179" s="9" t="str" cm="1">
        <f t="array" ref="E179">_xlfn.IFS(D179&lt;= 60000, "Low Income",
D179&lt;=120000,"Medium Income",
D179&gt; 120000,"High Income"
)</f>
        <v>Medium Income</v>
      </c>
      <c r="F179" s="9">
        <v>2</v>
      </c>
      <c r="G179" s="9" t="s">
        <v>21</v>
      </c>
      <c r="H179" s="9" t="s">
        <v>23</v>
      </c>
      <c r="I179" s="9" t="s">
        <v>20</v>
      </c>
      <c r="J179" s="9">
        <v>3</v>
      </c>
      <c r="K179" s="9" t="s">
        <v>26</v>
      </c>
      <c r="L179" s="9" t="s">
        <v>19</v>
      </c>
      <c r="M179" s="9">
        <v>48</v>
      </c>
      <c r="N179" s="9" t="str" cm="1">
        <f t="array" ref="N179">_xlfn.IFS(
M179&lt;=12,"Children",
M179&lt;=19,"Teens",
M179&lt;=29,"Young Adults",
M179&lt;=39,"Adults",
M179&lt;=59,"Middle-Aged",
M179&gt;=60,"Seniors"
)</f>
        <v>Middle-Aged</v>
      </c>
      <c r="O179" s="9" t="s">
        <v>20</v>
      </c>
      <c r="P179" s="9">
        <f t="shared" si="4"/>
        <v>0</v>
      </c>
      <c r="Q179" s="9">
        <v>1</v>
      </c>
      <c r="R179" s="10">
        <f t="shared" si="5"/>
        <v>0</v>
      </c>
    </row>
    <row r="180" spans="1:18" x14ac:dyDescent="0.3">
      <c r="A180" s="9">
        <v>14191</v>
      </c>
      <c r="B180" s="9" t="s">
        <v>37</v>
      </c>
      <c r="C180" s="9" t="s">
        <v>39</v>
      </c>
      <c r="D180" s="10">
        <v>160000</v>
      </c>
      <c r="E180" s="9" t="str" cm="1">
        <f t="array" ref="E180">_xlfn.IFS(D180&lt;= 60000, "Low Income",
D180&lt;=120000,"Medium Income",
D180&gt; 120000,"High Income"
)</f>
        <v>High Income</v>
      </c>
      <c r="F180" s="9">
        <v>4</v>
      </c>
      <c r="G180" s="9" t="s">
        <v>21</v>
      </c>
      <c r="H180" s="9" t="s">
        <v>23</v>
      </c>
      <c r="I180" s="9" t="s">
        <v>20</v>
      </c>
      <c r="J180" s="9">
        <v>2</v>
      </c>
      <c r="K180" s="9" t="s">
        <v>41</v>
      </c>
      <c r="L180" s="9" t="s">
        <v>19</v>
      </c>
      <c r="M180" s="9">
        <v>55</v>
      </c>
      <c r="N180" s="9" t="str" cm="1">
        <f t="array" ref="N180">_xlfn.IFS(
M180&lt;=12,"Children",
M180&lt;=19,"Teens",
M180&lt;=29,"Young Adults",
M180&lt;=39,"Adults",
M180&lt;=59,"Middle-Aged",
M180&gt;=60,"Seniors"
)</f>
        <v>Middle-Aged</v>
      </c>
      <c r="O180" s="9" t="s">
        <v>17</v>
      </c>
      <c r="P180" s="9">
        <f t="shared" si="4"/>
        <v>1</v>
      </c>
      <c r="Q180" s="9">
        <v>1</v>
      </c>
      <c r="R180" s="10">
        <f t="shared" si="5"/>
        <v>160000</v>
      </c>
    </row>
    <row r="181" spans="1:18" x14ac:dyDescent="0.3">
      <c r="A181" s="9">
        <v>12212</v>
      </c>
      <c r="B181" s="9" t="s">
        <v>37</v>
      </c>
      <c r="C181" s="9" t="s">
        <v>38</v>
      </c>
      <c r="D181" s="10">
        <v>10000</v>
      </c>
      <c r="E181" s="9" t="str" cm="1">
        <f t="array" ref="E181">_xlfn.IFS(D181&lt;= 60000, "Low Income",
D181&lt;=120000,"Medium Income",
D181&gt; 120000,"High Income"
)</f>
        <v>Low Income</v>
      </c>
      <c r="F181" s="9">
        <v>0</v>
      </c>
      <c r="G181" s="9" t="s">
        <v>34</v>
      </c>
      <c r="H181" s="9" t="s">
        <v>28</v>
      </c>
      <c r="I181" s="9" t="s">
        <v>17</v>
      </c>
      <c r="J181" s="9">
        <v>0</v>
      </c>
      <c r="K181" s="9" t="s">
        <v>18</v>
      </c>
      <c r="L181" s="9" t="s">
        <v>19</v>
      </c>
      <c r="M181" s="9">
        <v>37</v>
      </c>
      <c r="N181" s="9" t="str" cm="1">
        <f t="array" ref="N181">_xlfn.IFS(
M181&lt;=12,"Children",
M181&lt;=19,"Teens",
M181&lt;=29,"Young Adults",
M181&lt;=39,"Adults",
M181&lt;=59,"Middle-Aged",
M181&gt;=60,"Seniors"
)</f>
        <v>Adults</v>
      </c>
      <c r="O181" s="9" t="s">
        <v>17</v>
      </c>
      <c r="P181" s="9">
        <f t="shared" si="4"/>
        <v>1</v>
      </c>
      <c r="Q181" s="9">
        <v>1</v>
      </c>
      <c r="R181" s="10">
        <f t="shared" si="5"/>
        <v>10000</v>
      </c>
    </row>
    <row r="182" spans="1:18" x14ac:dyDescent="0.3">
      <c r="A182" s="9">
        <v>25529</v>
      </c>
      <c r="B182" s="9" t="s">
        <v>40</v>
      </c>
      <c r="C182" s="9" t="s">
        <v>39</v>
      </c>
      <c r="D182" s="10">
        <v>10000</v>
      </c>
      <c r="E182" s="9" t="str" cm="1">
        <f t="array" ref="E182">_xlfn.IFS(D182&lt;= 60000, "Low Income",
D182&lt;=120000,"Medium Income",
D182&gt; 120000,"High Income"
)</f>
        <v>Low Income</v>
      </c>
      <c r="F182" s="9">
        <v>1</v>
      </c>
      <c r="G182" s="9" t="s">
        <v>34</v>
      </c>
      <c r="H182" s="9" t="s">
        <v>28</v>
      </c>
      <c r="I182" s="9" t="s">
        <v>17</v>
      </c>
      <c r="J182" s="9">
        <v>0</v>
      </c>
      <c r="K182" s="9" t="s">
        <v>18</v>
      </c>
      <c r="L182" s="9" t="s">
        <v>19</v>
      </c>
      <c r="M182" s="9">
        <v>44</v>
      </c>
      <c r="N182" s="9" t="str" cm="1">
        <f t="array" ref="N182">_xlfn.IFS(
M182&lt;=12,"Children",
M182&lt;=19,"Teens",
M182&lt;=29,"Young Adults",
M182&lt;=39,"Adults",
M182&lt;=59,"Middle-Aged",
M182&gt;=60,"Seniors"
)</f>
        <v>Middle-Aged</v>
      </c>
      <c r="O182" s="9" t="s">
        <v>20</v>
      </c>
      <c r="P182" s="9">
        <f t="shared" si="4"/>
        <v>0</v>
      </c>
      <c r="Q182" s="9">
        <v>1</v>
      </c>
      <c r="R182" s="10">
        <f t="shared" si="5"/>
        <v>0</v>
      </c>
    </row>
    <row r="183" spans="1:18" x14ac:dyDescent="0.3">
      <c r="A183" s="9">
        <v>22170</v>
      </c>
      <c r="B183" s="9" t="s">
        <v>37</v>
      </c>
      <c r="C183" s="9" t="s">
        <v>38</v>
      </c>
      <c r="D183" s="10">
        <v>30000</v>
      </c>
      <c r="E183" s="9" t="str" cm="1">
        <f t="array" ref="E183">_xlfn.IFS(D183&lt;= 60000, "Low Income",
D183&lt;=120000,"Medium Income",
D183&gt; 120000,"High Income"
)</f>
        <v>Low Income</v>
      </c>
      <c r="F183" s="9">
        <v>3</v>
      </c>
      <c r="G183" s="9" t="s">
        <v>21</v>
      </c>
      <c r="H183" s="9" t="s">
        <v>22</v>
      </c>
      <c r="I183" s="9" t="s">
        <v>20</v>
      </c>
      <c r="J183" s="9">
        <v>2</v>
      </c>
      <c r="K183" s="9" t="s">
        <v>29</v>
      </c>
      <c r="L183" s="9" t="s">
        <v>27</v>
      </c>
      <c r="M183" s="9">
        <v>55</v>
      </c>
      <c r="N183" s="9" t="str" cm="1">
        <f t="array" ref="N183">_xlfn.IFS(
M183&lt;=12,"Children",
M183&lt;=19,"Teens",
M183&lt;=29,"Young Adults",
M183&lt;=39,"Adults",
M183&lt;=59,"Middle-Aged",
M183&gt;=60,"Seniors"
)</f>
        <v>Middle-Aged</v>
      </c>
      <c r="O183" s="9" t="s">
        <v>17</v>
      </c>
      <c r="P183" s="9">
        <f t="shared" si="4"/>
        <v>1</v>
      </c>
      <c r="Q183" s="9">
        <v>1</v>
      </c>
      <c r="R183" s="10">
        <f t="shared" si="5"/>
        <v>30000</v>
      </c>
    </row>
    <row r="184" spans="1:18" x14ac:dyDescent="0.3">
      <c r="A184" s="9">
        <v>19445</v>
      </c>
      <c r="B184" s="9" t="s">
        <v>37</v>
      </c>
      <c r="C184" s="9" t="s">
        <v>38</v>
      </c>
      <c r="D184" s="10">
        <v>10000</v>
      </c>
      <c r="E184" s="9" t="str" cm="1">
        <f t="array" ref="E184">_xlfn.IFS(D184&lt;= 60000, "Low Income",
D184&lt;=120000,"Medium Income",
D184&gt; 120000,"High Income"
)</f>
        <v>Low Income</v>
      </c>
      <c r="F184" s="9">
        <v>2</v>
      </c>
      <c r="G184" s="9" t="s">
        <v>30</v>
      </c>
      <c r="H184" s="9" t="s">
        <v>28</v>
      </c>
      <c r="I184" s="9" t="s">
        <v>20</v>
      </c>
      <c r="J184" s="9">
        <v>1</v>
      </c>
      <c r="K184" s="9" t="s">
        <v>18</v>
      </c>
      <c r="L184" s="9" t="s">
        <v>19</v>
      </c>
      <c r="M184" s="9">
        <v>38</v>
      </c>
      <c r="N184" s="9" t="str" cm="1">
        <f t="array" ref="N184">_xlfn.IFS(
M184&lt;=12,"Children",
M184&lt;=19,"Teens",
M184&lt;=29,"Young Adults",
M184&lt;=39,"Adults",
M184&lt;=59,"Middle-Aged",
M184&gt;=60,"Seniors"
)</f>
        <v>Adults</v>
      </c>
      <c r="O184" s="9" t="s">
        <v>20</v>
      </c>
      <c r="P184" s="9">
        <f t="shared" si="4"/>
        <v>0</v>
      </c>
      <c r="Q184" s="9">
        <v>1</v>
      </c>
      <c r="R184" s="10">
        <f t="shared" si="5"/>
        <v>0</v>
      </c>
    </row>
    <row r="185" spans="1:18" x14ac:dyDescent="0.3">
      <c r="A185" s="9">
        <v>15265</v>
      </c>
      <c r="B185" s="9" t="s">
        <v>40</v>
      </c>
      <c r="C185" s="9" t="s">
        <v>39</v>
      </c>
      <c r="D185" s="10">
        <v>40000</v>
      </c>
      <c r="E185" s="9" t="str" cm="1">
        <f t="array" ref="E185">_xlfn.IFS(D185&lt;= 60000, "Low Income",
D185&lt;=120000,"Medium Income",
D185&gt; 120000,"High Income"
)</f>
        <v>Low Income</v>
      </c>
      <c r="F185" s="9">
        <v>2</v>
      </c>
      <c r="G185" s="9" t="s">
        <v>15</v>
      </c>
      <c r="H185" s="9" t="s">
        <v>31</v>
      </c>
      <c r="I185" s="9" t="s">
        <v>17</v>
      </c>
      <c r="J185" s="9">
        <v>2</v>
      </c>
      <c r="K185" s="9" t="s">
        <v>26</v>
      </c>
      <c r="L185" s="9" t="s">
        <v>27</v>
      </c>
      <c r="M185" s="9">
        <v>66</v>
      </c>
      <c r="N185" s="9" t="str" cm="1">
        <f t="array" ref="N185">_xlfn.IFS(
M185&lt;=12,"Children",
M185&lt;=19,"Teens",
M185&lt;=29,"Young Adults",
M185&lt;=39,"Adults",
M185&lt;=59,"Middle-Aged",
M185&gt;=60,"Seniors"
)</f>
        <v>Seniors</v>
      </c>
      <c r="O185" s="9" t="s">
        <v>17</v>
      </c>
      <c r="P185" s="9">
        <f t="shared" si="4"/>
        <v>1</v>
      </c>
      <c r="Q185" s="9">
        <v>1</v>
      </c>
      <c r="R185" s="10">
        <f t="shared" si="5"/>
        <v>40000</v>
      </c>
    </row>
    <row r="186" spans="1:18" x14ac:dyDescent="0.3">
      <c r="A186" s="9">
        <v>28918</v>
      </c>
      <c r="B186" s="9" t="s">
        <v>37</v>
      </c>
      <c r="C186" s="9" t="s">
        <v>38</v>
      </c>
      <c r="D186" s="10">
        <v>130000</v>
      </c>
      <c r="E186" s="9" t="str" cm="1">
        <f t="array" ref="E186">_xlfn.IFS(D186&lt;= 60000, "Low Income",
D186&lt;=120000,"Medium Income",
D186&gt; 120000,"High Income"
)</f>
        <v>High Income</v>
      </c>
      <c r="F186" s="9">
        <v>4</v>
      </c>
      <c r="G186" s="9" t="s">
        <v>30</v>
      </c>
      <c r="H186" s="9" t="s">
        <v>31</v>
      </c>
      <c r="I186" s="9" t="s">
        <v>20</v>
      </c>
      <c r="J186" s="9">
        <v>4</v>
      </c>
      <c r="K186" s="9" t="s">
        <v>41</v>
      </c>
      <c r="L186" s="9" t="s">
        <v>19</v>
      </c>
      <c r="M186" s="9">
        <v>58</v>
      </c>
      <c r="N186" s="9" t="str" cm="1">
        <f t="array" ref="N186">_xlfn.IFS(
M186&lt;=12,"Children",
M186&lt;=19,"Teens",
M186&lt;=29,"Young Adults",
M186&lt;=39,"Adults",
M186&lt;=59,"Middle-Aged",
M186&gt;=60,"Seniors"
)</f>
        <v>Middle-Aged</v>
      </c>
      <c r="O186" s="9" t="s">
        <v>20</v>
      </c>
      <c r="P186" s="9">
        <f t="shared" si="4"/>
        <v>0</v>
      </c>
      <c r="Q186" s="9">
        <v>1</v>
      </c>
      <c r="R186" s="10">
        <f t="shared" si="5"/>
        <v>0</v>
      </c>
    </row>
    <row r="187" spans="1:18" x14ac:dyDescent="0.3">
      <c r="A187" s="9">
        <v>15799</v>
      </c>
      <c r="B187" s="9" t="s">
        <v>37</v>
      </c>
      <c r="C187" s="9" t="s">
        <v>38</v>
      </c>
      <c r="D187" s="10">
        <v>90000</v>
      </c>
      <c r="E187" s="9" t="str" cm="1">
        <f t="array" ref="E187">_xlfn.IFS(D187&lt;= 60000, "Low Income",
D187&lt;=120000,"Medium Income",
D187&gt; 120000,"High Income"
)</f>
        <v>Medium Income</v>
      </c>
      <c r="F187" s="9">
        <v>1</v>
      </c>
      <c r="G187" s="9" t="s">
        <v>15</v>
      </c>
      <c r="H187" s="9" t="s">
        <v>23</v>
      </c>
      <c r="I187" s="9" t="s">
        <v>17</v>
      </c>
      <c r="J187" s="9">
        <v>1</v>
      </c>
      <c r="K187" s="9" t="s">
        <v>24</v>
      </c>
      <c r="L187" s="9" t="s">
        <v>27</v>
      </c>
      <c r="M187" s="9">
        <v>47</v>
      </c>
      <c r="N187" s="9" t="str" cm="1">
        <f t="array" ref="N187">_xlfn.IFS(
M187&lt;=12,"Children",
M187&lt;=19,"Teens",
M187&lt;=29,"Young Adults",
M187&lt;=39,"Adults",
M187&lt;=59,"Middle-Aged",
M187&gt;=60,"Seniors"
)</f>
        <v>Middle-Aged</v>
      </c>
      <c r="O187" s="9" t="s">
        <v>17</v>
      </c>
      <c r="P187" s="9">
        <f t="shared" si="4"/>
        <v>1</v>
      </c>
      <c r="Q187" s="9">
        <v>1</v>
      </c>
      <c r="R187" s="10">
        <f t="shared" si="5"/>
        <v>90000</v>
      </c>
    </row>
    <row r="188" spans="1:18" x14ac:dyDescent="0.3">
      <c r="A188" s="9">
        <v>11047</v>
      </c>
      <c r="B188" s="9" t="s">
        <v>37</v>
      </c>
      <c r="C188" s="9" t="s">
        <v>38</v>
      </c>
      <c r="D188" s="10">
        <v>30000</v>
      </c>
      <c r="E188" s="9" t="str" cm="1">
        <f t="array" ref="E188">_xlfn.IFS(D188&lt;= 60000, "Low Income",
D188&lt;=120000,"Medium Income",
D188&gt; 120000,"High Income"
)</f>
        <v>Low Income</v>
      </c>
      <c r="F188" s="9">
        <v>3</v>
      </c>
      <c r="G188" s="9" t="s">
        <v>30</v>
      </c>
      <c r="H188" s="9" t="s">
        <v>16</v>
      </c>
      <c r="I188" s="9" t="s">
        <v>20</v>
      </c>
      <c r="J188" s="9">
        <v>2</v>
      </c>
      <c r="K188" s="9" t="s">
        <v>29</v>
      </c>
      <c r="L188" s="9" t="s">
        <v>27</v>
      </c>
      <c r="M188" s="9">
        <v>56</v>
      </c>
      <c r="N188" s="9" t="str" cm="1">
        <f t="array" ref="N188">_xlfn.IFS(
M188&lt;=12,"Children",
M188&lt;=19,"Teens",
M188&lt;=29,"Young Adults",
M188&lt;=39,"Adults",
M188&lt;=59,"Middle-Aged",
M188&gt;=60,"Seniors"
)</f>
        <v>Middle-Aged</v>
      </c>
      <c r="O188" s="9" t="s">
        <v>17</v>
      </c>
      <c r="P188" s="9">
        <f t="shared" si="4"/>
        <v>1</v>
      </c>
      <c r="Q188" s="9">
        <v>1</v>
      </c>
      <c r="R188" s="10">
        <f t="shared" si="5"/>
        <v>30000</v>
      </c>
    </row>
    <row r="189" spans="1:18" x14ac:dyDescent="0.3">
      <c r="A189" s="9">
        <v>18151</v>
      </c>
      <c r="B189" s="9" t="s">
        <v>40</v>
      </c>
      <c r="C189" s="9" t="s">
        <v>39</v>
      </c>
      <c r="D189" s="10">
        <v>80000</v>
      </c>
      <c r="E189" s="9" t="str" cm="1">
        <f t="array" ref="E189">_xlfn.IFS(D189&lt;= 60000, "Low Income",
D189&lt;=120000,"Medium Income",
D189&gt; 120000,"High Income"
)</f>
        <v>Medium Income</v>
      </c>
      <c r="F189" s="9">
        <v>5</v>
      </c>
      <c r="G189" s="9" t="s">
        <v>21</v>
      </c>
      <c r="H189" s="9" t="s">
        <v>23</v>
      </c>
      <c r="I189" s="9" t="s">
        <v>20</v>
      </c>
      <c r="J189" s="9">
        <v>2</v>
      </c>
      <c r="K189" s="9" t="s">
        <v>41</v>
      </c>
      <c r="L189" s="9" t="s">
        <v>19</v>
      </c>
      <c r="M189" s="9">
        <v>59</v>
      </c>
      <c r="N189" s="9" t="str" cm="1">
        <f t="array" ref="N189">_xlfn.IFS(
M189&lt;=12,"Children",
M189&lt;=19,"Teens",
M189&lt;=29,"Young Adults",
M189&lt;=39,"Adults",
M189&lt;=59,"Middle-Aged",
M189&gt;=60,"Seniors"
)</f>
        <v>Middle-Aged</v>
      </c>
      <c r="O189" s="9" t="s">
        <v>20</v>
      </c>
      <c r="P189" s="9">
        <f t="shared" si="4"/>
        <v>0</v>
      </c>
      <c r="Q189" s="9">
        <v>1</v>
      </c>
      <c r="R189" s="10">
        <f t="shared" si="5"/>
        <v>0</v>
      </c>
    </row>
    <row r="190" spans="1:18" x14ac:dyDescent="0.3">
      <c r="A190" s="9">
        <v>20606</v>
      </c>
      <c r="B190" s="9" t="s">
        <v>37</v>
      </c>
      <c r="C190" s="9" t="s">
        <v>38</v>
      </c>
      <c r="D190" s="10">
        <v>70000</v>
      </c>
      <c r="E190" s="9" t="str" cm="1">
        <f t="array" ref="E190">_xlfn.IFS(D190&lt;= 60000, "Low Income",
D190&lt;=120000,"Medium Income",
D190&gt; 120000,"High Income"
)</f>
        <v>Medium Income</v>
      </c>
      <c r="F190" s="9">
        <v>0</v>
      </c>
      <c r="G190" s="9" t="s">
        <v>15</v>
      </c>
      <c r="H190" s="9" t="s">
        <v>23</v>
      </c>
      <c r="I190" s="9" t="s">
        <v>17</v>
      </c>
      <c r="J190" s="9">
        <v>4</v>
      </c>
      <c r="K190" s="9" t="s">
        <v>41</v>
      </c>
      <c r="L190" s="9" t="s">
        <v>27</v>
      </c>
      <c r="M190" s="9">
        <v>32</v>
      </c>
      <c r="N190" s="9" t="str" cm="1">
        <f t="array" ref="N190">_xlfn.IFS(
M190&lt;=12,"Children",
M190&lt;=19,"Teens",
M190&lt;=29,"Young Adults",
M190&lt;=39,"Adults",
M190&lt;=59,"Middle-Aged",
M190&gt;=60,"Seniors"
)</f>
        <v>Adults</v>
      </c>
      <c r="O190" s="9" t="s">
        <v>17</v>
      </c>
      <c r="P190" s="9">
        <f t="shared" si="4"/>
        <v>1</v>
      </c>
      <c r="Q190" s="9">
        <v>1</v>
      </c>
      <c r="R190" s="10">
        <f t="shared" si="5"/>
        <v>70000</v>
      </c>
    </row>
    <row r="191" spans="1:18" x14ac:dyDescent="0.3">
      <c r="A191" s="9">
        <v>19482</v>
      </c>
      <c r="B191" s="9" t="s">
        <v>37</v>
      </c>
      <c r="C191" s="9" t="s">
        <v>39</v>
      </c>
      <c r="D191" s="10">
        <v>30000</v>
      </c>
      <c r="E191" s="9" t="str" cm="1">
        <f t="array" ref="E191">_xlfn.IFS(D191&lt;= 60000, "Low Income",
D191&lt;=120000,"Medium Income",
D191&gt; 120000,"High Income"
)</f>
        <v>Low Income</v>
      </c>
      <c r="F191" s="9">
        <v>1</v>
      </c>
      <c r="G191" s="9" t="s">
        <v>21</v>
      </c>
      <c r="H191" s="9" t="s">
        <v>22</v>
      </c>
      <c r="I191" s="9" t="s">
        <v>17</v>
      </c>
      <c r="J191" s="9">
        <v>1</v>
      </c>
      <c r="K191" s="9" t="s">
        <v>18</v>
      </c>
      <c r="L191" s="9" t="s">
        <v>19</v>
      </c>
      <c r="M191" s="9">
        <v>44</v>
      </c>
      <c r="N191" s="9" t="str" cm="1">
        <f t="array" ref="N191">_xlfn.IFS(
M191&lt;=12,"Children",
M191&lt;=19,"Teens",
M191&lt;=29,"Young Adults",
M191&lt;=39,"Adults",
M191&lt;=59,"Middle-Aged",
M191&gt;=60,"Seniors"
)</f>
        <v>Middle-Aged</v>
      </c>
      <c r="O191" s="9" t="s">
        <v>17</v>
      </c>
      <c r="P191" s="9">
        <f t="shared" si="4"/>
        <v>1</v>
      </c>
      <c r="Q191" s="9">
        <v>1</v>
      </c>
      <c r="R191" s="10">
        <f t="shared" si="5"/>
        <v>30000</v>
      </c>
    </row>
    <row r="192" spans="1:18" x14ac:dyDescent="0.3">
      <c r="A192" s="9">
        <v>16489</v>
      </c>
      <c r="B192" s="9" t="s">
        <v>37</v>
      </c>
      <c r="C192" s="9" t="s">
        <v>39</v>
      </c>
      <c r="D192" s="10">
        <v>30000</v>
      </c>
      <c r="E192" s="9" t="str" cm="1">
        <f t="array" ref="E192">_xlfn.IFS(D192&lt;= 60000, "Low Income",
D192&lt;=120000,"Medium Income",
D192&gt; 120000,"High Income"
)</f>
        <v>Low Income</v>
      </c>
      <c r="F192" s="9">
        <v>3</v>
      </c>
      <c r="G192" s="9" t="s">
        <v>30</v>
      </c>
      <c r="H192" s="9" t="s">
        <v>16</v>
      </c>
      <c r="I192" s="9" t="s">
        <v>17</v>
      </c>
      <c r="J192" s="9">
        <v>2</v>
      </c>
      <c r="K192" s="9" t="s">
        <v>26</v>
      </c>
      <c r="L192" s="9" t="s">
        <v>27</v>
      </c>
      <c r="M192" s="9">
        <v>55</v>
      </c>
      <c r="N192" s="9" t="str" cm="1">
        <f t="array" ref="N192">_xlfn.IFS(
M192&lt;=12,"Children",
M192&lt;=19,"Teens",
M192&lt;=29,"Young Adults",
M192&lt;=39,"Adults",
M192&lt;=59,"Middle-Aged",
M192&gt;=60,"Seniors"
)</f>
        <v>Middle-Aged</v>
      </c>
      <c r="O192" s="9" t="s">
        <v>20</v>
      </c>
      <c r="P192" s="9">
        <f t="shared" si="4"/>
        <v>0</v>
      </c>
      <c r="Q192" s="9">
        <v>1</v>
      </c>
      <c r="R192" s="10">
        <f t="shared" si="5"/>
        <v>0</v>
      </c>
    </row>
    <row r="193" spans="1:18" x14ac:dyDescent="0.3">
      <c r="A193" s="9">
        <v>26944</v>
      </c>
      <c r="B193" s="9" t="s">
        <v>40</v>
      </c>
      <c r="C193" s="9" t="s">
        <v>39</v>
      </c>
      <c r="D193" s="10">
        <v>90000</v>
      </c>
      <c r="E193" s="9" t="str" cm="1">
        <f t="array" ref="E193">_xlfn.IFS(D193&lt;= 60000, "Low Income",
D193&lt;=120000,"Medium Income",
D193&gt; 120000,"High Income"
)</f>
        <v>Medium Income</v>
      </c>
      <c r="F193" s="9">
        <v>2</v>
      </c>
      <c r="G193" s="9" t="s">
        <v>30</v>
      </c>
      <c r="H193" s="9" t="s">
        <v>28</v>
      </c>
      <c r="I193" s="9" t="s">
        <v>17</v>
      </c>
      <c r="J193" s="9">
        <v>0</v>
      </c>
      <c r="K193" s="9" t="s">
        <v>18</v>
      </c>
      <c r="L193" s="9" t="s">
        <v>19</v>
      </c>
      <c r="M193" s="9">
        <v>36</v>
      </c>
      <c r="N193" s="9" t="str" cm="1">
        <f t="array" ref="N193">_xlfn.IFS(
M193&lt;=12,"Children",
M193&lt;=19,"Teens",
M193&lt;=29,"Young Adults",
M193&lt;=39,"Adults",
M193&lt;=59,"Middle-Aged",
M193&gt;=60,"Seniors"
)</f>
        <v>Adults</v>
      </c>
      <c r="O193" s="9" t="s">
        <v>17</v>
      </c>
      <c r="P193" s="9">
        <f t="shared" si="4"/>
        <v>1</v>
      </c>
      <c r="Q193" s="9">
        <v>1</v>
      </c>
      <c r="R193" s="10">
        <f t="shared" si="5"/>
        <v>90000</v>
      </c>
    </row>
    <row r="194" spans="1:18" x14ac:dyDescent="0.3">
      <c r="A194" s="9">
        <v>15682</v>
      </c>
      <c r="B194" s="9" t="s">
        <v>40</v>
      </c>
      <c r="C194" s="9" t="s">
        <v>38</v>
      </c>
      <c r="D194" s="10">
        <v>80000</v>
      </c>
      <c r="E194" s="9" t="str" cm="1">
        <f t="array" ref="E194">_xlfn.IFS(D194&lt;= 60000, "Low Income",
D194&lt;=120000,"Medium Income",
D194&gt; 120000,"High Income"
)</f>
        <v>Medium Income</v>
      </c>
      <c r="F194" s="9">
        <v>5</v>
      </c>
      <c r="G194" s="9" t="s">
        <v>15</v>
      </c>
      <c r="H194" s="9" t="s">
        <v>31</v>
      </c>
      <c r="I194" s="9" t="s">
        <v>17</v>
      </c>
      <c r="J194" s="9">
        <v>2</v>
      </c>
      <c r="K194" s="9" t="s">
        <v>41</v>
      </c>
      <c r="L194" s="9" t="s">
        <v>19</v>
      </c>
      <c r="M194" s="9">
        <v>62</v>
      </c>
      <c r="N194" s="9" t="str" cm="1">
        <f t="array" ref="N194">_xlfn.IFS(
M194&lt;=12,"Children",
M194&lt;=19,"Teens",
M194&lt;=29,"Young Adults",
M194&lt;=39,"Adults",
M194&lt;=59,"Middle-Aged",
M194&gt;=60,"Seniors"
)</f>
        <v>Seniors</v>
      </c>
      <c r="O194" s="9" t="s">
        <v>20</v>
      </c>
      <c r="P194" s="9">
        <f t="shared" si="4"/>
        <v>0</v>
      </c>
      <c r="Q194" s="9">
        <v>1</v>
      </c>
      <c r="R194" s="10">
        <f t="shared" si="5"/>
        <v>0</v>
      </c>
    </row>
    <row r="195" spans="1:18" x14ac:dyDescent="0.3">
      <c r="A195" s="9">
        <v>26032</v>
      </c>
      <c r="B195" s="9" t="s">
        <v>37</v>
      </c>
      <c r="C195" s="9" t="s">
        <v>38</v>
      </c>
      <c r="D195" s="10">
        <v>70000</v>
      </c>
      <c r="E195" s="9" t="str" cm="1">
        <f t="array" ref="E195">_xlfn.IFS(D195&lt;= 60000, "Low Income",
D195&lt;=120000,"Medium Income",
D195&gt; 120000,"High Income"
)</f>
        <v>Medium Income</v>
      </c>
      <c r="F195" s="9">
        <v>5</v>
      </c>
      <c r="G195" s="9" t="s">
        <v>15</v>
      </c>
      <c r="H195" s="9" t="s">
        <v>23</v>
      </c>
      <c r="I195" s="9" t="s">
        <v>17</v>
      </c>
      <c r="J195" s="9">
        <v>4</v>
      </c>
      <c r="K195" s="9" t="s">
        <v>41</v>
      </c>
      <c r="L195" s="9" t="s">
        <v>27</v>
      </c>
      <c r="M195" s="9">
        <v>41</v>
      </c>
      <c r="N195" s="9" t="str" cm="1">
        <f t="array" ref="N195">_xlfn.IFS(
M195&lt;=12,"Children",
M195&lt;=19,"Teens",
M195&lt;=29,"Young Adults",
M195&lt;=39,"Adults",
M195&lt;=59,"Middle-Aged",
M195&gt;=60,"Seniors"
)</f>
        <v>Middle-Aged</v>
      </c>
      <c r="O195" s="9" t="s">
        <v>20</v>
      </c>
      <c r="P195" s="9">
        <f t="shared" ref="P195:P258" si="6">IF(O195="No", 0, 1)</f>
        <v>0</v>
      </c>
      <c r="Q195" s="9">
        <v>1</v>
      </c>
      <c r="R195" s="10">
        <f t="shared" ref="R195:R258" si="7">IF(P195=1, D195, 0)</f>
        <v>0</v>
      </c>
    </row>
    <row r="196" spans="1:18" x14ac:dyDescent="0.3">
      <c r="A196" s="9">
        <v>17843</v>
      </c>
      <c r="B196" s="9" t="s">
        <v>40</v>
      </c>
      <c r="C196" s="9" t="s">
        <v>38</v>
      </c>
      <c r="D196" s="10">
        <v>10000</v>
      </c>
      <c r="E196" s="9" t="str" cm="1">
        <f t="array" ref="E196">_xlfn.IFS(D196&lt;= 60000, "Low Income",
D196&lt;=120000,"Medium Income",
D196&gt; 120000,"High Income"
)</f>
        <v>Low Income</v>
      </c>
      <c r="F196" s="9">
        <v>0</v>
      </c>
      <c r="G196" s="9" t="s">
        <v>32</v>
      </c>
      <c r="H196" s="9" t="s">
        <v>28</v>
      </c>
      <c r="I196" s="9" t="s">
        <v>20</v>
      </c>
      <c r="J196" s="9">
        <v>2</v>
      </c>
      <c r="K196" s="9" t="s">
        <v>18</v>
      </c>
      <c r="L196" s="9" t="s">
        <v>19</v>
      </c>
      <c r="M196" s="9">
        <v>32</v>
      </c>
      <c r="N196" s="9" t="str" cm="1">
        <f t="array" ref="N196">_xlfn.IFS(
M196&lt;=12,"Children",
M196&lt;=19,"Teens",
M196&lt;=29,"Young Adults",
M196&lt;=39,"Adults",
M196&lt;=59,"Middle-Aged",
M196&gt;=60,"Seniors"
)</f>
        <v>Adults</v>
      </c>
      <c r="O196" s="9" t="s">
        <v>20</v>
      </c>
      <c r="P196" s="9">
        <f t="shared" si="6"/>
        <v>0</v>
      </c>
      <c r="Q196" s="9">
        <v>1</v>
      </c>
      <c r="R196" s="10">
        <f t="shared" si="7"/>
        <v>0</v>
      </c>
    </row>
    <row r="197" spans="1:18" x14ac:dyDescent="0.3">
      <c r="A197" s="9">
        <v>25559</v>
      </c>
      <c r="B197" s="9" t="s">
        <v>40</v>
      </c>
      <c r="C197" s="9" t="s">
        <v>39</v>
      </c>
      <c r="D197" s="10">
        <v>20000</v>
      </c>
      <c r="E197" s="9" t="str" cm="1">
        <f t="array" ref="E197">_xlfn.IFS(D197&lt;= 60000, "Low Income",
D197&lt;=120000,"Medium Income",
D197&gt; 120000,"High Income"
)</f>
        <v>Low Income</v>
      </c>
      <c r="F197" s="9">
        <v>0</v>
      </c>
      <c r="G197" s="9" t="s">
        <v>15</v>
      </c>
      <c r="H197" s="9" t="s">
        <v>22</v>
      </c>
      <c r="I197" s="9" t="s">
        <v>17</v>
      </c>
      <c r="J197" s="9">
        <v>0</v>
      </c>
      <c r="K197" s="9" t="s">
        <v>18</v>
      </c>
      <c r="L197" s="9" t="s">
        <v>27</v>
      </c>
      <c r="M197" s="9">
        <v>25</v>
      </c>
      <c r="N197" s="9" t="str" cm="1">
        <f t="array" ref="N197">_xlfn.IFS(
M197&lt;=12,"Children",
M197&lt;=19,"Teens",
M197&lt;=29,"Young Adults",
M197&lt;=39,"Adults",
M197&lt;=59,"Middle-Aged",
M197&gt;=60,"Seniors"
)</f>
        <v>Young Adults</v>
      </c>
      <c r="O197" s="9" t="s">
        <v>17</v>
      </c>
      <c r="P197" s="9">
        <f t="shared" si="6"/>
        <v>1</v>
      </c>
      <c r="Q197" s="9">
        <v>1</v>
      </c>
      <c r="R197" s="10">
        <f t="shared" si="7"/>
        <v>20000</v>
      </c>
    </row>
    <row r="198" spans="1:18" x14ac:dyDescent="0.3">
      <c r="A198" s="9">
        <v>16209</v>
      </c>
      <c r="B198" s="9" t="s">
        <v>40</v>
      </c>
      <c r="C198" s="9" t="s">
        <v>38</v>
      </c>
      <c r="D198" s="10">
        <v>50000</v>
      </c>
      <c r="E198" s="9" t="str" cm="1">
        <f t="array" ref="E198">_xlfn.IFS(D198&lt;= 60000, "Low Income",
D198&lt;=120000,"Medium Income",
D198&gt; 120000,"High Income"
)</f>
        <v>Low Income</v>
      </c>
      <c r="F198" s="9">
        <v>0</v>
      </c>
      <c r="G198" s="9" t="s">
        <v>34</v>
      </c>
      <c r="H198" s="9" t="s">
        <v>16</v>
      </c>
      <c r="I198" s="9" t="s">
        <v>17</v>
      </c>
      <c r="J198" s="9">
        <v>0</v>
      </c>
      <c r="K198" s="9" t="s">
        <v>29</v>
      </c>
      <c r="L198" s="9" t="s">
        <v>19</v>
      </c>
      <c r="M198" s="9">
        <v>36</v>
      </c>
      <c r="N198" s="9" t="str" cm="1">
        <f t="array" ref="N198">_xlfn.IFS(
M198&lt;=12,"Children",
M198&lt;=19,"Teens",
M198&lt;=29,"Young Adults",
M198&lt;=39,"Adults",
M198&lt;=59,"Middle-Aged",
M198&gt;=60,"Seniors"
)</f>
        <v>Adults</v>
      </c>
      <c r="O198" s="9" t="s">
        <v>20</v>
      </c>
      <c r="P198" s="9">
        <f t="shared" si="6"/>
        <v>0</v>
      </c>
      <c r="Q198" s="9">
        <v>1</v>
      </c>
      <c r="R198" s="10">
        <f t="shared" si="7"/>
        <v>0</v>
      </c>
    </row>
    <row r="199" spans="1:18" x14ac:dyDescent="0.3">
      <c r="A199" s="9">
        <v>11147</v>
      </c>
      <c r="B199" s="9" t="s">
        <v>37</v>
      </c>
      <c r="C199" s="9" t="s">
        <v>39</v>
      </c>
      <c r="D199" s="10">
        <v>60000</v>
      </c>
      <c r="E199" s="9" t="str" cm="1">
        <f t="array" ref="E199">_xlfn.IFS(D199&lt;= 60000, "Low Income",
D199&lt;=120000,"Medium Income",
D199&gt; 120000,"High Income"
)</f>
        <v>Low Income</v>
      </c>
      <c r="F199" s="9">
        <v>2</v>
      </c>
      <c r="G199" s="9" t="s">
        <v>34</v>
      </c>
      <c r="H199" s="9" t="s">
        <v>31</v>
      </c>
      <c r="I199" s="9" t="s">
        <v>17</v>
      </c>
      <c r="J199" s="9">
        <v>1</v>
      </c>
      <c r="K199" s="9" t="s">
        <v>18</v>
      </c>
      <c r="L199" s="9" t="s">
        <v>27</v>
      </c>
      <c r="M199" s="9">
        <v>67</v>
      </c>
      <c r="N199" s="9" t="str" cm="1">
        <f t="array" ref="N199">_xlfn.IFS(
M199&lt;=12,"Children",
M199&lt;=19,"Teens",
M199&lt;=29,"Young Adults",
M199&lt;=39,"Adults",
M199&lt;=59,"Middle-Aged",
M199&gt;=60,"Seniors"
)</f>
        <v>Seniors</v>
      </c>
      <c r="O199" s="9" t="s">
        <v>17</v>
      </c>
      <c r="P199" s="9">
        <f t="shared" si="6"/>
        <v>1</v>
      </c>
      <c r="Q199" s="9">
        <v>1</v>
      </c>
      <c r="R199" s="10">
        <f t="shared" si="7"/>
        <v>60000</v>
      </c>
    </row>
    <row r="200" spans="1:18" x14ac:dyDescent="0.3">
      <c r="A200" s="9">
        <v>15214</v>
      </c>
      <c r="B200" s="9" t="s">
        <v>40</v>
      </c>
      <c r="C200" s="9" t="s">
        <v>38</v>
      </c>
      <c r="D200" s="10">
        <v>100000</v>
      </c>
      <c r="E200" s="9" t="str" cm="1">
        <f t="array" ref="E200">_xlfn.IFS(D200&lt;= 60000, "Low Income",
D200&lt;=120000,"Medium Income",
D200&gt; 120000,"High Income"
)</f>
        <v>Medium Income</v>
      </c>
      <c r="F200" s="9">
        <v>0</v>
      </c>
      <c r="G200" s="9" t="s">
        <v>34</v>
      </c>
      <c r="H200" s="9" t="s">
        <v>31</v>
      </c>
      <c r="I200" s="9" t="s">
        <v>20</v>
      </c>
      <c r="J200" s="9">
        <v>1</v>
      </c>
      <c r="K200" s="9" t="s">
        <v>29</v>
      </c>
      <c r="L200" s="9" t="s">
        <v>27</v>
      </c>
      <c r="M200" s="9">
        <v>39</v>
      </c>
      <c r="N200" s="9" t="str" cm="1">
        <f t="array" ref="N200">_xlfn.IFS(
M200&lt;=12,"Children",
M200&lt;=19,"Teens",
M200&lt;=29,"Young Adults",
M200&lt;=39,"Adults",
M200&lt;=59,"Middle-Aged",
M200&gt;=60,"Seniors"
)</f>
        <v>Adults</v>
      </c>
      <c r="O200" s="9" t="s">
        <v>17</v>
      </c>
      <c r="P200" s="9">
        <f t="shared" si="6"/>
        <v>1</v>
      </c>
      <c r="Q200" s="9">
        <v>1</v>
      </c>
      <c r="R200" s="10">
        <f t="shared" si="7"/>
        <v>100000</v>
      </c>
    </row>
    <row r="201" spans="1:18" x14ac:dyDescent="0.3">
      <c r="A201" s="9">
        <v>11453</v>
      </c>
      <c r="B201" s="9" t="s">
        <v>40</v>
      </c>
      <c r="C201" s="9" t="s">
        <v>39</v>
      </c>
      <c r="D201" s="10">
        <v>80000</v>
      </c>
      <c r="E201" s="9" t="str" cm="1">
        <f t="array" ref="E201">_xlfn.IFS(D201&lt;= 60000, "Low Income",
D201&lt;=120000,"Medium Income",
D201&gt; 120000,"High Income"
)</f>
        <v>Medium Income</v>
      </c>
      <c r="F201" s="9">
        <v>0</v>
      </c>
      <c r="G201" s="9" t="s">
        <v>15</v>
      </c>
      <c r="H201" s="9" t="s">
        <v>23</v>
      </c>
      <c r="I201" s="9" t="s">
        <v>20</v>
      </c>
      <c r="J201" s="9">
        <v>3</v>
      </c>
      <c r="K201" s="9" t="s">
        <v>41</v>
      </c>
      <c r="L201" s="9" t="s">
        <v>27</v>
      </c>
      <c r="M201" s="9">
        <v>33</v>
      </c>
      <c r="N201" s="9" t="str" cm="1">
        <f t="array" ref="N201">_xlfn.IFS(
M201&lt;=12,"Children",
M201&lt;=19,"Teens",
M201&lt;=29,"Young Adults",
M201&lt;=39,"Adults",
M201&lt;=59,"Middle-Aged",
M201&gt;=60,"Seniors"
)</f>
        <v>Adults</v>
      </c>
      <c r="O201" s="9" t="s">
        <v>17</v>
      </c>
      <c r="P201" s="9">
        <f t="shared" si="6"/>
        <v>1</v>
      </c>
      <c r="Q201" s="9">
        <v>1</v>
      </c>
      <c r="R201" s="10">
        <f t="shared" si="7"/>
        <v>80000</v>
      </c>
    </row>
    <row r="202" spans="1:18" x14ac:dyDescent="0.3">
      <c r="A202" s="9">
        <v>24584</v>
      </c>
      <c r="B202" s="9" t="s">
        <v>40</v>
      </c>
      <c r="C202" s="9" t="s">
        <v>39</v>
      </c>
      <c r="D202" s="10">
        <v>60000</v>
      </c>
      <c r="E202" s="9" t="str" cm="1">
        <f t="array" ref="E202">_xlfn.IFS(D202&lt;= 60000, "Low Income",
D202&lt;=120000,"Medium Income",
D202&gt; 120000,"High Income"
)</f>
        <v>Low Income</v>
      </c>
      <c r="F202" s="9">
        <v>0</v>
      </c>
      <c r="G202" s="9" t="s">
        <v>15</v>
      </c>
      <c r="H202" s="9" t="s">
        <v>23</v>
      </c>
      <c r="I202" s="9" t="s">
        <v>20</v>
      </c>
      <c r="J202" s="9">
        <v>3</v>
      </c>
      <c r="K202" s="9" t="s">
        <v>24</v>
      </c>
      <c r="L202" s="9" t="s">
        <v>27</v>
      </c>
      <c r="M202" s="9">
        <v>31</v>
      </c>
      <c r="N202" s="9" t="str" cm="1">
        <f t="array" ref="N202">_xlfn.IFS(
M202&lt;=12,"Children",
M202&lt;=19,"Teens",
M202&lt;=29,"Young Adults",
M202&lt;=39,"Adults",
M202&lt;=59,"Middle-Aged",
M202&gt;=60,"Seniors"
)</f>
        <v>Adults</v>
      </c>
      <c r="O202" s="9" t="s">
        <v>20</v>
      </c>
      <c r="P202" s="9">
        <f t="shared" si="6"/>
        <v>0</v>
      </c>
      <c r="Q202" s="9">
        <v>1</v>
      </c>
      <c r="R202" s="10">
        <f t="shared" si="7"/>
        <v>0</v>
      </c>
    </row>
    <row r="203" spans="1:18" x14ac:dyDescent="0.3">
      <c r="A203" s="9">
        <v>12585</v>
      </c>
      <c r="B203" s="9" t="s">
        <v>37</v>
      </c>
      <c r="C203" s="9" t="s">
        <v>39</v>
      </c>
      <c r="D203" s="10">
        <v>10000</v>
      </c>
      <c r="E203" s="9" t="str" cm="1">
        <f t="array" ref="E203">_xlfn.IFS(D203&lt;= 60000, "Low Income",
D203&lt;=120000,"Medium Income",
D203&gt; 120000,"High Income"
)</f>
        <v>Low Income</v>
      </c>
      <c r="F203" s="9">
        <v>1</v>
      </c>
      <c r="G203" s="9" t="s">
        <v>30</v>
      </c>
      <c r="H203" s="9" t="s">
        <v>28</v>
      </c>
      <c r="I203" s="9" t="s">
        <v>17</v>
      </c>
      <c r="J203" s="9">
        <v>0</v>
      </c>
      <c r="K203" s="9" t="s">
        <v>24</v>
      </c>
      <c r="L203" s="9" t="s">
        <v>27</v>
      </c>
      <c r="M203" s="9">
        <v>27</v>
      </c>
      <c r="N203" s="9" t="str" cm="1">
        <f t="array" ref="N203">_xlfn.IFS(
M203&lt;=12,"Children",
M203&lt;=19,"Teens",
M203&lt;=29,"Young Adults",
M203&lt;=39,"Adults",
M203&lt;=59,"Middle-Aged",
M203&gt;=60,"Seniors"
)</f>
        <v>Young Adults</v>
      </c>
      <c r="O203" s="9" t="s">
        <v>17</v>
      </c>
      <c r="P203" s="9">
        <f t="shared" si="6"/>
        <v>1</v>
      </c>
      <c r="Q203" s="9">
        <v>1</v>
      </c>
      <c r="R203" s="10">
        <f t="shared" si="7"/>
        <v>10000</v>
      </c>
    </row>
    <row r="204" spans="1:18" x14ac:dyDescent="0.3">
      <c r="A204" s="9">
        <v>18626</v>
      </c>
      <c r="B204" s="9" t="s">
        <v>40</v>
      </c>
      <c r="C204" s="9" t="s">
        <v>39</v>
      </c>
      <c r="D204" s="10">
        <v>40000</v>
      </c>
      <c r="E204" s="9" t="str" cm="1">
        <f t="array" ref="E204">_xlfn.IFS(D204&lt;= 60000, "Low Income",
D204&lt;=120000,"Medium Income",
D204&gt; 120000,"High Income"
)</f>
        <v>Low Income</v>
      </c>
      <c r="F204" s="9">
        <v>2</v>
      </c>
      <c r="G204" s="9" t="s">
        <v>21</v>
      </c>
      <c r="H204" s="9" t="s">
        <v>22</v>
      </c>
      <c r="I204" s="9" t="s">
        <v>17</v>
      </c>
      <c r="J204" s="9">
        <v>0</v>
      </c>
      <c r="K204" s="9" t="s">
        <v>29</v>
      </c>
      <c r="L204" s="9" t="s">
        <v>19</v>
      </c>
      <c r="M204" s="9">
        <v>33</v>
      </c>
      <c r="N204" s="9" t="str" cm="1">
        <f t="array" ref="N204">_xlfn.IFS(
M204&lt;=12,"Children",
M204&lt;=19,"Teens",
M204&lt;=29,"Young Adults",
M204&lt;=39,"Adults",
M204&lt;=59,"Middle-Aged",
M204&gt;=60,"Seniors"
)</f>
        <v>Adults</v>
      </c>
      <c r="O204" s="9" t="s">
        <v>17</v>
      </c>
      <c r="P204" s="9">
        <f t="shared" si="6"/>
        <v>1</v>
      </c>
      <c r="Q204" s="9">
        <v>1</v>
      </c>
      <c r="R204" s="10">
        <f t="shared" si="7"/>
        <v>40000</v>
      </c>
    </row>
    <row r="205" spans="1:18" x14ac:dyDescent="0.3">
      <c r="A205" s="9">
        <v>29298</v>
      </c>
      <c r="B205" s="9" t="s">
        <v>40</v>
      </c>
      <c r="C205" s="9" t="s">
        <v>38</v>
      </c>
      <c r="D205" s="10">
        <v>60000</v>
      </c>
      <c r="E205" s="9" t="str" cm="1">
        <f t="array" ref="E205">_xlfn.IFS(D205&lt;= 60000, "Low Income",
D205&lt;=120000,"Medium Income",
D205&gt; 120000,"High Income"
)</f>
        <v>Low Income</v>
      </c>
      <c r="F205" s="9">
        <v>1</v>
      </c>
      <c r="G205" s="9" t="s">
        <v>21</v>
      </c>
      <c r="H205" s="9" t="s">
        <v>16</v>
      </c>
      <c r="I205" s="9" t="s">
        <v>17</v>
      </c>
      <c r="J205" s="9">
        <v>1</v>
      </c>
      <c r="K205" s="9" t="s">
        <v>26</v>
      </c>
      <c r="L205" s="9" t="s">
        <v>27</v>
      </c>
      <c r="M205" s="9">
        <v>46</v>
      </c>
      <c r="N205" s="9" t="str" cm="1">
        <f t="array" ref="N205">_xlfn.IFS(
M205&lt;=12,"Children",
M205&lt;=19,"Teens",
M205&lt;=29,"Young Adults",
M205&lt;=39,"Adults",
M205&lt;=59,"Middle-Aged",
M205&gt;=60,"Seniors"
)</f>
        <v>Middle-Aged</v>
      </c>
      <c r="O205" s="9" t="s">
        <v>17</v>
      </c>
      <c r="P205" s="9">
        <f t="shared" si="6"/>
        <v>1</v>
      </c>
      <c r="Q205" s="9">
        <v>1</v>
      </c>
      <c r="R205" s="10">
        <f t="shared" si="7"/>
        <v>60000</v>
      </c>
    </row>
    <row r="206" spans="1:18" x14ac:dyDescent="0.3">
      <c r="A206" s="9">
        <v>24842</v>
      </c>
      <c r="B206" s="9" t="s">
        <v>40</v>
      </c>
      <c r="C206" s="9" t="s">
        <v>38</v>
      </c>
      <c r="D206" s="10">
        <v>90000</v>
      </c>
      <c r="E206" s="9" t="str" cm="1">
        <f t="array" ref="E206">_xlfn.IFS(D206&lt;= 60000, "Low Income",
D206&lt;=120000,"Medium Income",
D206&gt; 120000,"High Income"
)</f>
        <v>Medium Income</v>
      </c>
      <c r="F206" s="9">
        <v>3</v>
      </c>
      <c r="G206" s="9" t="s">
        <v>30</v>
      </c>
      <c r="H206" s="9" t="s">
        <v>23</v>
      </c>
      <c r="I206" s="9" t="s">
        <v>20</v>
      </c>
      <c r="J206" s="9">
        <v>1</v>
      </c>
      <c r="K206" s="9" t="s">
        <v>24</v>
      </c>
      <c r="L206" s="9" t="s">
        <v>19</v>
      </c>
      <c r="M206" s="9">
        <v>51</v>
      </c>
      <c r="N206" s="9" t="str" cm="1">
        <f t="array" ref="N206">_xlfn.IFS(
M206&lt;=12,"Children",
M206&lt;=19,"Teens",
M206&lt;=29,"Young Adults",
M206&lt;=39,"Adults",
M206&lt;=59,"Middle-Aged",
M206&gt;=60,"Seniors"
)</f>
        <v>Middle-Aged</v>
      </c>
      <c r="O206" s="9" t="s">
        <v>20</v>
      </c>
      <c r="P206" s="9">
        <f t="shared" si="6"/>
        <v>0</v>
      </c>
      <c r="Q206" s="9">
        <v>1</v>
      </c>
      <c r="R206" s="10">
        <f t="shared" si="7"/>
        <v>0</v>
      </c>
    </row>
    <row r="207" spans="1:18" x14ac:dyDescent="0.3">
      <c r="A207" s="9">
        <v>15657</v>
      </c>
      <c r="B207" s="9" t="s">
        <v>37</v>
      </c>
      <c r="C207" s="9" t="s">
        <v>39</v>
      </c>
      <c r="D207" s="10">
        <v>30000</v>
      </c>
      <c r="E207" s="9" t="str" cm="1">
        <f t="array" ref="E207">_xlfn.IFS(D207&lt;= 60000, "Low Income",
D207&lt;=120000,"Medium Income",
D207&gt; 120000,"High Income"
)</f>
        <v>Low Income</v>
      </c>
      <c r="F207" s="9">
        <v>3</v>
      </c>
      <c r="G207" s="9" t="s">
        <v>34</v>
      </c>
      <c r="H207" s="9" t="s">
        <v>22</v>
      </c>
      <c r="I207" s="9" t="s">
        <v>17</v>
      </c>
      <c r="J207" s="9">
        <v>0</v>
      </c>
      <c r="K207" s="9" t="s">
        <v>18</v>
      </c>
      <c r="L207" s="9" t="s">
        <v>19</v>
      </c>
      <c r="M207" s="9">
        <v>46</v>
      </c>
      <c r="N207" s="9" t="str" cm="1">
        <f t="array" ref="N207">_xlfn.IFS(
M207&lt;=12,"Children",
M207&lt;=19,"Teens",
M207&lt;=29,"Young Adults",
M207&lt;=39,"Adults",
M207&lt;=59,"Middle-Aged",
M207&gt;=60,"Seniors"
)</f>
        <v>Middle-Aged</v>
      </c>
      <c r="O207" s="9" t="s">
        <v>17</v>
      </c>
      <c r="P207" s="9">
        <f t="shared" si="6"/>
        <v>1</v>
      </c>
      <c r="Q207" s="9">
        <v>1</v>
      </c>
      <c r="R207" s="10">
        <f t="shared" si="7"/>
        <v>30000</v>
      </c>
    </row>
    <row r="208" spans="1:18" x14ac:dyDescent="0.3">
      <c r="A208" s="9">
        <v>11415</v>
      </c>
      <c r="B208" s="9" t="s">
        <v>40</v>
      </c>
      <c r="C208" s="9" t="s">
        <v>39</v>
      </c>
      <c r="D208" s="10">
        <v>90000</v>
      </c>
      <c r="E208" s="9" t="str" cm="1">
        <f t="array" ref="E208">_xlfn.IFS(D208&lt;= 60000, "Low Income",
D208&lt;=120000,"Medium Income",
D208&gt; 120000,"High Income"
)</f>
        <v>Medium Income</v>
      </c>
      <c r="F208" s="9">
        <v>5</v>
      </c>
      <c r="G208" s="9" t="s">
        <v>21</v>
      </c>
      <c r="H208" s="9" t="s">
        <v>23</v>
      </c>
      <c r="I208" s="9" t="s">
        <v>20</v>
      </c>
      <c r="J208" s="9">
        <v>2</v>
      </c>
      <c r="K208" s="9" t="s">
        <v>41</v>
      </c>
      <c r="L208" s="9" t="s">
        <v>19</v>
      </c>
      <c r="M208" s="9">
        <v>62</v>
      </c>
      <c r="N208" s="9" t="str" cm="1">
        <f t="array" ref="N208">_xlfn.IFS(
M208&lt;=12,"Children",
M208&lt;=19,"Teens",
M208&lt;=29,"Young Adults",
M208&lt;=39,"Adults",
M208&lt;=59,"Middle-Aged",
M208&gt;=60,"Seniors"
)</f>
        <v>Seniors</v>
      </c>
      <c r="O208" s="9" t="s">
        <v>20</v>
      </c>
      <c r="P208" s="9">
        <f t="shared" si="6"/>
        <v>0</v>
      </c>
      <c r="Q208" s="9">
        <v>1</v>
      </c>
      <c r="R208" s="10">
        <f t="shared" si="7"/>
        <v>0</v>
      </c>
    </row>
    <row r="209" spans="1:18" x14ac:dyDescent="0.3">
      <c r="A209" s="9">
        <v>28729</v>
      </c>
      <c r="B209" s="9" t="s">
        <v>40</v>
      </c>
      <c r="C209" s="9" t="s">
        <v>38</v>
      </c>
      <c r="D209" s="10">
        <v>20000</v>
      </c>
      <c r="E209" s="9" t="str" cm="1">
        <f t="array" ref="E209">_xlfn.IFS(D209&lt;= 60000, "Low Income",
D209&lt;=120000,"Medium Income",
D209&gt; 120000,"High Income"
)</f>
        <v>Low Income</v>
      </c>
      <c r="F209" s="9">
        <v>0</v>
      </c>
      <c r="G209" s="9" t="s">
        <v>32</v>
      </c>
      <c r="H209" s="9" t="s">
        <v>28</v>
      </c>
      <c r="I209" s="9" t="s">
        <v>17</v>
      </c>
      <c r="J209" s="9">
        <v>2</v>
      </c>
      <c r="K209" s="9" t="s">
        <v>29</v>
      </c>
      <c r="L209" s="9" t="s">
        <v>19</v>
      </c>
      <c r="M209" s="9">
        <v>26</v>
      </c>
      <c r="N209" s="9" t="str" cm="1">
        <f t="array" ref="N209">_xlfn.IFS(
M209&lt;=12,"Children",
M209&lt;=19,"Teens",
M209&lt;=29,"Young Adults",
M209&lt;=39,"Adults",
M209&lt;=59,"Middle-Aged",
M209&gt;=60,"Seniors"
)</f>
        <v>Young Adults</v>
      </c>
      <c r="O209" s="9" t="s">
        <v>17</v>
      </c>
      <c r="P209" s="9">
        <f t="shared" si="6"/>
        <v>1</v>
      </c>
      <c r="Q209" s="9">
        <v>1</v>
      </c>
      <c r="R209" s="10">
        <f t="shared" si="7"/>
        <v>20000</v>
      </c>
    </row>
    <row r="210" spans="1:18" x14ac:dyDescent="0.3">
      <c r="A210" s="9">
        <v>22633</v>
      </c>
      <c r="B210" s="9" t="s">
        <v>40</v>
      </c>
      <c r="C210" s="9" t="s">
        <v>38</v>
      </c>
      <c r="D210" s="10">
        <v>40000</v>
      </c>
      <c r="E210" s="9" t="str" cm="1">
        <f t="array" ref="E210">_xlfn.IFS(D210&lt;= 60000, "Low Income",
D210&lt;=120000,"Medium Income",
D210&gt; 120000,"High Income"
)</f>
        <v>Low Income</v>
      </c>
      <c r="F210" s="9">
        <v>0</v>
      </c>
      <c r="G210" s="9" t="s">
        <v>34</v>
      </c>
      <c r="H210" s="9" t="s">
        <v>22</v>
      </c>
      <c r="I210" s="9" t="s">
        <v>17</v>
      </c>
      <c r="J210" s="9">
        <v>0</v>
      </c>
      <c r="K210" s="9" t="s">
        <v>18</v>
      </c>
      <c r="L210" s="9" t="s">
        <v>19</v>
      </c>
      <c r="M210" s="9">
        <v>37</v>
      </c>
      <c r="N210" s="9" t="str" cm="1">
        <f t="array" ref="N210">_xlfn.IFS(
M210&lt;=12,"Children",
M210&lt;=19,"Teens",
M210&lt;=29,"Young Adults",
M210&lt;=39,"Adults",
M210&lt;=59,"Middle-Aged",
M210&gt;=60,"Seniors"
)</f>
        <v>Adults</v>
      </c>
      <c r="O210" s="9" t="s">
        <v>17</v>
      </c>
      <c r="P210" s="9">
        <f t="shared" si="6"/>
        <v>1</v>
      </c>
      <c r="Q210" s="9">
        <v>1</v>
      </c>
      <c r="R210" s="10">
        <f t="shared" si="7"/>
        <v>40000</v>
      </c>
    </row>
    <row r="211" spans="1:18" x14ac:dyDescent="0.3">
      <c r="A211" s="9">
        <v>25649</v>
      </c>
      <c r="B211" s="9" t="s">
        <v>40</v>
      </c>
      <c r="C211" s="9" t="s">
        <v>38</v>
      </c>
      <c r="D211" s="10">
        <v>30000</v>
      </c>
      <c r="E211" s="9" t="str" cm="1">
        <f t="array" ref="E211">_xlfn.IFS(D211&lt;= 60000, "Low Income",
D211&lt;=120000,"Medium Income",
D211&gt; 120000,"High Income"
)</f>
        <v>Low Income</v>
      </c>
      <c r="F211" s="9">
        <v>3</v>
      </c>
      <c r="G211" s="9" t="s">
        <v>21</v>
      </c>
      <c r="H211" s="9" t="s">
        <v>22</v>
      </c>
      <c r="I211" s="9" t="s">
        <v>17</v>
      </c>
      <c r="J211" s="9">
        <v>0</v>
      </c>
      <c r="K211" s="9" t="s">
        <v>18</v>
      </c>
      <c r="L211" s="9" t="s">
        <v>19</v>
      </c>
      <c r="M211" s="9">
        <v>42</v>
      </c>
      <c r="N211" s="9" t="str" cm="1">
        <f t="array" ref="N211">_xlfn.IFS(
M211&lt;=12,"Children",
M211&lt;=19,"Teens",
M211&lt;=29,"Young Adults",
M211&lt;=39,"Adults",
M211&lt;=59,"Middle-Aged",
M211&gt;=60,"Seniors"
)</f>
        <v>Middle-Aged</v>
      </c>
      <c r="O211" s="9" t="s">
        <v>17</v>
      </c>
      <c r="P211" s="9">
        <f t="shared" si="6"/>
        <v>1</v>
      </c>
      <c r="Q211" s="9">
        <v>1</v>
      </c>
      <c r="R211" s="10">
        <f t="shared" si="7"/>
        <v>30000</v>
      </c>
    </row>
    <row r="212" spans="1:18" x14ac:dyDescent="0.3">
      <c r="A212" s="9">
        <v>14669</v>
      </c>
      <c r="B212" s="9" t="s">
        <v>37</v>
      </c>
      <c r="C212" s="9" t="s">
        <v>38</v>
      </c>
      <c r="D212" s="10">
        <v>80000</v>
      </c>
      <c r="E212" s="9" t="str" cm="1">
        <f t="array" ref="E212">_xlfn.IFS(D212&lt;= 60000, "Low Income",
D212&lt;=120000,"Medium Income",
D212&gt; 120000,"High Income"
)</f>
        <v>Medium Income</v>
      </c>
      <c r="F212" s="9">
        <v>4</v>
      </c>
      <c r="G212" s="9" t="s">
        <v>34</v>
      </c>
      <c r="H212" s="9" t="s">
        <v>31</v>
      </c>
      <c r="I212" s="9" t="s">
        <v>17</v>
      </c>
      <c r="J212" s="9">
        <v>1</v>
      </c>
      <c r="K212" s="9" t="s">
        <v>18</v>
      </c>
      <c r="L212" s="9" t="s">
        <v>27</v>
      </c>
      <c r="M212" s="9">
        <v>36</v>
      </c>
      <c r="N212" s="9" t="str" cm="1">
        <f t="array" ref="N212">_xlfn.IFS(
M212&lt;=12,"Children",
M212&lt;=19,"Teens",
M212&lt;=29,"Young Adults",
M212&lt;=39,"Adults",
M212&lt;=59,"Middle-Aged",
M212&gt;=60,"Seniors"
)</f>
        <v>Adults</v>
      </c>
      <c r="O212" s="9" t="s">
        <v>20</v>
      </c>
      <c r="P212" s="9">
        <f t="shared" si="6"/>
        <v>0</v>
      </c>
      <c r="Q212" s="9">
        <v>1</v>
      </c>
      <c r="R212" s="10">
        <f t="shared" si="7"/>
        <v>0</v>
      </c>
    </row>
    <row r="213" spans="1:18" x14ac:dyDescent="0.3">
      <c r="A213" s="9">
        <v>19299</v>
      </c>
      <c r="B213" s="9" t="s">
        <v>37</v>
      </c>
      <c r="C213" s="9" t="s">
        <v>38</v>
      </c>
      <c r="D213" s="10">
        <v>50000</v>
      </c>
      <c r="E213" s="9" t="str" cm="1">
        <f t="array" ref="E213">_xlfn.IFS(D213&lt;= 60000, "Low Income",
D213&lt;=120000,"Medium Income",
D213&gt; 120000,"High Income"
)</f>
        <v>Low Income</v>
      </c>
      <c r="F213" s="9">
        <v>0</v>
      </c>
      <c r="G213" s="9" t="s">
        <v>34</v>
      </c>
      <c r="H213" s="9" t="s">
        <v>16</v>
      </c>
      <c r="I213" s="9" t="s">
        <v>17</v>
      </c>
      <c r="J213" s="9">
        <v>0</v>
      </c>
      <c r="K213" s="9" t="s">
        <v>18</v>
      </c>
      <c r="L213" s="9" t="s">
        <v>19</v>
      </c>
      <c r="M213" s="9">
        <v>36</v>
      </c>
      <c r="N213" s="9" t="str" cm="1">
        <f t="array" ref="N213">_xlfn.IFS(
M213&lt;=12,"Children",
M213&lt;=19,"Teens",
M213&lt;=29,"Young Adults",
M213&lt;=39,"Adults",
M213&lt;=59,"Middle-Aged",
M213&gt;=60,"Seniors"
)</f>
        <v>Adults</v>
      </c>
      <c r="O213" s="9" t="s">
        <v>17</v>
      </c>
      <c r="P213" s="9">
        <f t="shared" si="6"/>
        <v>1</v>
      </c>
      <c r="Q213" s="9">
        <v>1</v>
      </c>
      <c r="R213" s="10">
        <f t="shared" si="7"/>
        <v>50000</v>
      </c>
    </row>
    <row r="214" spans="1:18" x14ac:dyDescent="0.3">
      <c r="A214" s="9">
        <v>20946</v>
      </c>
      <c r="B214" s="9" t="s">
        <v>40</v>
      </c>
      <c r="C214" s="9" t="s">
        <v>38</v>
      </c>
      <c r="D214" s="10">
        <v>30000</v>
      </c>
      <c r="E214" s="9" t="str" cm="1">
        <f t="array" ref="E214">_xlfn.IFS(D214&lt;= 60000, "Low Income",
D214&lt;=120000,"Medium Income",
D214&gt; 120000,"High Income"
)</f>
        <v>Low Income</v>
      </c>
      <c r="F214" s="9">
        <v>0</v>
      </c>
      <c r="G214" s="9" t="s">
        <v>21</v>
      </c>
      <c r="H214" s="9" t="s">
        <v>22</v>
      </c>
      <c r="I214" s="9" t="s">
        <v>20</v>
      </c>
      <c r="J214" s="9">
        <v>1</v>
      </c>
      <c r="K214" s="9" t="s">
        <v>24</v>
      </c>
      <c r="L214" s="9" t="s">
        <v>19</v>
      </c>
      <c r="M214" s="9">
        <v>30</v>
      </c>
      <c r="N214" s="9" t="str" cm="1">
        <f t="array" ref="N214">_xlfn.IFS(
M214&lt;=12,"Children",
M214&lt;=19,"Teens",
M214&lt;=29,"Young Adults",
M214&lt;=39,"Adults",
M214&lt;=59,"Middle-Aged",
M214&gt;=60,"Seniors"
)</f>
        <v>Adults</v>
      </c>
      <c r="O214" s="9" t="s">
        <v>20</v>
      </c>
      <c r="P214" s="9">
        <f t="shared" si="6"/>
        <v>0</v>
      </c>
      <c r="Q214" s="9">
        <v>1</v>
      </c>
      <c r="R214" s="10">
        <f t="shared" si="7"/>
        <v>0</v>
      </c>
    </row>
    <row r="215" spans="1:18" x14ac:dyDescent="0.3">
      <c r="A215" s="9">
        <v>11451</v>
      </c>
      <c r="B215" s="9" t="s">
        <v>40</v>
      </c>
      <c r="C215" s="9" t="s">
        <v>39</v>
      </c>
      <c r="D215" s="10">
        <v>70000</v>
      </c>
      <c r="E215" s="9" t="str" cm="1">
        <f t="array" ref="E215">_xlfn.IFS(D215&lt;= 60000, "Low Income",
D215&lt;=120000,"Medium Income",
D215&gt; 120000,"High Income"
)</f>
        <v>Medium Income</v>
      </c>
      <c r="F215" s="9">
        <v>0</v>
      </c>
      <c r="G215" s="9" t="s">
        <v>15</v>
      </c>
      <c r="H215" s="9" t="s">
        <v>23</v>
      </c>
      <c r="I215" s="9" t="s">
        <v>20</v>
      </c>
      <c r="J215" s="9">
        <v>4</v>
      </c>
      <c r="K215" s="9" t="s">
        <v>41</v>
      </c>
      <c r="L215" s="9" t="s">
        <v>27</v>
      </c>
      <c r="M215" s="9">
        <v>31</v>
      </c>
      <c r="N215" s="9" t="str" cm="1">
        <f t="array" ref="N215">_xlfn.IFS(
M215&lt;=12,"Children",
M215&lt;=19,"Teens",
M215&lt;=29,"Young Adults",
M215&lt;=39,"Adults",
M215&lt;=59,"Middle-Aged",
M215&gt;=60,"Seniors"
)</f>
        <v>Adults</v>
      </c>
      <c r="O215" s="9" t="s">
        <v>17</v>
      </c>
      <c r="P215" s="9">
        <f t="shared" si="6"/>
        <v>1</v>
      </c>
      <c r="Q215" s="9">
        <v>1</v>
      </c>
      <c r="R215" s="10">
        <f t="shared" si="7"/>
        <v>70000</v>
      </c>
    </row>
    <row r="216" spans="1:18" x14ac:dyDescent="0.3">
      <c r="A216" s="9">
        <v>25553</v>
      </c>
      <c r="B216" s="9" t="s">
        <v>37</v>
      </c>
      <c r="C216" s="9" t="s">
        <v>39</v>
      </c>
      <c r="D216" s="10">
        <v>30000</v>
      </c>
      <c r="E216" s="9" t="str" cm="1">
        <f t="array" ref="E216">_xlfn.IFS(D216&lt;= 60000, "Low Income",
D216&lt;=120000,"Medium Income",
D216&gt; 120000,"High Income"
)</f>
        <v>Low Income</v>
      </c>
      <c r="F216" s="9">
        <v>1</v>
      </c>
      <c r="G216" s="9" t="s">
        <v>15</v>
      </c>
      <c r="H216" s="9" t="s">
        <v>22</v>
      </c>
      <c r="I216" s="9" t="s">
        <v>17</v>
      </c>
      <c r="J216" s="9">
        <v>0</v>
      </c>
      <c r="K216" s="9" t="s">
        <v>18</v>
      </c>
      <c r="L216" s="9" t="s">
        <v>19</v>
      </c>
      <c r="M216" s="9">
        <v>65</v>
      </c>
      <c r="N216" s="9" t="str" cm="1">
        <f t="array" ref="N216">_xlfn.IFS(
M216&lt;=12,"Children",
M216&lt;=19,"Teens",
M216&lt;=29,"Young Adults",
M216&lt;=39,"Adults",
M216&lt;=59,"Middle-Aged",
M216&gt;=60,"Seniors"
)</f>
        <v>Seniors</v>
      </c>
      <c r="O216" s="9" t="s">
        <v>17</v>
      </c>
      <c r="P216" s="9">
        <f t="shared" si="6"/>
        <v>1</v>
      </c>
      <c r="Q216" s="9">
        <v>1</v>
      </c>
      <c r="R216" s="10">
        <f t="shared" si="7"/>
        <v>30000</v>
      </c>
    </row>
    <row r="217" spans="1:18" x14ac:dyDescent="0.3">
      <c r="A217" s="9">
        <v>27951</v>
      </c>
      <c r="B217" s="9" t="s">
        <v>40</v>
      </c>
      <c r="C217" s="9" t="s">
        <v>39</v>
      </c>
      <c r="D217" s="10">
        <v>80000</v>
      </c>
      <c r="E217" s="9" t="str" cm="1">
        <f t="array" ref="E217">_xlfn.IFS(D217&lt;= 60000, "Low Income",
D217&lt;=120000,"Medium Income",
D217&gt; 120000,"High Income"
)</f>
        <v>Medium Income</v>
      </c>
      <c r="F217" s="9">
        <v>4</v>
      </c>
      <c r="G217" s="9" t="s">
        <v>21</v>
      </c>
      <c r="H217" s="9" t="s">
        <v>23</v>
      </c>
      <c r="I217" s="9" t="s">
        <v>20</v>
      </c>
      <c r="J217" s="9">
        <v>2</v>
      </c>
      <c r="K217" s="9" t="s">
        <v>24</v>
      </c>
      <c r="L217" s="9" t="s">
        <v>19</v>
      </c>
      <c r="M217" s="9">
        <v>54</v>
      </c>
      <c r="N217" s="9" t="str" cm="1">
        <f t="array" ref="N217">_xlfn.IFS(
M217&lt;=12,"Children",
M217&lt;=19,"Teens",
M217&lt;=29,"Young Adults",
M217&lt;=39,"Adults",
M217&lt;=59,"Middle-Aged",
M217&gt;=60,"Seniors"
)</f>
        <v>Middle-Aged</v>
      </c>
      <c r="O217" s="9" t="s">
        <v>17</v>
      </c>
      <c r="P217" s="9">
        <f t="shared" si="6"/>
        <v>1</v>
      </c>
      <c r="Q217" s="9">
        <v>1</v>
      </c>
      <c r="R217" s="10">
        <f t="shared" si="7"/>
        <v>80000</v>
      </c>
    </row>
    <row r="218" spans="1:18" x14ac:dyDescent="0.3">
      <c r="A218" s="9">
        <v>25026</v>
      </c>
      <c r="B218" s="9" t="s">
        <v>37</v>
      </c>
      <c r="C218" s="9" t="s">
        <v>39</v>
      </c>
      <c r="D218" s="10">
        <v>20000</v>
      </c>
      <c r="E218" s="9" t="str" cm="1">
        <f t="array" ref="E218">_xlfn.IFS(D218&lt;= 60000, "Low Income",
D218&lt;=120000,"Medium Income",
D218&gt; 120000,"High Income"
)</f>
        <v>Low Income</v>
      </c>
      <c r="F218" s="9">
        <v>2</v>
      </c>
      <c r="G218" s="9" t="s">
        <v>32</v>
      </c>
      <c r="H218" s="9" t="s">
        <v>22</v>
      </c>
      <c r="I218" s="9" t="s">
        <v>17</v>
      </c>
      <c r="J218" s="9">
        <v>3</v>
      </c>
      <c r="K218" s="9" t="s">
        <v>26</v>
      </c>
      <c r="L218" s="9" t="s">
        <v>27</v>
      </c>
      <c r="M218" s="9">
        <v>54</v>
      </c>
      <c r="N218" s="9" t="str" cm="1">
        <f t="array" ref="N218">_xlfn.IFS(
M218&lt;=12,"Children",
M218&lt;=19,"Teens",
M218&lt;=29,"Young Adults",
M218&lt;=39,"Adults",
M218&lt;=59,"Middle-Aged",
M218&gt;=60,"Seniors"
)</f>
        <v>Middle-Aged</v>
      </c>
      <c r="O218" s="9" t="s">
        <v>20</v>
      </c>
      <c r="P218" s="9">
        <f t="shared" si="6"/>
        <v>0</v>
      </c>
      <c r="Q218" s="9">
        <v>1</v>
      </c>
      <c r="R218" s="10">
        <f t="shared" si="7"/>
        <v>0</v>
      </c>
    </row>
    <row r="219" spans="1:18" x14ac:dyDescent="0.3">
      <c r="A219" s="9">
        <v>13673</v>
      </c>
      <c r="B219" s="9" t="s">
        <v>40</v>
      </c>
      <c r="C219" s="9" t="s">
        <v>38</v>
      </c>
      <c r="D219" s="10">
        <v>20000</v>
      </c>
      <c r="E219" s="9" t="str" cm="1">
        <f t="array" ref="E219">_xlfn.IFS(D219&lt;= 60000, "Low Income",
D219&lt;=120000,"Medium Income",
D219&gt; 120000,"High Income"
)</f>
        <v>Low Income</v>
      </c>
      <c r="F219" s="9">
        <v>0</v>
      </c>
      <c r="G219" s="9" t="s">
        <v>32</v>
      </c>
      <c r="H219" s="9" t="s">
        <v>28</v>
      </c>
      <c r="I219" s="9" t="s">
        <v>20</v>
      </c>
      <c r="J219" s="9">
        <v>2</v>
      </c>
      <c r="K219" s="9" t="s">
        <v>18</v>
      </c>
      <c r="L219" s="9" t="s">
        <v>19</v>
      </c>
      <c r="M219" s="9">
        <v>25</v>
      </c>
      <c r="N219" s="9" t="str" cm="1">
        <f t="array" ref="N219">_xlfn.IFS(
M219&lt;=12,"Children",
M219&lt;=19,"Teens",
M219&lt;=29,"Young Adults",
M219&lt;=39,"Adults",
M219&lt;=59,"Middle-Aged",
M219&gt;=60,"Seniors"
)</f>
        <v>Young Adults</v>
      </c>
      <c r="O219" s="9" t="s">
        <v>20</v>
      </c>
      <c r="P219" s="9">
        <f t="shared" si="6"/>
        <v>0</v>
      </c>
      <c r="Q219" s="9">
        <v>1</v>
      </c>
      <c r="R219" s="10">
        <f t="shared" si="7"/>
        <v>0</v>
      </c>
    </row>
    <row r="220" spans="1:18" x14ac:dyDescent="0.3">
      <c r="A220" s="9">
        <v>16043</v>
      </c>
      <c r="B220" s="9" t="s">
        <v>40</v>
      </c>
      <c r="C220" s="9" t="s">
        <v>39</v>
      </c>
      <c r="D220" s="10">
        <v>10000</v>
      </c>
      <c r="E220" s="9" t="str" cm="1">
        <f t="array" ref="E220">_xlfn.IFS(D220&lt;= 60000, "Low Income",
D220&lt;=120000,"Medium Income",
D220&gt; 120000,"High Income"
)</f>
        <v>Low Income</v>
      </c>
      <c r="F220" s="9">
        <v>1</v>
      </c>
      <c r="G220" s="9" t="s">
        <v>15</v>
      </c>
      <c r="H220" s="9" t="s">
        <v>28</v>
      </c>
      <c r="I220" s="9" t="s">
        <v>17</v>
      </c>
      <c r="J220" s="9">
        <v>0</v>
      </c>
      <c r="K220" s="9" t="s">
        <v>18</v>
      </c>
      <c r="L220" s="9" t="s">
        <v>19</v>
      </c>
      <c r="M220" s="9">
        <v>48</v>
      </c>
      <c r="N220" s="9" t="str" cm="1">
        <f t="array" ref="N220">_xlfn.IFS(
M220&lt;=12,"Children",
M220&lt;=19,"Teens",
M220&lt;=29,"Young Adults",
M220&lt;=39,"Adults",
M220&lt;=59,"Middle-Aged",
M220&gt;=60,"Seniors"
)</f>
        <v>Middle-Aged</v>
      </c>
      <c r="O220" s="9" t="s">
        <v>20</v>
      </c>
      <c r="P220" s="9">
        <f t="shared" si="6"/>
        <v>0</v>
      </c>
      <c r="Q220" s="9">
        <v>1</v>
      </c>
      <c r="R220" s="10">
        <f t="shared" si="7"/>
        <v>0</v>
      </c>
    </row>
    <row r="221" spans="1:18" x14ac:dyDescent="0.3">
      <c r="A221" s="9">
        <v>22399</v>
      </c>
      <c r="B221" s="9" t="s">
        <v>40</v>
      </c>
      <c r="C221" s="9" t="s">
        <v>39</v>
      </c>
      <c r="D221" s="10">
        <v>10000</v>
      </c>
      <c r="E221" s="9" t="str" cm="1">
        <f t="array" ref="E221">_xlfn.IFS(D221&lt;= 60000, "Low Income",
D221&lt;=120000,"Medium Income",
D221&gt; 120000,"High Income"
)</f>
        <v>Low Income</v>
      </c>
      <c r="F221" s="9">
        <v>0</v>
      </c>
      <c r="G221" s="9" t="s">
        <v>21</v>
      </c>
      <c r="H221" s="9" t="s">
        <v>28</v>
      </c>
      <c r="I221" s="9" t="s">
        <v>17</v>
      </c>
      <c r="J221" s="9">
        <v>1</v>
      </c>
      <c r="K221" s="9" t="s">
        <v>29</v>
      </c>
      <c r="L221" s="9" t="s">
        <v>27</v>
      </c>
      <c r="M221" s="9">
        <v>26</v>
      </c>
      <c r="N221" s="9" t="str" cm="1">
        <f t="array" ref="N221">_xlfn.IFS(
M221&lt;=12,"Children",
M221&lt;=19,"Teens",
M221&lt;=29,"Young Adults",
M221&lt;=39,"Adults",
M221&lt;=59,"Middle-Aged",
M221&gt;=60,"Seniors"
)</f>
        <v>Young Adults</v>
      </c>
      <c r="O221" s="9" t="s">
        <v>17</v>
      </c>
      <c r="P221" s="9">
        <f t="shared" si="6"/>
        <v>1</v>
      </c>
      <c r="Q221" s="9">
        <v>1</v>
      </c>
      <c r="R221" s="10">
        <f t="shared" si="7"/>
        <v>10000</v>
      </c>
    </row>
    <row r="222" spans="1:18" x14ac:dyDescent="0.3">
      <c r="A222" s="9">
        <v>27696</v>
      </c>
      <c r="B222" s="9" t="s">
        <v>37</v>
      </c>
      <c r="C222" s="9" t="s">
        <v>39</v>
      </c>
      <c r="D222" s="10">
        <v>60000</v>
      </c>
      <c r="E222" s="9" t="str" cm="1">
        <f t="array" ref="E222">_xlfn.IFS(D222&lt;= 60000, "Low Income",
D222&lt;=120000,"Medium Income",
D222&gt; 120000,"High Income"
)</f>
        <v>Low Income</v>
      </c>
      <c r="F222" s="9">
        <v>1</v>
      </c>
      <c r="G222" s="9" t="s">
        <v>15</v>
      </c>
      <c r="H222" s="9" t="s">
        <v>23</v>
      </c>
      <c r="I222" s="9" t="s">
        <v>17</v>
      </c>
      <c r="J222" s="9">
        <v>1</v>
      </c>
      <c r="K222" s="9" t="s">
        <v>26</v>
      </c>
      <c r="L222" s="9" t="s">
        <v>27</v>
      </c>
      <c r="M222" s="9">
        <v>43</v>
      </c>
      <c r="N222" s="9" t="str" cm="1">
        <f t="array" ref="N222">_xlfn.IFS(
M222&lt;=12,"Children",
M222&lt;=19,"Teens",
M222&lt;=29,"Young Adults",
M222&lt;=39,"Adults",
M222&lt;=59,"Middle-Aged",
M222&gt;=60,"Seniors"
)</f>
        <v>Middle-Aged</v>
      </c>
      <c r="O222" s="9" t="s">
        <v>17</v>
      </c>
      <c r="P222" s="9">
        <f t="shared" si="6"/>
        <v>1</v>
      </c>
      <c r="Q222" s="9">
        <v>1</v>
      </c>
      <c r="R222" s="10">
        <f t="shared" si="7"/>
        <v>60000</v>
      </c>
    </row>
    <row r="223" spans="1:18" x14ac:dyDescent="0.3">
      <c r="A223" s="9">
        <v>25313</v>
      </c>
      <c r="B223" s="9" t="s">
        <v>40</v>
      </c>
      <c r="C223" s="9" t="s">
        <v>39</v>
      </c>
      <c r="D223" s="10">
        <v>10000</v>
      </c>
      <c r="E223" s="9" t="str" cm="1">
        <f t="array" ref="E223">_xlfn.IFS(D223&lt;= 60000, "Low Income",
D223&lt;=120000,"Medium Income",
D223&gt; 120000,"High Income"
)</f>
        <v>Low Income</v>
      </c>
      <c r="F223" s="9">
        <v>0</v>
      </c>
      <c r="G223" s="9" t="s">
        <v>32</v>
      </c>
      <c r="H223" s="9" t="s">
        <v>28</v>
      </c>
      <c r="I223" s="9" t="s">
        <v>20</v>
      </c>
      <c r="J223" s="9">
        <v>2</v>
      </c>
      <c r="K223" s="9" t="s">
        <v>29</v>
      </c>
      <c r="L223" s="9" t="s">
        <v>19</v>
      </c>
      <c r="M223" s="9">
        <v>35</v>
      </c>
      <c r="N223" s="9" t="str" cm="1">
        <f t="array" ref="N223">_xlfn.IFS(
M223&lt;=12,"Children",
M223&lt;=19,"Teens",
M223&lt;=29,"Young Adults",
M223&lt;=39,"Adults",
M223&lt;=59,"Middle-Aged",
M223&gt;=60,"Seniors"
)</f>
        <v>Adults</v>
      </c>
      <c r="O223" s="9" t="s">
        <v>20</v>
      </c>
      <c r="P223" s="9">
        <f t="shared" si="6"/>
        <v>0</v>
      </c>
      <c r="Q223" s="9">
        <v>1</v>
      </c>
      <c r="R223" s="10">
        <f t="shared" si="7"/>
        <v>0</v>
      </c>
    </row>
    <row r="224" spans="1:18" x14ac:dyDescent="0.3">
      <c r="A224" s="9">
        <v>13813</v>
      </c>
      <c r="B224" s="9" t="s">
        <v>37</v>
      </c>
      <c r="C224" s="9" t="s">
        <v>38</v>
      </c>
      <c r="D224" s="10">
        <v>30000</v>
      </c>
      <c r="E224" s="9" t="str" cm="1">
        <f t="array" ref="E224">_xlfn.IFS(D224&lt;= 60000, "Low Income",
D224&lt;=120000,"Medium Income",
D224&gt; 120000,"High Income"
)</f>
        <v>Low Income</v>
      </c>
      <c r="F224" s="9">
        <v>3</v>
      </c>
      <c r="G224" s="9" t="s">
        <v>21</v>
      </c>
      <c r="H224" s="9" t="s">
        <v>22</v>
      </c>
      <c r="I224" s="9" t="s">
        <v>20</v>
      </c>
      <c r="J224" s="9">
        <v>0</v>
      </c>
      <c r="K224" s="9" t="s">
        <v>18</v>
      </c>
      <c r="L224" s="9" t="s">
        <v>19</v>
      </c>
      <c r="M224" s="9">
        <v>42</v>
      </c>
      <c r="N224" s="9" t="str" cm="1">
        <f t="array" ref="N224">_xlfn.IFS(
M224&lt;=12,"Children",
M224&lt;=19,"Teens",
M224&lt;=29,"Young Adults",
M224&lt;=39,"Adults",
M224&lt;=59,"Middle-Aged",
M224&gt;=60,"Seniors"
)</f>
        <v>Middle-Aged</v>
      </c>
      <c r="O224" s="9" t="s">
        <v>20</v>
      </c>
      <c r="P224" s="9">
        <f t="shared" si="6"/>
        <v>0</v>
      </c>
      <c r="Q224" s="9">
        <v>1</v>
      </c>
      <c r="R224" s="10">
        <f t="shared" si="7"/>
        <v>0</v>
      </c>
    </row>
    <row r="225" spans="1:18" x14ac:dyDescent="0.3">
      <c r="A225" s="9">
        <v>18711</v>
      </c>
      <c r="B225" s="9" t="s">
        <v>40</v>
      </c>
      <c r="C225" s="9" t="s">
        <v>38</v>
      </c>
      <c r="D225" s="10">
        <v>70000</v>
      </c>
      <c r="E225" s="9" t="str" cm="1">
        <f t="array" ref="E225">_xlfn.IFS(D225&lt;= 60000, "Low Income",
D225&lt;=120000,"Medium Income",
D225&gt; 120000,"High Income"
)</f>
        <v>Medium Income</v>
      </c>
      <c r="F225" s="9">
        <v>5</v>
      </c>
      <c r="G225" s="9" t="s">
        <v>15</v>
      </c>
      <c r="H225" s="9" t="s">
        <v>23</v>
      </c>
      <c r="I225" s="9" t="s">
        <v>17</v>
      </c>
      <c r="J225" s="9">
        <v>4</v>
      </c>
      <c r="K225" s="9" t="s">
        <v>41</v>
      </c>
      <c r="L225" s="9" t="s">
        <v>27</v>
      </c>
      <c r="M225" s="9">
        <v>39</v>
      </c>
      <c r="N225" s="9" t="str" cm="1">
        <f t="array" ref="N225">_xlfn.IFS(
M225&lt;=12,"Children",
M225&lt;=19,"Teens",
M225&lt;=29,"Young Adults",
M225&lt;=39,"Adults",
M225&lt;=59,"Middle-Aged",
M225&gt;=60,"Seniors"
)</f>
        <v>Adults</v>
      </c>
      <c r="O225" s="9" t="s">
        <v>20</v>
      </c>
      <c r="P225" s="9">
        <f t="shared" si="6"/>
        <v>0</v>
      </c>
      <c r="Q225" s="9">
        <v>1</v>
      </c>
      <c r="R225" s="10">
        <f t="shared" si="7"/>
        <v>0</v>
      </c>
    </row>
    <row r="226" spans="1:18" x14ac:dyDescent="0.3">
      <c r="A226" s="9">
        <v>19650</v>
      </c>
      <c r="B226" s="9" t="s">
        <v>37</v>
      </c>
      <c r="C226" s="9" t="s">
        <v>38</v>
      </c>
      <c r="D226" s="10">
        <v>30000</v>
      </c>
      <c r="E226" s="9" t="str" cm="1">
        <f t="array" ref="E226">_xlfn.IFS(D226&lt;= 60000, "Low Income",
D226&lt;=120000,"Medium Income",
D226&gt; 120000,"High Income"
)</f>
        <v>Low Income</v>
      </c>
      <c r="F226" s="9">
        <v>2</v>
      </c>
      <c r="G226" s="9" t="s">
        <v>21</v>
      </c>
      <c r="H226" s="9" t="s">
        <v>22</v>
      </c>
      <c r="I226" s="9" t="s">
        <v>20</v>
      </c>
      <c r="J226" s="9">
        <v>2</v>
      </c>
      <c r="K226" s="9" t="s">
        <v>18</v>
      </c>
      <c r="L226" s="9" t="s">
        <v>27</v>
      </c>
      <c r="M226" s="9">
        <v>67</v>
      </c>
      <c r="N226" s="9" t="str" cm="1">
        <f t="array" ref="N226">_xlfn.IFS(
M226&lt;=12,"Children",
M226&lt;=19,"Teens",
M226&lt;=29,"Young Adults",
M226&lt;=39,"Adults",
M226&lt;=59,"Middle-Aged",
M226&gt;=60,"Seniors"
)</f>
        <v>Seniors</v>
      </c>
      <c r="O226" s="9" t="s">
        <v>20</v>
      </c>
      <c r="P226" s="9">
        <f t="shared" si="6"/>
        <v>0</v>
      </c>
      <c r="Q226" s="9">
        <v>1</v>
      </c>
      <c r="R226" s="10">
        <f t="shared" si="7"/>
        <v>0</v>
      </c>
    </row>
    <row r="227" spans="1:18" x14ac:dyDescent="0.3">
      <c r="A227" s="9">
        <v>14135</v>
      </c>
      <c r="B227" s="9" t="s">
        <v>37</v>
      </c>
      <c r="C227" s="9" t="s">
        <v>39</v>
      </c>
      <c r="D227" s="10">
        <v>20000</v>
      </c>
      <c r="E227" s="9" t="str" cm="1">
        <f t="array" ref="E227">_xlfn.IFS(D227&lt;= 60000, "Low Income",
D227&lt;=120000,"Medium Income",
D227&gt; 120000,"High Income"
)</f>
        <v>Low Income</v>
      </c>
      <c r="F227" s="9">
        <v>1</v>
      </c>
      <c r="G227" s="9" t="s">
        <v>21</v>
      </c>
      <c r="H227" s="9" t="s">
        <v>28</v>
      </c>
      <c r="I227" s="9" t="s">
        <v>17</v>
      </c>
      <c r="J227" s="9">
        <v>0</v>
      </c>
      <c r="K227" s="9" t="s">
        <v>29</v>
      </c>
      <c r="L227" s="9" t="s">
        <v>19</v>
      </c>
      <c r="M227" s="9">
        <v>35</v>
      </c>
      <c r="N227" s="9" t="str" cm="1">
        <f t="array" ref="N227">_xlfn.IFS(
M227&lt;=12,"Children",
M227&lt;=19,"Teens",
M227&lt;=29,"Young Adults",
M227&lt;=39,"Adults",
M227&lt;=59,"Middle-Aged",
M227&gt;=60,"Seniors"
)</f>
        <v>Adults</v>
      </c>
      <c r="O227" s="9" t="s">
        <v>20</v>
      </c>
      <c r="P227" s="9">
        <f t="shared" si="6"/>
        <v>0</v>
      </c>
      <c r="Q227" s="9">
        <v>1</v>
      </c>
      <c r="R227" s="10">
        <f t="shared" si="7"/>
        <v>0</v>
      </c>
    </row>
    <row r="228" spans="1:18" x14ac:dyDescent="0.3">
      <c r="A228" s="9">
        <v>12833</v>
      </c>
      <c r="B228" s="9" t="s">
        <v>40</v>
      </c>
      <c r="C228" s="9" t="s">
        <v>38</v>
      </c>
      <c r="D228" s="10">
        <v>20000</v>
      </c>
      <c r="E228" s="9" t="str" cm="1">
        <f t="array" ref="E228">_xlfn.IFS(D228&lt;= 60000, "Low Income",
D228&lt;=120000,"Medium Income",
D228&gt; 120000,"High Income"
)</f>
        <v>Low Income</v>
      </c>
      <c r="F228" s="9">
        <v>3</v>
      </c>
      <c r="G228" s="9" t="s">
        <v>30</v>
      </c>
      <c r="H228" s="9" t="s">
        <v>28</v>
      </c>
      <c r="I228" s="9" t="s">
        <v>17</v>
      </c>
      <c r="J228" s="9">
        <v>1</v>
      </c>
      <c r="K228" s="9" t="s">
        <v>18</v>
      </c>
      <c r="L228" s="9" t="s">
        <v>19</v>
      </c>
      <c r="M228" s="9">
        <v>42</v>
      </c>
      <c r="N228" s="9" t="str" cm="1">
        <f t="array" ref="N228">_xlfn.IFS(
M228&lt;=12,"Children",
M228&lt;=19,"Teens",
M228&lt;=29,"Young Adults",
M228&lt;=39,"Adults",
M228&lt;=59,"Middle-Aged",
M228&gt;=60,"Seniors"
)</f>
        <v>Middle-Aged</v>
      </c>
      <c r="O228" s="9" t="s">
        <v>17</v>
      </c>
      <c r="P228" s="9">
        <f t="shared" si="6"/>
        <v>1</v>
      </c>
      <c r="Q228" s="9">
        <v>1</v>
      </c>
      <c r="R228" s="10">
        <f t="shared" si="7"/>
        <v>20000</v>
      </c>
    </row>
    <row r="229" spans="1:18" x14ac:dyDescent="0.3">
      <c r="A229" s="9">
        <v>26849</v>
      </c>
      <c r="B229" s="9" t="s">
        <v>37</v>
      </c>
      <c r="C229" s="9" t="s">
        <v>39</v>
      </c>
      <c r="D229" s="10">
        <v>10000</v>
      </c>
      <c r="E229" s="9" t="str" cm="1">
        <f t="array" ref="E229">_xlfn.IFS(D229&lt;= 60000, "Low Income",
D229&lt;=120000,"Medium Income",
D229&gt; 120000,"High Income"
)</f>
        <v>Low Income</v>
      </c>
      <c r="F229" s="9">
        <v>3</v>
      </c>
      <c r="G229" s="9" t="s">
        <v>32</v>
      </c>
      <c r="H229" s="9" t="s">
        <v>28</v>
      </c>
      <c r="I229" s="9" t="s">
        <v>17</v>
      </c>
      <c r="J229" s="9">
        <v>2</v>
      </c>
      <c r="K229" s="9" t="s">
        <v>18</v>
      </c>
      <c r="L229" s="9" t="s">
        <v>19</v>
      </c>
      <c r="M229" s="9">
        <v>43</v>
      </c>
      <c r="N229" s="9" t="str" cm="1">
        <f t="array" ref="N229">_xlfn.IFS(
M229&lt;=12,"Children",
M229&lt;=19,"Teens",
M229&lt;=29,"Young Adults",
M229&lt;=39,"Adults",
M229&lt;=59,"Middle-Aged",
M229&gt;=60,"Seniors"
)</f>
        <v>Middle-Aged</v>
      </c>
      <c r="O229" s="9" t="s">
        <v>20</v>
      </c>
      <c r="P229" s="9">
        <f t="shared" si="6"/>
        <v>0</v>
      </c>
      <c r="Q229" s="9">
        <v>1</v>
      </c>
      <c r="R229" s="10">
        <f t="shared" si="7"/>
        <v>0</v>
      </c>
    </row>
    <row r="230" spans="1:18" x14ac:dyDescent="0.3">
      <c r="A230" s="9">
        <v>20962</v>
      </c>
      <c r="B230" s="9" t="s">
        <v>37</v>
      </c>
      <c r="C230" s="9" t="s">
        <v>38</v>
      </c>
      <c r="D230" s="10">
        <v>20000</v>
      </c>
      <c r="E230" s="9" t="str" cm="1">
        <f t="array" ref="E230">_xlfn.IFS(D230&lt;= 60000, "Low Income",
D230&lt;=120000,"Medium Income",
D230&gt; 120000,"High Income"
)</f>
        <v>Low Income</v>
      </c>
      <c r="F230" s="9">
        <v>1</v>
      </c>
      <c r="G230" s="9" t="s">
        <v>34</v>
      </c>
      <c r="H230" s="9" t="s">
        <v>22</v>
      </c>
      <c r="I230" s="9" t="s">
        <v>17</v>
      </c>
      <c r="J230" s="9">
        <v>0</v>
      </c>
      <c r="K230" s="9" t="s">
        <v>18</v>
      </c>
      <c r="L230" s="9" t="s">
        <v>19</v>
      </c>
      <c r="M230" s="9">
        <v>45</v>
      </c>
      <c r="N230" s="9" t="str" cm="1">
        <f t="array" ref="N230">_xlfn.IFS(
M230&lt;=12,"Children",
M230&lt;=19,"Teens",
M230&lt;=29,"Young Adults",
M230&lt;=39,"Adults",
M230&lt;=59,"Middle-Aged",
M230&gt;=60,"Seniors"
)</f>
        <v>Middle-Aged</v>
      </c>
      <c r="O230" s="9" t="s">
        <v>20</v>
      </c>
      <c r="P230" s="9">
        <f t="shared" si="6"/>
        <v>0</v>
      </c>
      <c r="Q230" s="9">
        <v>1</v>
      </c>
      <c r="R230" s="10">
        <f t="shared" si="7"/>
        <v>0</v>
      </c>
    </row>
    <row r="231" spans="1:18" x14ac:dyDescent="0.3">
      <c r="A231" s="9">
        <v>28915</v>
      </c>
      <c r="B231" s="9" t="s">
        <v>40</v>
      </c>
      <c r="C231" s="9" t="s">
        <v>39</v>
      </c>
      <c r="D231" s="10">
        <v>80000</v>
      </c>
      <c r="E231" s="9" t="str" cm="1">
        <f t="array" ref="E231">_xlfn.IFS(D231&lt;= 60000, "Low Income",
D231&lt;=120000,"Medium Income",
D231&gt; 120000,"High Income"
)</f>
        <v>Medium Income</v>
      </c>
      <c r="F231" s="9">
        <v>5</v>
      </c>
      <c r="G231" s="9" t="s">
        <v>30</v>
      </c>
      <c r="H231" s="9" t="s">
        <v>31</v>
      </c>
      <c r="I231" s="9" t="s">
        <v>17</v>
      </c>
      <c r="J231" s="9">
        <v>3</v>
      </c>
      <c r="K231" s="9" t="s">
        <v>41</v>
      </c>
      <c r="L231" s="9" t="s">
        <v>19</v>
      </c>
      <c r="M231" s="9">
        <v>57</v>
      </c>
      <c r="N231" s="9" t="str" cm="1">
        <f t="array" ref="N231">_xlfn.IFS(
M231&lt;=12,"Children",
M231&lt;=19,"Teens",
M231&lt;=29,"Young Adults",
M231&lt;=39,"Adults",
M231&lt;=59,"Middle-Aged",
M231&gt;=60,"Seniors"
)</f>
        <v>Middle-Aged</v>
      </c>
      <c r="O231" s="9" t="s">
        <v>20</v>
      </c>
      <c r="P231" s="9">
        <f t="shared" si="6"/>
        <v>0</v>
      </c>
      <c r="Q231" s="9">
        <v>1</v>
      </c>
      <c r="R231" s="10">
        <f t="shared" si="7"/>
        <v>0</v>
      </c>
    </row>
    <row r="232" spans="1:18" x14ac:dyDescent="0.3">
      <c r="A232" s="9">
        <v>22830</v>
      </c>
      <c r="B232" s="9" t="s">
        <v>37</v>
      </c>
      <c r="C232" s="9" t="s">
        <v>39</v>
      </c>
      <c r="D232" s="10">
        <v>120000</v>
      </c>
      <c r="E232" s="9" t="str" cm="1">
        <f t="array" ref="E232">_xlfn.IFS(D232&lt;= 60000, "Low Income",
D232&lt;=120000,"Medium Income",
D232&gt; 120000,"High Income"
)</f>
        <v>Medium Income</v>
      </c>
      <c r="F232" s="9">
        <v>4</v>
      </c>
      <c r="G232" s="9" t="s">
        <v>21</v>
      </c>
      <c r="H232" s="9" t="s">
        <v>31</v>
      </c>
      <c r="I232" s="9" t="s">
        <v>17</v>
      </c>
      <c r="J232" s="9">
        <v>3</v>
      </c>
      <c r="K232" s="9" t="s">
        <v>41</v>
      </c>
      <c r="L232" s="9" t="s">
        <v>19</v>
      </c>
      <c r="M232" s="9">
        <v>56</v>
      </c>
      <c r="N232" s="9" t="str" cm="1">
        <f t="array" ref="N232">_xlfn.IFS(
M232&lt;=12,"Children",
M232&lt;=19,"Teens",
M232&lt;=29,"Young Adults",
M232&lt;=39,"Adults",
M232&lt;=59,"Middle-Aged",
M232&gt;=60,"Seniors"
)</f>
        <v>Middle-Aged</v>
      </c>
      <c r="O232" s="9" t="s">
        <v>20</v>
      </c>
      <c r="P232" s="9">
        <f t="shared" si="6"/>
        <v>0</v>
      </c>
      <c r="Q232" s="9">
        <v>1</v>
      </c>
      <c r="R232" s="10">
        <f t="shared" si="7"/>
        <v>0</v>
      </c>
    </row>
    <row r="233" spans="1:18" x14ac:dyDescent="0.3">
      <c r="A233" s="9">
        <v>14777</v>
      </c>
      <c r="B233" s="9" t="s">
        <v>37</v>
      </c>
      <c r="C233" s="9" t="s">
        <v>38</v>
      </c>
      <c r="D233" s="10">
        <v>40000</v>
      </c>
      <c r="E233" s="9" t="str" cm="1">
        <f t="array" ref="E233">_xlfn.IFS(D233&lt;= 60000, "Low Income",
D233&lt;=120000,"Medium Income",
D233&gt; 120000,"High Income"
)</f>
        <v>Low Income</v>
      </c>
      <c r="F233" s="9">
        <v>0</v>
      </c>
      <c r="G233" s="9" t="s">
        <v>15</v>
      </c>
      <c r="H233" s="9" t="s">
        <v>22</v>
      </c>
      <c r="I233" s="9" t="s">
        <v>17</v>
      </c>
      <c r="J233" s="9">
        <v>0</v>
      </c>
      <c r="K233" s="9" t="s">
        <v>18</v>
      </c>
      <c r="L233" s="9" t="s">
        <v>19</v>
      </c>
      <c r="M233" s="9">
        <v>38</v>
      </c>
      <c r="N233" s="9" t="str" cm="1">
        <f t="array" ref="N233">_xlfn.IFS(
M233&lt;=12,"Children",
M233&lt;=19,"Teens",
M233&lt;=29,"Young Adults",
M233&lt;=39,"Adults",
M233&lt;=59,"Middle-Aged",
M233&gt;=60,"Seniors"
)</f>
        <v>Adults</v>
      </c>
      <c r="O233" s="9" t="s">
        <v>17</v>
      </c>
      <c r="P233" s="9">
        <f t="shared" si="6"/>
        <v>1</v>
      </c>
      <c r="Q233" s="9">
        <v>1</v>
      </c>
      <c r="R233" s="10">
        <f t="shared" si="7"/>
        <v>40000</v>
      </c>
    </row>
    <row r="234" spans="1:18" x14ac:dyDescent="0.3">
      <c r="A234" s="9">
        <v>12591</v>
      </c>
      <c r="B234" s="9" t="s">
        <v>37</v>
      </c>
      <c r="C234" s="9" t="s">
        <v>38</v>
      </c>
      <c r="D234" s="10">
        <v>30000</v>
      </c>
      <c r="E234" s="9" t="str" cm="1">
        <f t="array" ref="E234">_xlfn.IFS(D234&lt;= 60000, "Low Income",
D234&lt;=120000,"Medium Income",
D234&gt; 120000,"High Income"
)</f>
        <v>Low Income</v>
      </c>
      <c r="F234" s="9">
        <v>4</v>
      </c>
      <c r="G234" s="9" t="s">
        <v>34</v>
      </c>
      <c r="H234" s="9" t="s">
        <v>22</v>
      </c>
      <c r="I234" s="9" t="s">
        <v>17</v>
      </c>
      <c r="J234" s="9">
        <v>0</v>
      </c>
      <c r="K234" s="9" t="s">
        <v>18</v>
      </c>
      <c r="L234" s="9" t="s">
        <v>19</v>
      </c>
      <c r="M234" s="9">
        <v>45</v>
      </c>
      <c r="N234" s="9" t="str" cm="1">
        <f t="array" ref="N234">_xlfn.IFS(
M234&lt;=12,"Children",
M234&lt;=19,"Teens",
M234&lt;=29,"Young Adults",
M234&lt;=39,"Adults",
M234&lt;=59,"Middle-Aged",
M234&gt;=60,"Seniors"
)</f>
        <v>Middle-Aged</v>
      </c>
      <c r="O234" s="9" t="s">
        <v>20</v>
      </c>
      <c r="P234" s="9">
        <f t="shared" si="6"/>
        <v>0</v>
      </c>
      <c r="Q234" s="9">
        <v>1</v>
      </c>
      <c r="R234" s="10">
        <f t="shared" si="7"/>
        <v>0</v>
      </c>
    </row>
    <row r="235" spans="1:18" x14ac:dyDescent="0.3">
      <c r="A235" s="9">
        <v>24174</v>
      </c>
      <c r="B235" s="9" t="s">
        <v>37</v>
      </c>
      <c r="C235" s="9" t="s">
        <v>39</v>
      </c>
      <c r="D235" s="10">
        <v>20000</v>
      </c>
      <c r="E235" s="9" t="str" cm="1">
        <f t="array" ref="E235">_xlfn.IFS(D235&lt;= 60000, "Low Income",
D235&lt;=120000,"Medium Income",
D235&gt; 120000,"High Income"
)</f>
        <v>Low Income</v>
      </c>
      <c r="F235" s="9">
        <v>0</v>
      </c>
      <c r="G235" s="9" t="s">
        <v>15</v>
      </c>
      <c r="H235" s="9" t="s">
        <v>22</v>
      </c>
      <c r="I235" s="9" t="s">
        <v>17</v>
      </c>
      <c r="J235" s="9">
        <v>0</v>
      </c>
      <c r="K235" s="9" t="s">
        <v>18</v>
      </c>
      <c r="L235" s="9" t="s">
        <v>27</v>
      </c>
      <c r="M235" s="9">
        <v>27</v>
      </c>
      <c r="N235" s="9" t="str" cm="1">
        <f t="array" ref="N235">_xlfn.IFS(
M235&lt;=12,"Children",
M235&lt;=19,"Teens",
M235&lt;=29,"Young Adults",
M235&lt;=39,"Adults",
M235&lt;=59,"Middle-Aged",
M235&gt;=60,"Seniors"
)</f>
        <v>Young Adults</v>
      </c>
      <c r="O235" s="9" t="s">
        <v>17</v>
      </c>
      <c r="P235" s="9">
        <f t="shared" si="6"/>
        <v>1</v>
      </c>
      <c r="Q235" s="9">
        <v>1</v>
      </c>
      <c r="R235" s="10">
        <f t="shared" si="7"/>
        <v>20000</v>
      </c>
    </row>
    <row r="236" spans="1:18" x14ac:dyDescent="0.3">
      <c r="A236" s="9">
        <v>24611</v>
      </c>
      <c r="B236" s="9" t="s">
        <v>40</v>
      </c>
      <c r="C236" s="9" t="s">
        <v>39</v>
      </c>
      <c r="D236" s="10">
        <v>90000</v>
      </c>
      <c r="E236" s="9" t="str" cm="1">
        <f t="array" ref="E236">_xlfn.IFS(D236&lt;= 60000, "Low Income",
D236&lt;=120000,"Medium Income",
D236&gt; 120000,"High Income"
)</f>
        <v>Medium Income</v>
      </c>
      <c r="F236" s="9">
        <v>0</v>
      </c>
      <c r="G236" s="9" t="s">
        <v>15</v>
      </c>
      <c r="H236" s="9" t="s">
        <v>23</v>
      </c>
      <c r="I236" s="9" t="s">
        <v>20</v>
      </c>
      <c r="J236" s="9">
        <v>4</v>
      </c>
      <c r="K236" s="9" t="s">
        <v>41</v>
      </c>
      <c r="L236" s="9" t="s">
        <v>27</v>
      </c>
      <c r="M236" s="9">
        <v>35</v>
      </c>
      <c r="N236" s="9" t="str" cm="1">
        <f t="array" ref="N236">_xlfn.IFS(
M236&lt;=12,"Children",
M236&lt;=19,"Teens",
M236&lt;=29,"Young Adults",
M236&lt;=39,"Adults",
M236&lt;=59,"Middle-Aged",
M236&gt;=60,"Seniors"
)</f>
        <v>Adults</v>
      </c>
      <c r="O236" s="9" t="s">
        <v>17</v>
      </c>
      <c r="P236" s="9">
        <f t="shared" si="6"/>
        <v>1</v>
      </c>
      <c r="Q236" s="9">
        <v>1</v>
      </c>
      <c r="R236" s="10">
        <f t="shared" si="7"/>
        <v>90000</v>
      </c>
    </row>
    <row r="237" spans="1:18" x14ac:dyDescent="0.3">
      <c r="A237" s="9">
        <v>11340</v>
      </c>
      <c r="B237" s="9" t="s">
        <v>37</v>
      </c>
      <c r="C237" s="9" t="s">
        <v>38</v>
      </c>
      <c r="D237" s="10">
        <v>10000</v>
      </c>
      <c r="E237" s="9" t="str" cm="1">
        <f t="array" ref="E237">_xlfn.IFS(D237&lt;= 60000, "Low Income",
D237&lt;=120000,"Medium Income",
D237&gt; 120000,"High Income"
)</f>
        <v>Low Income</v>
      </c>
      <c r="F237" s="9">
        <v>1</v>
      </c>
      <c r="G237" s="9" t="s">
        <v>34</v>
      </c>
      <c r="H237" s="9" t="s">
        <v>22</v>
      </c>
      <c r="I237" s="9" t="s">
        <v>17</v>
      </c>
      <c r="J237" s="9">
        <v>0</v>
      </c>
      <c r="K237" s="9" t="s">
        <v>18</v>
      </c>
      <c r="L237" s="9" t="s">
        <v>19</v>
      </c>
      <c r="M237" s="9">
        <v>70</v>
      </c>
      <c r="N237" s="9" t="str" cm="1">
        <f t="array" ref="N237">_xlfn.IFS(
M237&lt;=12,"Children",
M237&lt;=19,"Teens",
M237&lt;=29,"Young Adults",
M237&lt;=39,"Adults",
M237&lt;=59,"Middle-Aged",
M237&gt;=60,"Seniors"
)</f>
        <v>Seniors</v>
      </c>
      <c r="O237" s="9" t="s">
        <v>17</v>
      </c>
      <c r="P237" s="9">
        <f t="shared" si="6"/>
        <v>1</v>
      </c>
      <c r="Q237" s="9">
        <v>1</v>
      </c>
      <c r="R237" s="10">
        <f t="shared" si="7"/>
        <v>10000</v>
      </c>
    </row>
    <row r="238" spans="1:18" x14ac:dyDescent="0.3">
      <c r="A238" s="9">
        <v>25693</v>
      </c>
      <c r="B238" s="9" t="s">
        <v>40</v>
      </c>
      <c r="C238" s="9" t="s">
        <v>38</v>
      </c>
      <c r="D238" s="10">
        <v>30000</v>
      </c>
      <c r="E238" s="9" t="str" cm="1">
        <f t="array" ref="E238">_xlfn.IFS(D238&lt;= 60000, "Low Income",
D238&lt;=120000,"Medium Income",
D238&gt; 120000,"High Income"
)</f>
        <v>Low Income</v>
      </c>
      <c r="F238" s="9">
        <v>5</v>
      </c>
      <c r="G238" s="9" t="s">
        <v>34</v>
      </c>
      <c r="H238" s="9" t="s">
        <v>22</v>
      </c>
      <c r="I238" s="9" t="s">
        <v>17</v>
      </c>
      <c r="J238" s="9">
        <v>0</v>
      </c>
      <c r="K238" s="9" t="s">
        <v>18</v>
      </c>
      <c r="L238" s="9" t="s">
        <v>19</v>
      </c>
      <c r="M238" s="9">
        <v>44</v>
      </c>
      <c r="N238" s="9" t="str" cm="1">
        <f t="array" ref="N238">_xlfn.IFS(
M238&lt;=12,"Children",
M238&lt;=19,"Teens",
M238&lt;=29,"Young Adults",
M238&lt;=39,"Adults",
M238&lt;=59,"Middle-Aged",
M238&gt;=60,"Seniors"
)</f>
        <v>Middle-Aged</v>
      </c>
      <c r="O238" s="9" t="s">
        <v>17</v>
      </c>
      <c r="P238" s="9">
        <f t="shared" si="6"/>
        <v>1</v>
      </c>
      <c r="Q238" s="9">
        <v>1</v>
      </c>
      <c r="R238" s="10">
        <f t="shared" si="7"/>
        <v>30000</v>
      </c>
    </row>
    <row r="239" spans="1:18" x14ac:dyDescent="0.3">
      <c r="A239" s="9">
        <v>25555</v>
      </c>
      <c r="B239" s="9" t="s">
        <v>37</v>
      </c>
      <c r="C239" s="9" t="s">
        <v>38</v>
      </c>
      <c r="D239" s="10">
        <v>10000</v>
      </c>
      <c r="E239" s="9" t="str" cm="1">
        <f t="array" ref="E239">_xlfn.IFS(D239&lt;= 60000, "Low Income",
D239&lt;=120000,"Medium Income",
D239&gt; 120000,"High Income"
)</f>
        <v>Low Income</v>
      </c>
      <c r="F239" s="9">
        <v>0</v>
      </c>
      <c r="G239" s="9" t="s">
        <v>21</v>
      </c>
      <c r="H239" s="9" t="s">
        <v>28</v>
      </c>
      <c r="I239" s="9" t="s">
        <v>20</v>
      </c>
      <c r="J239" s="9">
        <v>1</v>
      </c>
      <c r="K239" s="9" t="s">
        <v>18</v>
      </c>
      <c r="L239" s="9" t="s">
        <v>27</v>
      </c>
      <c r="M239" s="9">
        <v>26</v>
      </c>
      <c r="N239" s="9" t="str" cm="1">
        <f t="array" ref="N239">_xlfn.IFS(
M239&lt;=12,"Children",
M239&lt;=19,"Teens",
M239&lt;=29,"Young Adults",
M239&lt;=39,"Adults",
M239&lt;=59,"Middle-Aged",
M239&gt;=60,"Seniors"
)</f>
        <v>Young Adults</v>
      </c>
      <c r="O239" s="9" t="s">
        <v>17</v>
      </c>
      <c r="P239" s="9">
        <f t="shared" si="6"/>
        <v>1</v>
      </c>
      <c r="Q239" s="9">
        <v>1</v>
      </c>
      <c r="R239" s="10">
        <f t="shared" si="7"/>
        <v>10000</v>
      </c>
    </row>
    <row r="240" spans="1:18" x14ac:dyDescent="0.3">
      <c r="A240" s="9">
        <v>22006</v>
      </c>
      <c r="B240" s="9" t="s">
        <v>37</v>
      </c>
      <c r="C240" s="9" t="s">
        <v>39</v>
      </c>
      <c r="D240" s="10">
        <v>70000</v>
      </c>
      <c r="E240" s="9" t="str" cm="1">
        <f t="array" ref="E240">_xlfn.IFS(D240&lt;= 60000, "Low Income",
D240&lt;=120000,"Medium Income",
D240&gt; 120000,"High Income"
)</f>
        <v>Medium Income</v>
      </c>
      <c r="F240" s="9">
        <v>5</v>
      </c>
      <c r="G240" s="9" t="s">
        <v>21</v>
      </c>
      <c r="H240" s="9" t="s">
        <v>16</v>
      </c>
      <c r="I240" s="9" t="s">
        <v>17</v>
      </c>
      <c r="J240" s="9">
        <v>3</v>
      </c>
      <c r="K240" s="9" t="s">
        <v>26</v>
      </c>
      <c r="L240" s="9" t="s">
        <v>27</v>
      </c>
      <c r="M240" s="9">
        <v>46</v>
      </c>
      <c r="N240" s="9" t="str" cm="1">
        <f t="array" ref="N240">_xlfn.IFS(
M240&lt;=12,"Children",
M240&lt;=19,"Teens",
M240&lt;=29,"Young Adults",
M240&lt;=39,"Adults",
M240&lt;=59,"Middle-Aged",
M240&gt;=60,"Seniors"
)</f>
        <v>Middle-Aged</v>
      </c>
      <c r="O240" s="9" t="s">
        <v>20</v>
      </c>
      <c r="P240" s="9">
        <f t="shared" si="6"/>
        <v>0</v>
      </c>
      <c r="Q240" s="9">
        <v>1</v>
      </c>
      <c r="R240" s="10">
        <f t="shared" si="7"/>
        <v>0</v>
      </c>
    </row>
    <row r="241" spans="1:18" x14ac:dyDescent="0.3">
      <c r="A241" s="9">
        <v>20060</v>
      </c>
      <c r="B241" s="9" t="s">
        <v>40</v>
      </c>
      <c r="C241" s="9" t="s">
        <v>38</v>
      </c>
      <c r="D241" s="10">
        <v>30000</v>
      </c>
      <c r="E241" s="9" t="str" cm="1">
        <f t="array" ref="E241">_xlfn.IFS(D241&lt;= 60000, "Low Income",
D241&lt;=120000,"Medium Income",
D241&gt; 120000,"High Income"
)</f>
        <v>Low Income</v>
      </c>
      <c r="F241" s="9">
        <v>0</v>
      </c>
      <c r="G241" s="9" t="s">
        <v>30</v>
      </c>
      <c r="H241" s="9" t="s">
        <v>28</v>
      </c>
      <c r="I241" s="9" t="s">
        <v>20</v>
      </c>
      <c r="J241" s="9">
        <v>1</v>
      </c>
      <c r="K241" s="9" t="s">
        <v>24</v>
      </c>
      <c r="L241" s="9" t="s">
        <v>19</v>
      </c>
      <c r="M241" s="9">
        <v>34</v>
      </c>
      <c r="N241" s="9" t="str" cm="1">
        <f t="array" ref="N241">_xlfn.IFS(
M241&lt;=12,"Children",
M241&lt;=19,"Teens",
M241&lt;=29,"Young Adults",
M241&lt;=39,"Adults",
M241&lt;=59,"Middle-Aged",
M241&gt;=60,"Seniors"
)</f>
        <v>Adults</v>
      </c>
      <c r="O241" s="9" t="s">
        <v>17</v>
      </c>
      <c r="P241" s="9">
        <f t="shared" si="6"/>
        <v>1</v>
      </c>
      <c r="Q241" s="9">
        <v>1</v>
      </c>
      <c r="R241" s="10">
        <f t="shared" si="7"/>
        <v>30000</v>
      </c>
    </row>
    <row r="242" spans="1:18" x14ac:dyDescent="0.3">
      <c r="A242" s="9">
        <v>17702</v>
      </c>
      <c r="B242" s="9" t="s">
        <v>37</v>
      </c>
      <c r="C242" s="9" t="s">
        <v>39</v>
      </c>
      <c r="D242" s="10">
        <v>10000</v>
      </c>
      <c r="E242" s="9" t="str" cm="1">
        <f t="array" ref="E242">_xlfn.IFS(D242&lt;= 60000, "Low Income",
D242&lt;=120000,"Medium Income",
D242&gt; 120000,"High Income"
)</f>
        <v>Low Income</v>
      </c>
      <c r="F242" s="9">
        <v>1</v>
      </c>
      <c r="G242" s="9" t="s">
        <v>34</v>
      </c>
      <c r="H242" s="9" t="s">
        <v>28</v>
      </c>
      <c r="I242" s="9" t="s">
        <v>17</v>
      </c>
      <c r="J242" s="9">
        <v>0</v>
      </c>
      <c r="K242" s="9" t="s">
        <v>18</v>
      </c>
      <c r="L242" s="9" t="s">
        <v>19</v>
      </c>
      <c r="M242" s="9">
        <v>37</v>
      </c>
      <c r="N242" s="9" t="str" cm="1">
        <f t="array" ref="N242">_xlfn.IFS(
M242&lt;=12,"Children",
M242&lt;=19,"Teens",
M242&lt;=29,"Young Adults",
M242&lt;=39,"Adults",
M242&lt;=59,"Middle-Aged",
M242&gt;=60,"Seniors"
)</f>
        <v>Adults</v>
      </c>
      <c r="O242" s="9" t="s">
        <v>20</v>
      </c>
      <c r="P242" s="9">
        <f t="shared" si="6"/>
        <v>0</v>
      </c>
      <c r="Q242" s="9">
        <v>1</v>
      </c>
      <c r="R242" s="10">
        <f t="shared" si="7"/>
        <v>0</v>
      </c>
    </row>
    <row r="243" spans="1:18" x14ac:dyDescent="0.3">
      <c r="A243" s="9">
        <v>12503</v>
      </c>
      <c r="B243" s="9" t="s">
        <v>40</v>
      </c>
      <c r="C243" s="9" t="s">
        <v>38</v>
      </c>
      <c r="D243" s="10">
        <v>30000</v>
      </c>
      <c r="E243" s="9" t="str" cm="1">
        <f t="array" ref="E243">_xlfn.IFS(D243&lt;= 60000, "Low Income",
D243&lt;=120000,"Medium Income",
D243&gt; 120000,"High Income"
)</f>
        <v>Low Income</v>
      </c>
      <c r="F243" s="9">
        <v>3</v>
      </c>
      <c r="G243" s="9" t="s">
        <v>21</v>
      </c>
      <c r="H243" s="9" t="s">
        <v>22</v>
      </c>
      <c r="I243" s="9" t="s">
        <v>17</v>
      </c>
      <c r="J243" s="9">
        <v>2</v>
      </c>
      <c r="K243" s="9" t="s">
        <v>18</v>
      </c>
      <c r="L243" s="9" t="s">
        <v>19</v>
      </c>
      <c r="M243" s="9">
        <v>27</v>
      </c>
      <c r="N243" s="9" t="str" cm="1">
        <f t="array" ref="N243">_xlfn.IFS(
M243&lt;=12,"Children",
M243&lt;=19,"Teens",
M243&lt;=29,"Young Adults",
M243&lt;=39,"Adults",
M243&lt;=59,"Middle-Aged",
M243&gt;=60,"Seniors"
)</f>
        <v>Young Adults</v>
      </c>
      <c r="O243" s="9" t="s">
        <v>20</v>
      </c>
      <c r="P243" s="9">
        <f t="shared" si="6"/>
        <v>0</v>
      </c>
      <c r="Q243" s="9">
        <v>1</v>
      </c>
      <c r="R243" s="10">
        <f t="shared" si="7"/>
        <v>0</v>
      </c>
    </row>
    <row r="244" spans="1:18" x14ac:dyDescent="0.3">
      <c r="A244" s="9">
        <v>23908</v>
      </c>
      <c r="B244" s="9" t="s">
        <v>40</v>
      </c>
      <c r="C244" s="9" t="s">
        <v>39</v>
      </c>
      <c r="D244" s="10">
        <v>30000</v>
      </c>
      <c r="E244" s="9" t="str" cm="1">
        <f t="array" ref="E244">_xlfn.IFS(D244&lt;= 60000, "Low Income",
D244&lt;=120000,"Medium Income",
D244&gt; 120000,"High Income"
)</f>
        <v>Low Income</v>
      </c>
      <c r="F244" s="9">
        <v>1</v>
      </c>
      <c r="G244" s="9" t="s">
        <v>15</v>
      </c>
      <c r="H244" s="9" t="s">
        <v>22</v>
      </c>
      <c r="I244" s="9" t="s">
        <v>20</v>
      </c>
      <c r="J244" s="9">
        <v>1</v>
      </c>
      <c r="K244" s="9" t="s">
        <v>18</v>
      </c>
      <c r="L244" s="9" t="s">
        <v>19</v>
      </c>
      <c r="M244" s="9">
        <v>39</v>
      </c>
      <c r="N244" s="9" t="str" cm="1">
        <f t="array" ref="N244">_xlfn.IFS(
M244&lt;=12,"Children",
M244&lt;=19,"Teens",
M244&lt;=29,"Young Adults",
M244&lt;=39,"Adults",
M244&lt;=59,"Middle-Aged",
M244&gt;=60,"Seniors"
)</f>
        <v>Adults</v>
      </c>
      <c r="O244" s="9" t="s">
        <v>17</v>
      </c>
      <c r="P244" s="9">
        <f t="shared" si="6"/>
        <v>1</v>
      </c>
      <c r="Q244" s="9">
        <v>1</v>
      </c>
      <c r="R244" s="10">
        <f t="shared" si="7"/>
        <v>30000</v>
      </c>
    </row>
    <row r="245" spans="1:18" x14ac:dyDescent="0.3">
      <c r="A245" s="9">
        <v>22527</v>
      </c>
      <c r="B245" s="9" t="s">
        <v>40</v>
      </c>
      <c r="C245" s="9" t="s">
        <v>38</v>
      </c>
      <c r="D245" s="10">
        <v>20000</v>
      </c>
      <c r="E245" s="9" t="str" cm="1">
        <f t="array" ref="E245">_xlfn.IFS(D245&lt;= 60000, "Low Income",
D245&lt;=120000,"Medium Income",
D245&gt; 120000,"High Income"
)</f>
        <v>Low Income</v>
      </c>
      <c r="F245" s="9">
        <v>0</v>
      </c>
      <c r="G245" s="9" t="s">
        <v>30</v>
      </c>
      <c r="H245" s="9" t="s">
        <v>28</v>
      </c>
      <c r="I245" s="9" t="s">
        <v>20</v>
      </c>
      <c r="J245" s="9">
        <v>1</v>
      </c>
      <c r="K245" s="9" t="s">
        <v>24</v>
      </c>
      <c r="L245" s="9" t="s">
        <v>19</v>
      </c>
      <c r="M245" s="9">
        <v>29</v>
      </c>
      <c r="N245" s="9" t="str" cm="1">
        <f t="array" ref="N245">_xlfn.IFS(
M245&lt;=12,"Children",
M245&lt;=19,"Teens",
M245&lt;=29,"Young Adults",
M245&lt;=39,"Adults",
M245&lt;=59,"Middle-Aged",
M245&gt;=60,"Seniors"
)</f>
        <v>Young Adults</v>
      </c>
      <c r="O245" s="9" t="s">
        <v>20</v>
      </c>
      <c r="P245" s="9">
        <f t="shared" si="6"/>
        <v>0</v>
      </c>
      <c r="Q245" s="9">
        <v>1</v>
      </c>
      <c r="R245" s="10">
        <f t="shared" si="7"/>
        <v>0</v>
      </c>
    </row>
    <row r="246" spans="1:18" x14ac:dyDescent="0.3">
      <c r="A246" s="9">
        <v>19057</v>
      </c>
      <c r="B246" s="9" t="s">
        <v>37</v>
      </c>
      <c r="C246" s="9" t="s">
        <v>38</v>
      </c>
      <c r="D246" s="10">
        <v>120000</v>
      </c>
      <c r="E246" s="9" t="str" cm="1">
        <f t="array" ref="E246">_xlfn.IFS(D246&lt;= 60000, "Low Income",
D246&lt;=120000,"Medium Income",
D246&gt; 120000,"High Income"
)</f>
        <v>Medium Income</v>
      </c>
      <c r="F246" s="9">
        <v>3</v>
      </c>
      <c r="G246" s="9" t="s">
        <v>15</v>
      </c>
      <c r="H246" s="9" t="s">
        <v>31</v>
      </c>
      <c r="I246" s="9" t="s">
        <v>20</v>
      </c>
      <c r="J246" s="9">
        <v>2</v>
      </c>
      <c r="K246" s="9" t="s">
        <v>41</v>
      </c>
      <c r="L246" s="9" t="s">
        <v>19</v>
      </c>
      <c r="M246" s="9">
        <v>52</v>
      </c>
      <c r="N246" s="9" t="str" cm="1">
        <f t="array" ref="N246">_xlfn.IFS(
M246&lt;=12,"Children",
M246&lt;=19,"Teens",
M246&lt;=29,"Young Adults",
M246&lt;=39,"Adults",
M246&lt;=59,"Middle-Aged",
M246&gt;=60,"Seniors"
)</f>
        <v>Middle-Aged</v>
      </c>
      <c r="O246" s="9" t="s">
        <v>17</v>
      </c>
      <c r="P246" s="9">
        <f t="shared" si="6"/>
        <v>1</v>
      </c>
      <c r="Q246" s="9">
        <v>1</v>
      </c>
      <c r="R246" s="10">
        <f t="shared" si="7"/>
        <v>120000</v>
      </c>
    </row>
    <row r="247" spans="1:18" x14ac:dyDescent="0.3">
      <c r="A247" s="9">
        <v>18494</v>
      </c>
      <c r="B247" s="9" t="s">
        <v>37</v>
      </c>
      <c r="C247" s="9" t="s">
        <v>39</v>
      </c>
      <c r="D247" s="10">
        <v>110000</v>
      </c>
      <c r="E247" s="9" t="str" cm="1">
        <f t="array" ref="E247">_xlfn.IFS(D247&lt;= 60000, "Low Income",
D247&lt;=120000,"Medium Income",
D247&gt; 120000,"High Income"
)</f>
        <v>Medium Income</v>
      </c>
      <c r="F247" s="9">
        <v>5</v>
      </c>
      <c r="G247" s="9" t="s">
        <v>15</v>
      </c>
      <c r="H247" s="9" t="s">
        <v>31</v>
      </c>
      <c r="I247" s="9" t="s">
        <v>17</v>
      </c>
      <c r="J247" s="9">
        <v>4</v>
      </c>
      <c r="K247" s="9" t="s">
        <v>24</v>
      </c>
      <c r="L247" s="9" t="s">
        <v>27</v>
      </c>
      <c r="M247" s="9">
        <v>48</v>
      </c>
      <c r="N247" s="9" t="str" cm="1">
        <f t="array" ref="N247">_xlfn.IFS(
M247&lt;=12,"Children",
M247&lt;=19,"Teens",
M247&lt;=29,"Young Adults",
M247&lt;=39,"Adults",
M247&lt;=59,"Middle-Aged",
M247&gt;=60,"Seniors"
)</f>
        <v>Middle-Aged</v>
      </c>
      <c r="O247" s="9" t="s">
        <v>17</v>
      </c>
      <c r="P247" s="9">
        <f t="shared" si="6"/>
        <v>1</v>
      </c>
      <c r="Q247" s="9">
        <v>1</v>
      </c>
      <c r="R247" s="10">
        <f t="shared" si="7"/>
        <v>110000</v>
      </c>
    </row>
    <row r="248" spans="1:18" x14ac:dyDescent="0.3">
      <c r="A248" s="9">
        <v>11249</v>
      </c>
      <c r="B248" s="9" t="s">
        <v>37</v>
      </c>
      <c r="C248" s="9" t="s">
        <v>38</v>
      </c>
      <c r="D248" s="10">
        <v>130000</v>
      </c>
      <c r="E248" s="9" t="str" cm="1">
        <f t="array" ref="E248">_xlfn.IFS(D248&lt;= 60000, "Low Income",
D248&lt;=120000,"Medium Income",
D248&gt; 120000,"High Income"
)</f>
        <v>High Income</v>
      </c>
      <c r="F248" s="9">
        <v>3</v>
      </c>
      <c r="G248" s="9" t="s">
        <v>21</v>
      </c>
      <c r="H248" s="9" t="s">
        <v>23</v>
      </c>
      <c r="I248" s="9" t="s">
        <v>17</v>
      </c>
      <c r="J248" s="9">
        <v>3</v>
      </c>
      <c r="K248" s="9" t="s">
        <v>18</v>
      </c>
      <c r="L248" s="9" t="s">
        <v>19</v>
      </c>
      <c r="M248" s="9">
        <v>51</v>
      </c>
      <c r="N248" s="9" t="str" cm="1">
        <f t="array" ref="N248">_xlfn.IFS(
M248&lt;=12,"Children",
M248&lt;=19,"Teens",
M248&lt;=29,"Young Adults",
M248&lt;=39,"Adults",
M248&lt;=59,"Middle-Aged",
M248&gt;=60,"Seniors"
)</f>
        <v>Middle-Aged</v>
      </c>
      <c r="O248" s="9" t="s">
        <v>17</v>
      </c>
      <c r="P248" s="9">
        <f t="shared" si="6"/>
        <v>1</v>
      </c>
      <c r="Q248" s="9">
        <v>1</v>
      </c>
      <c r="R248" s="10">
        <f t="shared" si="7"/>
        <v>130000</v>
      </c>
    </row>
    <row r="249" spans="1:18" x14ac:dyDescent="0.3">
      <c r="A249" s="9">
        <v>21568</v>
      </c>
      <c r="B249" s="9" t="s">
        <v>37</v>
      </c>
      <c r="C249" s="9" t="s">
        <v>38</v>
      </c>
      <c r="D249" s="10">
        <v>100000</v>
      </c>
      <c r="E249" s="9" t="str" cm="1">
        <f t="array" ref="E249">_xlfn.IFS(D249&lt;= 60000, "Low Income",
D249&lt;=120000,"Medium Income",
D249&gt; 120000,"High Income"
)</f>
        <v>Medium Income</v>
      </c>
      <c r="F249" s="9">
        <v>0</v>
      </c>
      <c r="G249" s="9" t="s">
        <v>30</v>
      </c>
      <c r="H249" s="9" t="s">
        <v>31</v>
      </c>
      <c r="I249" s="9" t="s">
        <v>17</v>
      </c>
      <c r="J249" s="9">
        <v>4</v>
      </c>
      <c r="K249" s="9" t="s">
        <v>41</v>
      </c>
      <c r="L249" s="9" t="s">
        <v>27</v>
      </c>
      <c r="M249" s="9">
        <v>34</v>
      </c>
      <c r="N249" s="9" t="str" cm="1">
        <f t="array" ref="N249">_xlfn.IFS(
M249&lt;=12,"Children",
M249&lt;=19,"Teens",
M249&lt;=29,"Young Adults",
M249&lt;=39,"Adults",
M249&lt;=59,"Middle-Aged",
M249&gt;=60,"Seniors"
)</f>
        <v>Adults</v>
      </c>
      <c r="O249" s="9" t="s">
        <v>17</v>
      </c>
      <c r="P249" s="9">
        <f t="shared" si="6"/>
        <v>1</v>
      </c>
      <c r="Q249" s="9">
        <v>1</v>
      </c>
      <c r="R249" s="10">
        <f t="shared" si="7"/>
        <v>100000</v>
      </c>
    </row>
    <row r="250" spans="1:18" x14ac:dyDescent="0.3">
      <c r="A250" s="9">
        <v>13981</v>
      </c>
      <c r="B250" s="9" t="s">
        <v>37</v>
      </c>
      <c r="C250" s="9" t="s">
        <v>38</v>
      </c>
      <c r="D250" s="10">
        <v>10000</v>
      </c>
      <c r="E250" s="9" t="str" cm="1">
        <f t="array" ref="E250">_xlfn.IFS(D250&lt;= 60000, "Low Income",
D250&lt;=120000,"Medium Income",
D250&gt; 120000,"High Income"
)</f>
        <v>Low Income</v>
      </c>
      <c r="F250" s="9">
        <v>5</v>
      </c>
      <c r="G250" s="9" t="s">
        <v>30</v>
      </c>
      <c r="H250" s="9" t="s">
        <v>16</v>
      </c>
      <c r="I250" s="9" t="s">
        <v>20</v>
      </c>
      <c r="J250" s="9">
        <v>3</v>
      </c>
      <c r="K250" s="9" t="s">
        <v>29</v>
      </c>
      <c r="L250" s="9" t="s">
        <v>27</v>
      </c>
      <c r="M250" s="9">
        <v>62</v>
      </c>
      <c r="N250" s="9" t="str" cm="1">
        <f t="array" ref="N250">_xlfn.IFS(
M250&lt;=12,"Children",
M250&lt;=19,"Teens",
M250&lt;=29,"Young Adults",
M250&lt;=39,"Adults",
M250&lt;=59,"Middle-Aged",
M250&gt;=60,"Seniors"
)</f>
        <v>Seniors</v>
      </c>
      <c r="O250" s="9" t="s">
        <v>20</v>
      </c>
      <c r="P250" s="9">
        <f t="shared" si="6"/>
        <v>0</v>
      </c>
      <c r="Q250" s="9">
        <v>1</v>
      </c>
      <c r="R250" s="10">
        <f t="shared" si="7"/>
        <v>0</v>
      </c>
    </row>
    <row r="251" spans="1:18" x14ac:dyDescent="0.3">
      <c r="A251" s="9">
        <v>23432</v>
      </c>
      <c r="B251" s="9" t="s">
        <v>40</v>
      </c>
      <c r="C251" s="9" t="s">
        <v>39</v>
      </c>
      <c r="D251" s="10">
        <v>70000</v>
      </c>
      <c r="E251" s="9" t="str" cm="1">
        <f t="array" ref="E251">_xlfn.IFS(D251&lt;= 60000, "Low Income",
D251&lt;=120000,"Medium Income",
D251&gt; 120000,"High Income"
)</f>
        <v>Medium Income</v>
      </c>
      <c r="F251" s="9">
        <v>0</v>
      </c>
      <c r="G251" s="9" t="s">
        <v>15</v>
      </c>
      <c r="H251" s="9" t="s">
        <v>23</v>
      </c>
      <c r="I251" s="9" t="s">
        <v>17</v>
      </c>
      <c r="J251" s="9">
        <v>1</v>
      </c>
      <c r="K251" s="9" t="s">
        <v>26</v>
      </c>
      <c r="L251" s="9" t="s">
        <v>27</v>
      </c>
      <c r="M251" s="9">
        <v>37</v>
      </c>
      <c r="N251" s="9" t="str" cm="1">
        <f t="array" ref="N251">_xlfn.IFS(
M251&lt;=12,"Children",
M251&lt;=19,"Teens",
M251&lt;=29,"Young Adults",
M251&lt;=39,"Adults",
M251&lt;=59,"Middle-Aged",
M251&gt;=60,"Seniors"
)</f>
        <v>Adults</v>
      </c>
      <c r="O251" s="9" t="s">
        <v>17</v>
      </c>
      <c r="P251" s="9">
        <f t="shared" si="6"/>
        <v>1</v>
      </c>
      <c r="Q251" s="9">
        <v>1</v>
      </c>
      <c r="R251" s="10">
        <f t="shared" si="7"/>
        <v>70000</v>
      </c>
    </row>
    <row r="252" spans="1:18" x14ac:dyDescent="0.3">
      <c r="A252" s="9">
        <v>22931</v>
      </c>
      <c r="B252" s="9" t="s">
        <v>37</v>
      </c>
      <c r="C252" s="9" t="s">
        <v>39</v>
      </c>
      <c r="D252" s="10">
        <v>100000</v>
      </c>
      <c r="E252" s="9" t="str" cm="1">
        <f t="array" ref="E252">_xlfn.IFS(D252&lt;= 60000, "Low Income",
D252&lt;=120000,"Medium Income",
D252&gt; 120000,"High Income"
)</f>
        <v>Medium Income</v>
      </c>
      <c r="F252" s="9">
        <v>5</v>
      </c>
      <c r="G252" s="9" t="s">
        <v>34</v>
      </c>
      <c r="H252" s="9" t="s">
        <v>31</v>
      </c>
      <c r="I252" s="9" t="s">
        <v>20</v>
      </c>
      <c r="J252" s="9">
        <v>1</v>
      </c>
      <c r="K252" s="9" t="s">
        <v>29</v>
      </c>
      <c r="L252" s="9" t="s">
        <v>27</v>
      </c>
      <c r="M252" s="9">
        <v>78</v>
      </c>
      <c r="N252" s="9" t="str" cm="1">
        <f t="array" ref="N252">_xlfn.IFS(
M252&lt;=12,"Children",
M252&lt;=19,"Teens",
M252&lt;=29,"Young Adults",
M252&lt;=39,"Adults",
M252&lt;=59,"Middle-Aged",
M252&gt;=60,"Seniors"
)</f>
        <v>Seniors</v>
      </c>
      <c r="O252" s="9" t="s">
        <v>17</v>
      </c>
      <c r="P252" s="9">
        <f t="shared" si="6"/>
        <v>1</v>
      </c>
      <c r="Q252" s="9">
        <v>1</v>
      </c>
      <c r="R252" s="10">
        <f t="shared" si="7"/>
        <v>100000</v>
      </c>
    </row>
    <row r="253" spans="1:18" x14ac:dyDescent="0.3">
      <c r="A253" s="9">
        <v>18172</v>
      </c>
      <c r="B253" s="9" t="s">
        <v>37</v>
      </c>
      <c r="C253" s="9" t="s">
        <v>39</v>
      </c>
      <c r="D253" s="10">
        <v>130000</v>
      </c>
      <c r="E253" s="9" t="str" cm="1">
        <f t="array" ref="E253">_xlfn.IFS(D253&lt;= 60000, "Low Income",
D253&lt;=120000,"Medium Income",
D253&gt; 120000,"High Income"
)</f>
        <v>High Income</v>
      </c>
      <c r="F253" s="9">
        <v>4</v>
      </c>
      <c r="G253" s="9" t="s">
        <v>30</v>
      </c>
      <c r="H253" s="9" t="s">
        <v>23</v>
      </c>
      <c r="I253" s="9" t="s">
        <v>17</v>
      </c>
      <c r="J253" s="9">
        <v>3</v>
      </c>
      <c r="K253" s="9" t="s">
        <v>18</v>
      </c>
      <c r="L253" s="9" t="s">
        <v>19</v>
      </c>
      <c r="M253" s="9">
        <v>55</v>
      </c>
      <c r="N253" s="9" t="str" cm="1">
        <f t="array" ref="N253">_xlfn.IFS(
M253&lt;=12,"Children",
M253&lt;=19,"Teens",
M253&lt;=29,"Young Adults",
M253&lt;=39,"Adults",
M253&lt;=59,"Middle-Aged",
M253&gt;=60,"Seniors"
)</f>
        <v>Middle-Aged</v>
      </c>
      <c r="O253" s="9" t="s">
        <v>20</v>
      </c>
      <c r="P253" s="9">
        <f t="shared" si="6"/>
        <v>0</v>
      </c>
      <c r="Q253" s="9">
        <v>1</v>
      </c>
      <c r="R253" s="10">
        <f t="shared" si="7"/>
        <v>0</v>
      </c>
    </row>
    <row r="254" spans="1:18" x14ac:dyDescent="0.3">
      <c r="A254" s="9">
        <v>12666</v>
      </c>
      <c r="B254" s="9" t="s">
        <v>40</v>
      </c>
      <c r="C254" s="9" t="s">
        <v>39</v>
      </c>
      <c r="D254" s="10">
        <v>60000</v>
      </c>
      <c r="E254" s="9" t="str" cm="1">
        <f t="array" ref="E254">_xlfn.IFS(D254&lt;= 60000, "Low Income",
D254&lt;=120000,"Medium Income",
D254&gt; 120000,"High Income"
)</f>
        <v>Low Income</v>
      </c>
      <c r="F254" s="9">
        <v>0</v>
      </c>
      <c r="G254" s="9" t="s">
        <v>15</v>
      </c>
      <c r="H254" s="9" t="s">
        <v>23</v>
      </c>
      <c r="I254" s="9" t="s">
        <v>20</v>
      </c>
      <c r="J254" s="9">
        <v>4</v>
      </c>
      <c r="K254" s="9" t="s">
        <v>24</v>
      </c>
      <c r="L254" s="9" t="s">
        <v>27</v>
      </c>
      <c r="M254" s="9">
        <v>31</v>
      </c>
      <c r="N254" s="9" t="str" cm="1">
        <f t="array" ref="N254">_xlfn.IFS(
M254&lt;=12,"Children",
M254&lt;=19,"Teens",
M254&lt;=29,"Young Adults",
M254&lt;=39,"Adults",
M254&lt;=59,"Middle-Aged",
M254&gt;=60,"Seniors"
)</f>
        <v>Adults</v>
      </c>
      <c r="O254" s="9" t="s">
        <v>20</v>
      </c>
      <c r="P254" s="9">
        <f t="shared" si="6"/>
        <v>0</v>
      </c>
      <c r="Q254" s="9">
        <v>1</v>
      </c>
      <c r="R254" s="10">
        <f t="shared" si="7"/>
        <v>0</v>
      </c>
    </row>
    <row r="255" spans="1:18" x14ac:dyDescent="0.3">
      <c r="A255" s="9">
        <v>20598</v>
      </c>
      <c r="B255" s="9" t="s">
        <v>37</v>
      </c>
      <c r="C255" s="9" t="s">
        <v>39</v>
      </c>
      <c r="D255" s="10">
        <v>100000</v>
      </c>
      <c r="E255" s="9" t="str" cm="1">
        <f t="array" ref="E255">_xlfn.IFS(D255&lt;= 60000, "Low Income",
D255&lt;=120000,"Medium Income",
D255&gt; 120000,"High Income"
)</f>
        <v>Medium Income</v>
      </c>
      <c r="F255" s="9">
        <v>3</v>
      </c>
      <c r="G255" s="9" t="s">
        <v>32</v>
      </c>
      <c r="H255" s="9" t="s">
        <v>23</v>
      </c>
      <c r="I255" s="9" t="s">
        <v>17</v>
      </c>
      <c r="J255" s="9">
        <v>0</v>
      </c>
      <c r="K255" s="9" t="s">
        <v>41</v>
      </c>
      <c r="L255" s="9" t="s">
        <v>19</v>
      </c>
      <c r="M255" s="9">
        <v>59</v>
      </c>
      <c r="N255" s="9" t="str" cm="1">
        <f t="array" ref="N255">_xlfn.IFS(
M255&lt;=12,"Children",
M255&lt;=19,"Teens",
M255&lt;=29,"Young Adults",
M255&lt;=39,"Adults",
M255&lt;=59,"Middle-Aged",
M255&gt;=60,"Seniors"
)</f>
        <v>Middle-Aged</v>
      </c>
      <c r="O255" s="9" t="s">
        <v>17</v>
      </c>
      <c r="P255" s="9">
        <f t="shared" si="6"/>
        <v>1</v>
      </c>
      <c r="Q255" s="9">
        <v>1</v>
      </c>
      <c r="R255" s="10">
        <f t="shared" si="7"/>
        <v>100000</v>
      </c>
    </row>
    <row r="256" spans="1:18" x14ac:dyDescent="0.3">
      <c r="A256" s="9">
        <v>21375</v>
      </c>
      <c r="B256" s="9" t="s">
        <v>40</v>
      </c>
      <c r="C256" s="9" t="s">
        <v>39</v>
      </c>
      <c r="D256" s="10">
        <v>20000</v>
      </c>
      <c r="E256" s="9" t="str" cm="1">
        <f t="array" ref="E256">_xlfn.IFS(D256&lt;= 60000, "Low Income",
D256&lt;=120000,"Medium Income",
D256&gt; 120000,"High Income"
)</f>
        <v>Low Income</v>
      </c>
      <c r="F256" s="9">
        <v>2</v>
      </c>
      <c r="G256" s="9" t="s">
        <v>32</v>
      </c>
      <c r="H256" s="9" t="s">
        <v>22</v>
      </c>
      <c r="I256" s="9" t="s">
        <v>17</v>
      </c>
      <c r="J256" s="9">
        <v>2</v>
      </c>
      <c r="K256" s="9" t="s">
        <v>26</v>
      </c>
      <c r="L256" s="9" t="s">
        <v>27</v>
      </c>
      <c r="M256" s="9">
        <v>57</v>
      </c>
      <c r="N256" s="9" t="str" cm="1">
        <f t="array" ref="N256">_xlfn.IFS(
M256&lt;=12,"Children",
M256&lt;=19,"Teens",
M256&lt;=29,"Young Adults",
M256&lt;=39,"Adults",
M256&lt;=59,"Middle-Aged",
M256&gt;=60,"Seniors"
)</f>
        <v>Middle-Aged</v>
      </c>
      <c r="O256" s="9" t="s">
        <v>20</v>
      </c>
      <c r="P256" s="9">
        <f t="shared" si="6"/>
        <v>0</v>
      </c>
      <c r="Q256" s="9">
        <v>1</v>
      </c>
      <c r="R256" s="10">
        <f t="shared" si="7"/>
        <v>0</v>
      </c>
    </row>
    <row r="257" spans="1:18" x14ac:dyDescent="0.3">
      <c r="A257" s="9">
        <v>20839</v>
      </c>
      <c r="B257" s="9" t="s">
        <v>40</v>
      </c>
      <c r="C257" s="9" t="s">
        <v>38</v>
      </c>
      <c r="D257" s="10">
        <v>30000</v>
      </c>
      <c r="E257" s="9" t="str" cm="1">
        <f t="array" ref="E257">_xlfn.IFS(D257&lt;= 60000, "Low Income",
D257&lt;=120000,"Medium Income",
D257&gt; 120000,"High Income"
)</f>
        <v>Low Income</v>
      </c>
      <c r="F257" s="9">
        <v>3</v>
      </c>
      <c r="G257" s="9" t="s">
        <v>34</v>
      </c>
      <c r="H257" s="9" t="s">
        <v>22</v>
      </c>
      <c r="I257" s="9" t="s">
        <v>17</v>
      </c>
      <c r="J257" s="9">
        <v>0</v>
      </c>
      <c r="K257" s="9" t="s">
        <v>18</v>
      </c>
      <c r="L257" s="9" t="s">
        <v>19</v>
      </c>
      <c r="M257" s="9">
        <v>47</v>
      </c>
      <c r="N257" s="9" t="str" cm="1">
        <f t="array" ref="N257">_xlfn.IFS(
M257&lt;=12,"Children",
M257&lt;=19,"Teens",
M257&lt;=29,"Young Adults",
M257&lt;=39,"Adults",
M257&lt;=59,"Middle-Aged",
M257&gt;=60,"Seniors"
)</f>
        <v>Middle-Aged</v>
      </c>
      <c r="O257" s="9" t="s">
        <v>17</v>
      </c>
      <c r="P257" s="9">
        <f t="shared" si="6"/>
        <v>1</v>
      </c>
      <c r="Q257" s="9">
        <v>1</v>
      </c>
      <c r="R257" s="10">
        <f t="shared" si="7"/>
        <v>30000</v>
      </c>
    </row>
    <row r="258" spans="1:18" x14ac:dyDescent="0.3">
      <c r="A258" s="9">
        <v>21738</v>
      </c>
      <c r="B258" s="9" t="s">
        <v>37</v>
      </c>
      <c r="C258" s="9" t="s">
        <v>39</v>
      </c>
      <c r="D258" s="10">
        <v>20000</v>
      </c>
      <c r="E258" s="9" t="str" cm="1">
        <f t="array" ref="E258">_xlfn.IFS(D258&lt;= 60000, "Low Income",
D258&lt;=120000,"Medium Income",
D258&gt; 120000,"High Income"
)</f>
        <v>Low Income</v>
      </c>
      <c r="F258" s="9">
        <v>1</v>
      </c>
      <c r="G258" s="9" t="s">
        <v>34</v>
      </c>
      <c r="H258" s="9" t="s">
        <v>22</v>
      </c>
      <c r="I258" s="9" t="s">
        <v>17</v>
      </c>
      <c r="J258" s="9">
        <v>0</v>
      </c>
      <c r="K258" s="9" t="s">
        <v>18</v>
      </c>
      <c r="L258" s="9" t="s">
        <v>19</v>
      </c>
      <c r="M258" s="9">
        <v>43</v>
      </c>
      <c r="N258" s="9" t="str" cm="1">
        <f t="array" ref="N258">_xlfn.IFS(
M258&lt;=12,"Children",
M258&lt;=19,"Teens",
M258&lt;=29,"Young Adults",
M258&lt;=39,"Adults",
M258&lt;=59,"Middle-Aged",
M258&gt;=60,"Seniors"
)</f>
        <v>Middle-Aged</v>
      </c>
      <c r="O258" s="9" t="s">
        <v>20</v>
      </c>
      <c r="P258" s="9">
        <f t="shared" si="6"/>
        <v>0</v>
      </c>
      <c r="Q258" s="9">
        <v>1</v>
      </c>
      <c r="R258" s="10">
        <f t="shared" si="7"/>
        <v>0</v>
      </c>
    </row>
    <row r="259" spans="1:18" x14ac:dyDescent="0.3">
      <c r="A259" s="9">
        <v>14164</v>
      </c>
      <c r="B259" s="9" t="s">
        <v>40</v>
      </c>
      <c r="C259" s="9" t="s">
        <v>38</v>
      </c>
      <c r="D259" s="10">
        <v>50000</v>
      </c>
      <c r="E259" s="9" t="str" cm="1">
        <f t="array" ref="E259">_xlfn.IFS(D259&lt;= 60000, "Low Income",
D259&lt;=120000,"Medium Income",
D259&gt; 120000,"High Income"
)</f>
        <v>Low Income</v>
      </c>
      <c r="F259" s="9">
        <v>0</v>
      </c>
      <c r="G259" s="9" t="s">
        <v>34</v>
      </c>
      <c r="H259" s="9" t="s">
        <v>16</v>
      </c>
      <c r="I259" s="9" t="s">
        <v>17</v>
      </c>
      <c r="J259" s="9">
        <v>0</v>
      </c>
      <c r="K259" s="9" t="s">
        <v>18</v>
      </c>
      <c r="L259" s="9" t="s">
        <v>19</v>
      </c>
      <c r="M259" s="9">
        <v>36</v>
      </c>
      <c r="N259" s="9" t="str" cm="1">
        <f t="array" ref="N259">_xlfn.IFS(
M259&lt;=12,"Children",
M259&lt;=19,"Teens",
M259&lt;=29,"Young Adults",
M259&lt;=39,"Adults",
M259&lt;=59,"Middle-Aged",
M259&gt;=60,"Seniors"
)</f>
        <v>Adults</v>
      </c>
      <c r="O259" s="9" t="s">
        <v>17</v>
      </c>
      <c r="P259" s="9">
        <f t="shared" ref="P259:P322" si="8">IF(O259="No", 0, 1)</f>
        <v>1</v>
      </c>
      <c r="Q259" s="9">
        <v>1</v>
      </c>
      <c r="R259" s="10">
        <f t="shared" ref="R259:R322" si="9">IF(P259=1, D259, 0)</f>
        <v>50000</v>
      </c>
    </row>
    <row r="260" spans="1:18" x14ac:dyDescent="0.3">
      <c r="A260" s="9">
        <v>14193</v>
      </c>
      <c r="B260" s="9" t="s">
        <v>40</v>
      </c>
      <c r="C260" s="9" t="s">
        <v>38</v>
      </c>
      <c r="D260" s="10">
        <v>100000</v>
      </c>
      <c r="E260" s="9" t="str" cm="1">
        <f t="array" ref="E260">_xlfn.IFS(D260&lt;= 60000, "Low Income",
D260&lt;=120000,"Medium Income",
D260&gt; 120000,"High Income"
)</f>
        <v>Medium Income</v>
      </c>
      <c r="F260" s="9">
        <v>3</v>
      </c>
      <c r="G260" s="9" t="s">
        <v>21</v>
      </c>
      <c r="H260" s="9" t="s">
        <v>31</v>
      </c>
      <c r="I260" s="9" t="s">
        <v>17</v>
      </c>
      <c r="J260" s="9">
        <v>4</v>
      </c>
      <c r="K260" s="9" t="s">
        <v>41</v>
      </c>
      <c r="L260" s="9" t="s">
        <v>19</v>
      </c>
      <c r="M260" s="9">
        <v>56</v>
      </c>
      <c r="N260" s="9" t="str" cm="1">
        <f t="array" ref="N260">_xlfn.IFS(
M260&lt;=12,"Children",
M260&lt;=19,"Teens",
M260&lt;=29,"Young Adults",
M260&lt;=39,"Adults",
M260&lt;=59,"Middle-Aged",
M260&gt;=60,"Seniors"
)</f>
        <v>Middle-Aged</v>
      </c>
      <c r="O260" s="9" t="s">
        <v>20</v>
      </c>
      <c r="P260" s="9">
        <f t="shared" si="8"/>
        <v>0</v>
      </c>
      <c r="Q260" s="9">
        <v>1</v>
      </c>
      <c r="R260" s="10">
        <f t="shared" si="9"/>
        <v>0</v>
      </c>
    </row>
    <row r="261" spans="1:18" x14ac:dyDescent="0.3">
      <c r="A261" s="9">
        <v>12705</v>
      </c>
      <c r="B261" s="9" t="s">
        <v>37</v>
      </c>
      <c r="C261" s="9" t="s">
        <v>39</v>
      </c>
      <c r="D261" s="10">
        <v>150000</v>
      </c>
      <c r="E261" s="9" t="str" cm="1">
        <f t="array" ref="E261">_xlfn.IFS(D261&lt;= 60000, "Low Income",
D261&lt;=120000,"Medium Income",
D261&gt; 120000,"High Income"
)</f>
        <v>High Income</v>
      </c>
      <c r="F261" s="9">
        <v>0</v>
      </c>
      <c r="G261" s="9" t="s">
        <v>15</v>
      </c>
      <c r="H261" s="9" t="s">
        <v>31</v>
      </c>
      <c r="I261" s="9" t="s">
        <v>17</v>
      </c>
      <c r="J261" s="9">
        <v>4</v>
      </c>
      <c r="K261" s="9" t="s">
        <v>18</v>
      </c>
      <c r="L261" s="9" t="s">
        <v>27</v>
      </c>
      <c r="M261" s="9">
        <v>37</v>
      </c>
      <c r="N261" s="9" t="str" cm="1">
        <f t="array" ref="N261">_xlfn.IFS(
M261&lt;=12,"Children",
M261&lt;=19,"Teens",
M261&lt;=29,"Young Adults",
M261&lt;=39,"Adults",
M261&lt;=59,"Middle-Aged",
M261&gt;=60,"Seniors"
)</f>
        <v>Adults</v>
      </c>
      <c r="O261" s="9" t="s">
        <v>17</v>
      </c>
      <c r="P261" s="9">
        <f t="shared" si="8"/>
        <v>1</v>
      </c>
      <c r="Q261" s="9">
        <v>1</v>
      </c>
      <c r="R261" s="10">
        <f t="shared" si="9"/>
        <v>150000</v>
      </c>
    </row>
    <row r="262" spans="1:18" x14ac:dyDescent="0.3">
      <c r="A262" s="9">
        <v>22672</v>
      </c>
      <c r="B262" s="9" t="s">
        <v>40</v>
      </c>
      <c r="C262" s="9" t="s">
        <v>38</v>
      </c>
      <c r="D262" s="10">
        <v>30000</v>
      </c>
      <c r="E262" s="9" t="str" cm="1">
        <f t="array" ref="E262">_xlfn.IFS(D262&lt;= 60000, "Low Income",
D262&lt;=120000,"Medium Income",
D262&gt; 120000,"High Income"
)</f>
        <v>Low Income</v>
      </c>
      <c r="F262" s="9">
        <v>2</v>
      </c>
      <c r="G262" s="9" t="s">
        <v>21</v>
      </c>
      <c r="H262" s="9" t="s">
        <v>22</v>
      </c>
      <c r="I262" s="9" t="s">
        <v>17</v>
      </c>
      <c r="J262" s="9">
        <v>0</v>
      </c>
      <c r="K262" s="9" t="s">
        <v>18</v>
      </c>
      <c r="L262" s="9" t="s">
        <v>19</v>
      </c>
      <c r="M262" s="9">
        <v>43</v>
      </c>
      <c r="N262" s="9" t="str" cm="1">
        <f t="array" ref="N262">_xlfn.IFS(
M262&lt;=12,"Children",
M262&lt;=19,"Teens",
M262&lt;=29,"Young Adults",
M262&lt;=39,"Adults",
M262&lt;=59,"Middle-Aged",
M262&gt;=60,"Seniors"
)</f>
        <v>Middle-Aged</v>
      </c>
      <c r="O262" s="9" t="s">
        <v>20</v>
      </c>
      <c r="P262" s="9">
        <f t="shared" si="8"/>
        <v>0</v>
      </c>
      <c r="Q262" s="9">
        <v>1</v>
      </c>
      <c r="R262" s="10">
        <f t="shared" si="9"/>
        <v>0</v>
      </c>
    </row>
    <row r="263" spans="1:18" x14ac:dyDescent="0.3">
      <c r="A263" s="9">
        <v>26219</v>
      </c>
      <c r="B263" s="9" t="s">
        <v>37</v>
      </c>
      <c r="C263" s="9" t="s">
        <v>38</v>
      </c>
      <c r="D263" s="10">
        <v>40000</v>
      </c>
      <c r="E263" s="9" t="str" cm="1">
        <f t="array" ref="E263">_xlfn.IFS(D263&lt;= 60000, "Low Income",
D263&lt;=120000,"Medium Income",
D263&gt; 120000,"High Income"
)</f>
        <v>Low Income</v>
      </c>
      <c r="F263" s="9">
        <v>1</v>
      </c>
      <c r="G263" s="9" t="s">
        <v>15</v>
      </c>
      <c r="H263" s="9" t="s">
        <v>16</v>
      </c>
      <c r="I263" s="9" t="s">
        <v>17</v>
      </c>
      <c r="J263" s="9">
        <v>1</v>
      </c>
      <c r="K263" s="9" t="s">
        <v>29</v>
      </c>
      <c r="L263" s="9" t="s">
        <v>19</v>
      </c>
      <c r="M263" s="9">
        <v>33</v>
      </c>
      <c r="N263" s="9" t="str" cm="1">
        <f t="array" ref="N263">_xlfn.IFS(
M263&lt;=12,"Children",
M263&lt;=19,"Teens",
M263&lt;=29,"Young Adults",
M263&lt;=39,"Adults",
M263&lt;=59,"Middle-Aged",
M263&gt;=60,"Seniors"
)</f>
        <v>Adults</v>
      </c>
      <c r="O263" s="9" t="s">
        <v>17</v>
      </c>
      <c r="P263" s="9">
        <f t="shared" si="8"/>
        <v>1</v>
      </c>
      <c r="Q263" s="9">
        <v>1</v>
      </c>
      <c r="R263" s="10">
        <f t="shared" si="9"/>
        <v>40000</v>
      </c>
    </row>
    <row r="264" spans="1:18" x14ac:dyDescent="0.3">
      <c r="A264" s="9">
        <v>28468</v>
      </c>
      <c r="B264" s="9" t="s">
        <v>37</v>
      </c>
      <c r="C264" s="9" t="s">
        <v>38</v>
      </c>
      <c r="D264" s="10">
        <v>10000</v>
      </c>
      <c r="E264" s="9" t="str" cm="1">
        <f t="array" ref="E264">_xlfn.IFS(D264&lt;= 60000, "Low Income",
D264&lt;=120000,"Medium Income",
D264&gt; 120000,"High Income"
)</f>
        <v>Low Income</v>
      </c>
      <c r="F264" s="9">
        <v>2</v>
      </c>
      <c r="G264" s="9" t="s">
        <v>21</v>
      </c>
      <c r="H264" s="9" t="s">
        <v>28</v>
      </c>
      <c r="I264" s="9" t="s">
        <v>17</v>
      </c>
      <c r="J264" s="9">
        <v>0</v>
      </c>
      <c r="K264" s="9" t="s">
        <v>29</v>
      </c>
      <c r="L264" s="9" t="s">
        <v>19</v>
      </c>
      <c r="M264" s="9">
        <v>51</v>
      </c>
      <c r="N264" s="9" t="str" cm="1">
        <f t="array" ref="N264">_xlfn.IFS(
M264&lt;=12,"Children",
M264&lt;=19,"Teens",
M264&lt;=29,"Young Adults",
M264&lt;=39,"Adults",
M264&lt;=59,"Middle-Aged",
M264&gt;=60,"Seniors"
)</f>
        <v>Middle-Aged</v>
      </c>
      <c r="O264" s="9" t="s">
        <v>20</v>
      </c>
      <c r="P264" s="9">
        <f t="shared" si="8"/>
        <v>0</v>
      </c>
      <c r="Q264" s="9">
        <v>1</v>
      </c>
      <c r="R264" s="10">
        <f t="shared" si="9"/>
        <v>0</v>
      </c>
    </row>
    <row r="265" spans="1:18" x14ac:dyDescent="0.3">
      <c r="A265" s="9">
        <v>23419</v>
      </c>
      <c r="B265" s="9" t="s">
        <v>40</v>
      </c>
      <c r="C265" s="9" t="s">
        <v>38</v>
      </c>
      <c r="D265" s="10">
        <v>70000</v>
      </c>
      <c r="E265" s="9" t="str" cm="1">
        <f t="array" ref="E265">_xlfn.IFS(D265&lt;= 60000, "Low Income",
D265&lt;=120000,"Medium Income",
D265&gt; 120000,"High Income"
)</f>
        <v>Medium Income</v>
      </c>
      <c r="F265" s="9">
        <v>5</v>
      </c>
      <c r="G265" s="9" t="s">
        <v>15</v>
      </c>
      <c r="H265" s="9" t="s">
        <v>23</v>
      </c>
      <c r="I265" s="9" t="s">
        <v>17</v>
      </c>
      <c r="J265" s="9">
        <v>3</v>
      </c>
      <c r="K265" s="9" t="s">
        <v>41</v>
      </c>
      <c r="L265" s="9" t="s">
        <v>27</v>
      </c>
      <c r="M265" s="9">
        <v>39</v>
      </c>
      <c r="N265" s="9" t="str" cm="1">
        <f t="array" ref="N265">_xlfn.IFS(
M265&lt;=12,"Children",
M265&lt;=19,"Teens",
M265&lt;=29,"Young Adults",
M265&lt;=39,"Adults",
M265&lt;=59,"Middle-Aged",
M265&gt;=60,"Seniors"
)</f>
        <v>Adults</v>
      </c>
      <c r="O265" s="9" t="s">
        <v>20</v>
      </c>
      <c r="P265" s="9">
        <f t="shared" si="8"/>
        <v>0</v>
      </c>
      <c r="Q265" s="9">
        <v>1</v>
      </c>
      <c r="R265" s="10">
        <f t="shared" si="9"/>
        <v>0</v>
      </c>
    </row>
    <row r="266" spans="1:18" x14ac:dyDescent="0.3">
      <c r="A266" s="9">
        <v>17964</v>
      </c>
      <c r="B266" s="9" t="s">
        <v>37</v>
      </c>
      <c r="C266" s="9" t="s">
        <v>39</v>
      </c>
      <c r="D266" s="10">
        <v>40000</v>
      </c>
      <c r="E266" s="9" t="str" cm="1">
        <f t="array" ref="E266">_xlfn.IFS(D266&lt;= 60000, "Low Income",
D266&lt;=120000,"Medium Income",
D266&gt; 120000,"High Income"
)</f>
        <v>Low Income</v>
      </c>
      <c r="F266" s="9">
        <v>0</v>
      </c>
      <c r="G266" s="9" t="s">
        <v>34</v>
      </c>
      <c r="H266" s="9" t="s">
        <v>22</v>
      </c>
      <c r="I266" s="9" t="s">
        <v>17</v>
      </c>
      <c r="J266" s="9">
        <v>0</v>
      </c>
      <c r="K266" s="9" t="s">
        <v>18</v>
      </c>
      <c r="L266" s="9" t="s">
        <v>19</v>
      </c>
      <c r="M266" s="9">
        <v>37</v>
      </c>
      <c r="N266" s="9" t="str" cm="1">
        <f t="array" ref="N266">_xlfn.IFS(
M266&lt;=12,"Children",
M266&lt;=19,"Teens",
M266&lt;=29,"Young Adults",
M266&lt;=39,"Adults",
M266&lt;=59,"Middle-Aged",
M266&gt;=60,"Seniors"
)</f>
        <v>Adults</v>
      </c>
      <c r="O266" s="9" t="s">
        <v>17</v>
      </c>
      <c r="P266" s="9">
        <f t="shared" si="8"/>
        <v>1</v>
      </c>
      <c r="Q266" s="9">
        <v>1</v>
      </c>
      <c r="R266" s="10">
        <f t="shared" si="9"/>
        <v>40000</v>
      </c>
    </row>
    <row r="267" spans="1:18" x14ac:dyDescent="0.3">
      <c r="A267" s="9">
        <v>20919</v>
      </c>
      <c r="B267" s="9" t="s">
        <v>40</v>
      </c>
      <c r="C267" s="9" t="s">
        <v>38</v>
      </c>
      <c r="D267" s="10">
        <v>30000</v>
      </c>
      <c r="E267" s="9" t="str" cm="1">
        <f t="array" ref="E267">_xlfn.IFS(D267&lt;= 60000, "Low Income",
D267&lt;=120000,"Medium Income",
D267&gt; 120000,"High Income"
)</f>
        <v>Low Income</v>
      </c>
      <c r="F267" s="9">
        <v>2</v>
      </c>
      <c r="G267" s="9" t="s">
        <v>21</v>
      </c>
      <c r="H267" s="9" t="s">
        <v>22</v>
      </c>
      <c r="I267" s="9" t="s">
        <v>17</v>
      </c>
      <c r="J267" s="9">
        <v>2</v>
      </c>
      <c r="K267" s="9" t="s">
        <v>18</v>
      </c>
      <c r="L267" s="9" t="s">
        <v>19</v>
      </c>
      <c r="M267" s="9">
        <v>42</v>
      </c>
      <c r="N267" s="9" t="str" cm="1">
        <f t="array" ref="N267">_xlfn.IFS(
M267&lt;=12,"Children",
M267&lt;=19,"Teens",
M267&lt;=29,"Young Adults",
M267&lt;=39,"Adults",
M267&lt;=59,"Middle-Aged",
M267&gt;=60,"Seniors"
)</f>
        <v>Middle-Aged</v>
      </c>
      <c r="O267" s="9" t="s">
        <v>20</v>
      </c>
      <c r="P267" s="9">
        <f t="shared" si="8"/>
        <v>0</v>
      </c>
      <c r="Q267" s="9">
        <v>1</v>
      </c>
      <c r="R267" s="10">
        <f t="shared" si="9"/>
        <v>0</v>
      </c>
    </row>
    <row r="268" spans="1:18" x14ac:dyDescent="0.3">
      <c r="A268" s="9">
        <v>20927</v>
      </c>
      <c r="B268" s="9" t="s">
        <v>40</v>
      </c>
      <c r="C268" s="9" t="s">
        <v>38</v>
      </c>
      <c r="D268" s="10">
        <v>20000</v>
      </c>
      <c r="E268" s="9" t="str" cm="1">
        <f t="array" ref="E268">_xlfn.IFS(D268&lt;= 60000, "Low Income",
D268&lt;=120000,"Medium Income",
D268&gt; 120000,"High Income"
)</f>
        <v>Low Income</v>
      </c>
      <c r="F268" s="9">
        <v>5</v>
      </c>
      <c r="G268" s="9" t="s">
        <v>30</v>
      </c>
      <c r="H268" s="9" t="s">
        <v>28</v>
      </c>
      <c r="I268" s="9" t="s">
        <v>17</v>
      </c>
      <c r="J268" s="9">
        <v>2</v>
      </c>
      <c r="K268" s="9" t="s">
        <v>18</v>
      </c>
      <c r="L268" s="9" t="s">
        <v>19</v>
      </c>
      <c r="M268" s="9">
        <v>27</v>
      </c>
      <c r="N268" s="9" t="str" cm="1">
        <f t="array" ref="N268">_xlfn.IFS(
M268&lt;=12,"Children",
M268&lt;=19,"Teens",
M268&lt;=29,"Young Adults",
M268&lt;=39,"Adults",
M268&lt;=59,"Middle-Aged",
M268&gt;=60,"Seniors"
)</f>
        <v>Young Adults</v>
      </c>
      <c r="O268" s="9" t="s">
        <v>20</v>
      </c>
      <c r="P268" s="9">
        <f t="shared" si="8"/>
        <v>0</v>
      </c>
      <c r="Q268" s="9">
        <v>1</v>
      </c>
      <c r="R268" s="10">
        <f t="shared" si="9"/>
        <v>0</v>
      </c>
    </row>
    <row r="269" spans="1:18" x14ac:dyDescent="0.3">
      <c r="A269" s="9">
        <v>13133</v>
      </c>
      <c r="B269" s="9" t="s">
        <v>40</v>
      </c>
      <c r="C269" s="9" t="s">
        <v>39</v>
      </c>
      <c r="D269" s="10">
        <v>100000</v>
      </c>
      <c r="E269" s="9" t="str" cm="1">
        <f t="array" ref="E269">_xlfn.IFS(D269&lt;= 60000, "Low Income",
D269&lt;=120000,"Medium Income",
D269&gt; 120000,"High Income"
)</f>
        <v>Medium Income</v>
      </c>
      <c r="F269" s="9">
        <v>5</v>
      </c>
      <c r="G269" s="9" t="s">
        <v>15</v>
      </c>
      <c r="H269" s="9" t="s">
        <v>23</v>
      </c>
      <c r="I269" s="9" t="s">
        <v>17</v>
      </c>
      <c r="J269" s="9">
        <v>1</v>
      </c>
      <c r="K269" s="9" t="s">
        <v>26</v>
      </c>
      <c r="L269" s="9" t="s">
        <v>27</v>
      </c>
      <c r="M269" s="9">
        <v>47</v>
      </c>
      <c r="N269" s="9" t="str" cm="1">
        <f t="array" ref="N269">_xlfn.IFS(
M269&lt;=12,"Children",
M269&lt;=19,"Teens",
M269&lt;=29,"Young Adults",
M269&lt;=39,"Adults",
M269&lt;=59,"Middle-Aged",
M269&gt;=60,"Seniors"
)</f>
        <v>Middle-Aged</v>
      </c>
      <c r="O269" s="9" t="s">
        <v>17</v>
      </c>
      <c r="P269" s="9">
        <f t="shared" si="8"/>
        <v>1</v>
      </c>
      <c r="Q269" s="9">
        <v>1</v>
      </c>
      <c r="R269" s="10">
        <f t="shared" si="9"/>
        <v>100000</v>
      </c>
    </row>
    <row r="270" spans="1:18" x14ac:dyDescent="0.3">
      <c r="A270" s="9">
        <v>19626</v>
      </c>
      <c r="B270" s="9" t="s">
        <v>37</v>
      </c>
      <c r="C270" s="9" t="s">
        <v>39</v>
      </c>
      <c r="D270" s="10">
        <v>70000</v>
      </c>
      <c r="E270" s="9" t="str" cm="1">
        <f t="array" ref="E270">_xlfn.IFS(D270&lt;= 60000, "Low Income",
D270&lt;=120000,"Medium Income",
D270&gt; 120000,"High Income"
)</f>
        <v>Medium Income</v>
      </c>
      <c r="F270" s="9">
        <v>5</v>
      </c>
      <c r="G270" s="9" t="s">
        <v>21</v>
      </c>
      <c r="H270" s="9" t="s">
        <v>16</v>
      </c>
      <c r="I270" s="9" t="s">
        <v>17</v>
      </c>
      <c r="J270" s="9">
        <v>3</v>
      </c>
      <c r="K270" s="9" t="s">
        <v>26</v>
      </c>
      <c r="L270" s="9" t="s">
        <v>27</v>
      </c>
      <c r="M270" s="9">
        <v>45</v>
      </c>
      <c r="N270" s="9" t="str" cm="1">
        <f t="array" ref="N270">_xlfn.IFS(
M270&lt;=12,"Children",
M270&lt;=19,"Teens",
M270&lt;=29,"Young Adults",
M270&lt;=39,"Adults",
M270&lt;=59,"Middle-Aged",
M270&gt;=60,"Seniors"
)</f>
        <v>Middle-Aged</v>
      </c>
      <c r="O270" s="9" t="s">
        <v>20</v>
      </c>
      <c r="P270" s="9">
        <f t="shared" si="8"/>
        <v>0</v>
      </c>
      <c r="Q270" s="9">
        <v>1</v>
      </c>
      <c r="R270" s="10">
        <f t="shared" si="9"/>
        <v>0</v>
      </c>
    </row>
    <row r="271" spans="1:18" x14ac:dyDescent="0.3">
      <c r="A271" s="9">
        <v>21039</v>
      </c>
      <c r="B271" s="9" t="s">
        <v>40</v>
      </c>
      <c r="C271" s="9" t="s">
        <v>38</v>
      </c>
      <c r="D271" s="10">
        <v>50000</v>
      </c>
      <c r="E271" s="9" t="str" cm="1">
        <f t="array" ref="E271">_xlfn.IFS(D271&lt;= 60000, "Low Income",
D271&lt;=120000,"Medium Income",
D271&gt; 120000,"High Income"
)</f>
        <v>Low Income</v>
      </c>
      <c r="F271" s="9">
        <v>0</v>
      </c>
      <c r="G271" s="9" t="s">
        <v>34</v>
      </c>
      <c r="H271" s="9" t="s">
        <v>16</v>
      </c>
      <c r="I271" s="9" t="s">
        <v>20</v>
      </c>
      <c r="J271" s="9">
        <v>0</v>
      </c>
      <c r="K271" s="9" t="s">
        <v>18</v>
      </c>
      <c r="L271" s="9" t="s">
        <v>19</v>
      </c>
      <c r="M271" s="9">
        <v>37</v>
      </c>
      <c r="N271" s="9" t="str" cm="1">
        <f t="array" ref="N271">_xlfn.IFS(
M271&lt;=12,"Children",
M271&lt;=19,"Teens",
M271&lt;=29,"Young Adults",
M271&lt;=39,"Adults",
M271&lt;=59,"Middle-Aged",
M271&gt;=60,"Seniors"
)</f>
        <v>Adults</v>
      </c>
      <c r="O271" s="9" t="s">
        <v>17</v>
      </c>
      <c r="P271" s="9">
        <f t="shared" si="8"/>
        <v>1</v>
      </c>
      <c r="Q271" s="9">
        <v>1</v>
      </c>
      <c r="R271" s="10">
        <f t="shared" si="9"/>
        <v>50000</v>
      </c>
    </row>
    <row r="272" spans="1:18" x14ac:dyDescent="0.3">
      <c r="A272" s="9">
        <v>12231</v>
      </c>
      <c r="B272" s="9" t="s">
        <v>40</v>
      </c>
      <c r="C272" s="9" t="s">
        <v>38</v>
      </c>
      <c r="D272" s="10">
        <v>10000</v>
      </c>
      <c r="E272" s="9" t="str" cm="1">
        <f t="array" ref="E272">_xlfn.IFS(D272&lt;= 60000, "Low Income",
D272&lt;=120000,"Medium Income",
D272&gt; 120000,"High Income"
)</f>
        <v>Low Income</v>
      </c>
      <c r="F272" s="9">
        <v>2</v>
      </c>
      <c r="G272" s="9" t="s">
        <v>21</v>
      </c>
      <c r="H272" s="9" t="s">
        <v>28</v>
      </c>
      <c r="I272" s="9" t="s">
        <v>17</v>
      </c>
      <c r="J272" s="9">
        <v>0</v>
      </c>
      <c r="K272" s="9" t="s">
        <v>18</v>
      </c>
      <c r="L272" s="9" t="s">
        <v>19</v>
      </c>
      <c r="M272" s="9">
        <v>51</v>
      </c>
      <c r="N272" s="9" t="str" cm="1">
        <f t="array" ref="N272">_xlfn.IFS(
M272&lt;=12,"Children",
M272&lt;=19,"Teens",
M272&lt;=29,"Young Adults",
M272&lt;=39,"Adults",
M272&lt;=59,"Middle-Aged",
M272&gt;=60,"Seniors"
)</f>
        <v>Middle-Aged</v>
      </c>
      <c r="O272" s="9" t="s">
        <v>17</v>
      </c>
      <c r="P272" s="9">
        <f t="shared" si="8"/>
        <v>1</v>
      </c>
      <c r="Q272" s="9">
        <v>1</v>
      </c>
      <c r="R272" s="10">
        <f t="shared" si="9"/>
        <v>10000</v>
      </c>
    </row>
    <row r="273" spans="1:18" x14ac:dyDescent="0.3">
      <c r="A273" s="9">
        <v>25665</v>
      </c>
      <c r="B273" s="9" t="s">
        <v>40</v>
      </c>
      <c r="C273" s="9" t="s">
        <v>38</v>
      </c>
      <c r="D273" s="10">
        <v>20000</v>
      </c>
      <c r="E273" s="9" t="str" cm="1">
        <f t="array" ref="E273">_xlfn.IFS(D273&lt;= 60000, "Low Income",
D273&lt;=120000,"Medium Income",
D273&gt; 120000,"High Income"
)</f>
        <v>Low Income</v>
      </c>
      <c r="F273" s="9">
        <v>0</v>
      </c>
      <c r="G273" s="9" t="s">
        <v>30</v>
      </c>
      <c r="H273" s="9" t="s">
        <v>28</v>
      </c>
      <c r="I273" s="9" t="s">
        <v>20</v>
      </c>
      <c r="J273" s="9">
        <v>1</v>
      </c>
      <c r="K273" s="9" t="s">
        <v>29</v>
      </c>
      <c r="L273" s="9" t="s">
        <v>19</v>
      </c>
      <c r="M273" s="9">
        <v>28</v>
      </c>
      <c r="N273" s="9" t="str" cm="1">
        <f t="array" ref="N273">_xlfn.IFS(
M273&lt;=12,"Children",
M273&lt;=19,"Teens",
M273&lt;=29,"Young Adults",
M273&lt;=39,"Adults",
M273&lt;=59,"Middle-Aged",
M273&gt;=60,"Seniors"
)</f>
        <v>Young Adults</v>
      </c>
      <c r="O273" s="9" t="s">
        <v>20</v>
      </c>
      <c r="P273" s="9">
        <f t="shared" si="8"/>
        <v>0</v>
      </c>
      <c r="Q273" s="9">
        <v>1</v>
      </c>
      <c r="R273" s="10">
        <f t="shared" si="9"/>
        <v>0</v>
      </c>
    </row>
    <row r="274" spans="1:18" x14ac:dyDescent="0.3">
      <c r="A274" s="9">
        <v>24061</v>
      </c>
      <c r="B274" s="9" t="s">
        <v>37</v>
      </c>
      <c r="C274" s="9" t="s">
        <v>39</v>
      </c>
      <c r="D274" s="10">
        <v>10000</v>
      </c>
      <c r="E274" s="9" t="str" cm="1">
        <f t="array" ref="E274">_xlfn.IFS(D274&lt;= 60000, "Low Income",
D274&lt;=120000,"Medium Income",
D274&gt; 120000,"High Income"
)</f>
        <v>Low Income</v>
      </c>
      <c r="F274" s="9">
        <v>4</v>
      </c>
      <c r="G274" s="9" t="s">
        <v>32</v>
      </c>
      <c r="H274" s="9" t="s">
        <v>28</v>
      </c>
      <c r="I274" s="9" t="s">
        <v>17</v>
      </c>
      <c r="J274" s="9">
        <v>1</v>
      </c>
      <c r="K274" s="9" t="s">
        <v>18</v>
      </c>
      <c r="L274" s="9" t="s">
        <v>19</v>
      </c>
      <c r="M274" s="9">
        <v>40</v>
      </c>
      <c r="N274" s="9" t="str" cm="1">
        <f t="array" ref="N274">_xlfn.IFS(
M274&lt;=12,"Children",
M274&lt;=19,"Teens",
M274&lt;=29,"Young Adults",
M274&lt;=39,"Adults",
M274&lt;=59,"Middle-Aged",
M274&gt;=60,"Seniors"
)</f>
        <v>Middle-Aged</v>
      </c>
      <c r="O274" s="9" t="s">
        <v>17</v>
      </c>
      <c r="P274" s="9">
        <f t="shared" si="8"/>
        <v>1</v>
      </c>
      <c r="Q274" s="9">
        <v>1</v>
      </c>
      <c r="R274" s="10">
        <f t="shared" si="9"/>
        <v>10000</v>
      </c>
    </row>
    <row r="275" spans="1:18" x14ac:dyDescent="0.3">
      <c r="A275" s="9">
        <v>26879</v>
      </c>
      <c r="B275" s="9" t="s">
        <v>40</v>
      </c>
      <c r="C275" s="9" t="s">
        <v>38</v>
      </c>
      <c r="D275" s="10">
        <v>20000</v>
      </c>
      <c r="E275" s="9" t="str" cm="1">
        <f t="array" ref="E275">_xlfn.IFS(D275&lt;= 60000, "Low Income",
D275&lt;=120000,"Medium Income",
D275&gt; 120000,"High Income"
)</f>
        <v>Low Income</v>
      </c>
      <c r="F275" s="9">
        <v>0</v>
      </c>
      <c r="G275" s="9" t="s">
        <v>30</v>
      </c>
      <c r="H275" s="9" t="s">
        <v>28</v>
      </c>
      <c r="I275" s="9" t="s">
        <v>20</v>
      </c>
      <c r="J275" s="9">
        <v>1</v>
      </c>
      <c r="K275" s="9" t="s">
        <v>24</v>
      </c>
      <c r="L275" s="9" t="s">
        <v>19</v>
      </c>
      <c r="M275" s="9">
        <v>30</v>
      </c>
      <c r="N275" s="9" t="str" cm="1">
        <f t="array" ref="N275">_xlfn.IFS(
M275&lt;=12,"Children",
M275&lt;=19,"Teens",
M275&lt;=29,"Young Adults",
M275&lt;=39,"Adults",
M275&lt;=59,"Middle-Aged",
M275&gt;=60,"Seniors"
)</f>
        <v>Adults</v>
      </c>
      <c r="O275" s="9" t="s">
        <v>20</v>
      </c>
      <c r="P275" s="9">
        <f t="shared" si="8"/>
        <v>0</v>
      </c>
      <c r="Q275" s="9">
        <v>1</v>
      </c>
      <c r="R275" s="10">
        <f t="shared" si="9"/>
        <v>0</v>
      </c>
    </row>
    <row r="276" spans="1:18" x14ac:dyDescent="0.3">
      <c r="A276" s="9">
        <v>12284</v>
      </c>
      <c r="B276" s="9" t="s">
        <v>37</v>
      </c>
      <c r="C276" s="9" t="s">
        <v>38</v>
      </c>
      <c r="D276" s="10">
        <v>30000</v>
      </c>
      <c r="E276" s="9" t="str" cm="1">
        <f t="array" ref="E276">_xlfn.IFS(D276&lt;= 60000, "Low Income",
D276&lt;=120000,"Medium Income",
D276&gt; 120000,"High Income"
)</f>
        <v>Low Income</v>
      </c>
      <c r="F276" s="9">
        <v>0</v>
      </c>
      <c r="G276" s="9" t="s">
        <v>15</v>
      </c>
      <c r="H276" s="9" t="s">
        <v>22</v>
      </c>
      <c r="I276" s="9" t="s">
        <v>20</v>
      </c>
      <c r="J276" s="9">
        <v>0</v>
      </c>
      <c r="K276" s="9" t="s">
        <v>18</v>
      </c>
      <c r="L276" s="9" t="s">
        <v>19</v>
      </c>
      <c r="M276" s="9">
        <v>36</v>
      </c>
      <c r="N276" s="9" t="str" cm="1">
        <f t="array" ref="N276">_xlfn.IFS(
M276&lt;=12,"Children",
M276&lt;=19,"Teens",
M276&lt;=29,"Young Adults",
M276&lt;=39,"Adults",
M276&lt;=59,"Middle-Aged",
M276&gt;=60,"Seniors"
)</f>
        <v>Adults</v>
      </c>
      <c r="O276" s="9" t="s">
        <v>17</v>
      </c>
      <c r="P276" s="9">
        <f t="shared" si="8"/>
        <v>1</v>
      </c>
      <c r="Q276" s="9">
        <v>1</v>
      </c>
      <c r="R276" s="10">
        <f t="shared" si="9"/>
        <v>30000</v>
      </c>
    </row>
    <row r="277" spans="1:18" x14ac:dyDescent="0.3">
      <c r="A277" s="9">
        <v>26654</v>
      </c>
      <c r="B277" s="9" t="s">
        <v>37</v>
      </c>
      <c r="C277" s="9" t="s">
        <v>38</v>
      </c>
      <c r="D277" s="10">
        <v>90000</v>
      </c>
      <c r="E277" s="9" t="str" cm="1">
        <f t="array" ref="E277">_xlfn.IFS(D277&lt;= 60000, "Low Income",
D277&lt;=120000,"Medium Income",
D277&gt; 120000,"High Income"
)</f>
        <v>Medium Income</v>
      </c>
      <c r="F277" s="9">
        <v>1</v>
      </c>
      <c r="G277" s="9" t="s">
        <v>34</v>
      </c>
      <c r="H277" s="9" t="s">
        <v>31</v>
      </c>
      <c r="I277" s="9" t="s">
        <v>17</v>
      </c>
      <c r="J277" s="9">
        <v>0</v>
      </c>
      <c r="K277" s="9" t="s">
        <v>18</v>
      </c>
      <c r="L277" s="9" t="s">
        <v>27</v>
      </c>
      <c r="M277" s="9">
        <v>37</v>
      </c>
      <c r="N277" s="9" t="str" cm="1">
        <f t="array" ref="N277">_xlfn.IFS(
M277&lt;=12,"Children",
M277&lt;=19,"Teens",
M277&lt;=29,"Young Adults",
M277&lt;=39,"Adults",
M277&lt;=59,"Middle-Aged",
M277&gt;=60,"Seniors"
)</f>
        <v>Adults</v>
      </c>
      <c r="O277" s="9" t="s">
        <v>17</v>
      </c>
      <c r="P277" s="9">
        <f t="shared" si="8"/>
        <v>1</v>
      </c>
      <c r="Q277" s="9">
        <v>1</v>
      </c>
      <c r="R277" s="10">
        <f t="shared" si="9"/>
        <v>90000</v>
      </c>
    </row>
    <row r="278" spans="1:18" x14ac:dyDescent="0.3">
      <c r="A278" s="9">
        <v>14545</v>
      </c>
      <c r="B278" s="9" t="s">
        <v>37</v>
      </c>
      <c r="C278" s="9" t="s">
        <v>38</v>
      </c>
      <c r="D278" s="10">
        <v>10000</v>
      </c>
      <c r="E278" s="9" t="str" cm="1">
        <f t="array" ref="E278">_xlfn.IFS(D278&lt;= 60000, "Low Income",
D278&lt;=120000,"Medium Income",
D278&gt; 120000,"High Income"
)</f>
        <v>Low Income</v>
      </c>
      <c r="F278" s="9">
        <v>2</v>
      </c>
      <c r="G278" s="9" t="s">
        <v>21</v>
      </c>
      <c r="H278" s="9" t="s">
        <v>28</v>
      </c>
      <c r="I278" s="9" t="s">
        <v>17</v>
      </c>
      <c r="J278" s="9">
        <v>0</v>
      </c>
      <c r="K278" s="9" t="s">
        <v>29</v>
      </c>
      <c r="L278" s="9" t="s">
        <v>19</v>
      </c>
      <c r="M278" s="9">
        <v>49</v>
      </c>
      <c r="N278" s="9" t="str" cm="1">
        <f t="array" ref="N278">_xlfn.IFS(
M278&lt;=12,"Children",
M278&lt;=19,"Teens",
M278&lt;=29,"Young Adults",
M278&lt;=39,"Adults",
M278&lt;=59,"Middle-Aged",
M278&gt;=60,"Seniors"
)</f>
        <v>Middle-Aged</v>
      </c>
      <c r="O278" s="9" t="s">
        <v>20</v>
      </c>
      <c r="P278" s="9">
        <f t="shared" si="8"/>
        <v>0</v>
      </c>
      <c r="Q278" s="9">
        <v>1</v>
      </c>
      <c r="R278" s="10">
        <f t="shared" si="9"/>
        <v>0</v>
      </c>
    </row>
    <row r="279" spans="1:18" x14ac:dyDescent="0.3">
      <c r="A279" s="9">
        <v>24201</v>
      </c>
      <c r="B279" s="9" t="s">
        <v>37</v>
      </c>
      <c r="C279" s="9" t="s">
        <v>38</v>
      </c>
      <c r="D279" s="10">
        <v>10000</v>
      </c>
      <c r="E279" s="9" t="str" cm="1">
        <f t="array" ref="E279">_xlfn.IFS(D279&lt;= 60000, "Low Income",
D279&lt;=120000,"Medium Income",
D279&gt; 120000,"High Income"
)</f>
        <v>Low Income</v>
      </c>
      <c r="F279" s="9">
        <v>2</v>
      </c>
      <c r="G279" s="9" t="s">
        <v>30</v>
      </c>
      <c r="H279" s="9" t="s">
        <v>28</v>
      </c>
      <c r="I279" s="9" t="s">
        <v>17</v>
      </c>
      <c r="J279" s="9">
        <v>0</v>
      </c>
      <c r="K279" s="9" t="s">
        <v>18</v>
      </c>
      <c r="L279" s="9" t="s">
        <v>19</v>
      </c>
      <c r="M279" s="9">
        <v>37</v>
      </c>
      <c r="N279" s="9" t="str" cm="1">
        <f t="array" ref="N279">_xlfn.IFS(
M279&lt;=12,"Children",
M279&lt;=19,"Teens",
M279&lt;=29,"Young Adults",
M279&lt;=39,"Adults",
M279&lt;=59,"Middle-Aged",
M279&gt;=60,"Seniors"
)</f>
        <v>Adults</v>
      </c>
      <c r="O279" s="9" t="s">
        <v>17</v>
      </c>
      <c r="P279" s="9">
        <f t="shared" si="8"/>
        <v>1</v>
      </c>
      <c r="Q279" s="9">
        <v>1</v>
      </c>
      <c r="R279" s="10">
        <f t="shared" si="9"/>
        <v>10000</v>
      </c>
    </row>
    <row r="280" spans="1:18" x14ac:dyDescent="0.3">
      <c r="A280" s="9">
        <v>20625</v>
      </c>
      <c r="B280" s="9" t="s">
        <v>37</v>
      </c>
      <c r="C280" s="9" t="s">
        <v>39</v>
      </c>
      <c r="D280" s="10">
        <v>100000</v>
      </c>
      <c r="E280" s="9" t="str" cm="1">
        <f t="array" ref="E280">_xlfn.IFS(D280&lt;= 60000, "Low Income",
D280&lt;=120000,"Medium Income",
D280&gt; 120000,"High Income"
)</f>
        <v>Medium Income</v>
      </c>
      <c r="F280" s="9">
        <v>0</v>
      </c>
      <c r="G280" s="9" t="s">
        <v>30</v>
      </c>
      <c r="H280" s="9" t="s">
        <v>31</v>
      </c>
      <c r="I280" s="9" t="s">
        <v>17</v>
      </c>
      <c r="J280" s="9">
        <v>3</v>
      </c>
      <c r="K280" s="9" t="s">
        <v>41</v>
      </c>
      <c r="L280" s="9" t="s">
        <v>27</v>
      </c>
      <c r="M280" s="9">
        <v>35</v>
      </c>
      <c r="N280" s="9" t="str" cm="1">
        <f t="array" ref="N280">_xlfn.IFS(
M280&lt;=12,"Children",
M280&lt;=19,"Teens",
M280&lt;=29,"Young Adults",
M280&lt;=39,"Adults",
M280&lt;=59,"Middle-Aged",
M280&gt;=60,"Seniors"
)</f>
        <v>Adults</v>
      </c>
      <c r="O280" s="9" t="s">
        <v>17</v>
      </c>
      <c r="P280" s="9">
        <f t="shared" si="8"/>
        <v>1</v>
      </c>
      <c r="Q280" s="9">
        <v>1</v>
      </c>
      <c r="R280" s="10">
        <f t="shared" si="9"/>
        <v>100000</v>
      </c>
    </row>
    <row r="281" spans="1:18" x14ac:dyDescent="0.3">
      <c r="A281" s="9">
        <v>16390</v>
      </c>
      <c r="B281" s="9" t="s">
        <v>40</v>
      </c>
      <c r="C281" s="9" t="s">
        <v>39</v>
      </c>
      <c r="D281" s="10">
        <v>30000</v>
      </c>
      <c r="E281" s="9" t="str" cm="1">
        <f t="array" ref="E281">_xlfn.IFS(D281&lt;= 60000, "Low Income",
D281&lt;=120000,"Medium Income",
D281&gt; 120000,"High Income"
)</f>
        <v>Low Income</v>
      </c>
      <c r="F281" s="9">
        <v>1</v>
      </c>
      <c r="G281" s="9" t="s">
        <v>15</v>
      </c>
      <c r="H281" s="9" t="s">
        <v>22</v>
      </c>
      <c r="I281" s="9" t="s">
        <v>20</v>
      </c>
      <c r="J281" s="9">
        <v>0</v>
      </c>
      <c r="K281" s="9" t="s">
        <v>18</v>
      </c>
      <c r="L281" s="9" t="s">
        <v>19</v>
      </c>
      <c r="M281" s="9">
        <v>38</v>
      </c>
      <c r="N281" s="9" t="str" cm="1">
        <f t="array" ref="N281">_xlfn.IFS(
M281&lt;=12,"Children",
M281&lt;=19,"Teens",
M281&lt;=29,"Young Adults",
M281&lt;=39,"Adults",
M281&lt;=59,"Middle-Aged",
M281&gt;=60,"Seniors"
)</f>
        <v>Adults</v>
      </c>
      <c r="O281" s="9" t="s">
        <v>17</v>
      </c>
      <c r="P281" s="9">
        <f t="shared" si="8"/>
        <v>1</v>
      </c>
      <c r="Q281" s="9">
        <v>1</v>
      </c>
      <c r="R281" s="10">
        <f t="shared" si="9"/>
        <v>30000</v>
      </c>
    </row>
    <row r="282" spans="1:18" x14ac:dyDescent="0.3">
      <c r="A282" s="9">
        <v>14804</v>
      </c>
      <c r="B282" s="9" t="s">
        <v>40</v>
      </c>
      <c r="C282" s="9" t="s">
        <v>38</v>
      </c>
      <c r="D282" s="10">
        <v>10000</v>
      </c>
      <c r="E282" s="9" t="str" cm="1">
        <f t="array" ref="E282">_xlfn.IFS(D282&lt;= 60000, "Low Income",
D282&lt;=120000,"Medium Income",
D282&gt; 120000,"High Income"
)</f>
        <v>Low Income</v>
      </c>
      <c r="F282" s="9">
        <v>3</v>
      </c>
      <c r="G282" s="9" t="s">
        <v>32</v>
      </c>
      <c r="H282" s="9" t="s">
        <v>28</v>
      </c>
      <c r="I282" s="9" t="s">
        <v>17</v>
      </c>
      <c r="J282" s="9">
        <v>2</v>
      </c>
      <c r="K282" s="9" t="s">
        <v>18</v>
      </c>
      <c r="L282" s="9" t="s">
        <v>19</v>
      </c>
      <c r="M282" s="9">
        <v>43</v>
      </c>
      <c r="N282" s="9" t="str" cm="1">
        <f t="array" ref="N282">_xlfn.IFS(
M282&lt;=12,"Children",
M282&lt;=19,"Teens",
M282&lt;=29,"Young Adults",
M282&lt;=39,"Adults",
M282&lt;=59,"Middle-Aged",
M282&gt;=60,"Seniors"
)</f>
        <v>Middle-Aged</v>
      </c>
      <c r="O282" s="9" t="s">
        <v>20</v>
      </c>
      <c r="P282" s="9">
        <f t="shared" si="8"/>
        <v>0</v>
      </c>
      <c r="Q282" s="9">
        <v>1</v>
      </c>
      <c r="R282" s="10">
        <f t="shared" si="9"/>
        <v>0</v>
      </c>
    </row>
    <row r="283" spans="1:18" x14ac:dyDescent="0.3">
      <c r="A283" s="9">
        <v>12629</v>
      </c>
      <c r="B283" s="9" t="s">
        <v>40</v>
      </c>
      <c r="C283" s="9" t="s">
        <v>39</v>
      </c>
      <c r="D283" s="10">
        <v>20000</v>
      </c>
      <c r="E283" s="9" t="str" cm="1">
        <f t="array" ref="E283">_xlfn.IFS(D283&lt;= 60000, "Low Income",
D283&lt;=120000,"Medium Income",
D283&gt; 120000,"High Income"
)</f>
        <v>Low Income</v>
      </c>
      <c r="F283" s="9">
        <v>1</v>
      </c>
      <c r="G283" s="9" t="s">
        <v>21</v>
      </c>
      <c r="H283" s="9" t="s">
        <v>28</v>
      </c>
      <c r="I283" s="9" t="s">
        <v>20</v>
      </c>
      <c r="J283" s="9">
        <v>0</v>
      </c>
      <c r="K283" s="9" t="s">
        <v>18</v>
      </c>
      <c r="L283" s="9" t="s">
        <v>19</v>
      </c>
      <c r="M283" s="9">
        <v>37</v>
      </c>
      <c r="N283" s="9" t="str" cm="1">
        <f t="array" ref="N283">_xlfn.IFS(
M283&lt;=12,"Children",
M283&lt;=19,"Teens",
M283&lt;=29,"Young Adults",
M283&lt;=39,"Adults",
M283&lt;=59,"Middle-Aged",
M283&gt;=60,"Seniors"
)</f>
        <v>Adults</v>
      </c>
      <c r="O283" s="9" t="s">
        <v>20</v>
      </c>
      <c r="P283" s="9">
        <f t="shared" si="8"/>
        <v>0</v>
      </c>
      <c r="Q283" s="9">
        <v>1</v>
      </c>
      <c r="R283" s="10">
        <f t="shared" si="9"/>
        <v>0</v>
      </c>
    </row>
    <row r="284" spans="1:18" x14ac:dyDescent="0.3">
      <c r="A284" s="9">
        <v>14696</v>
      </c>
      <c r="B284" s="9" t="s">
        <v>40</v>
      </c>
      <c r="C284" s="9" t="s">
        <v>39</v>
      </c>
      <c r="D284" s="10">
        <v>10000</v>
      </c>
      <c r="E284" s="9" t="str" cm="1">
        <f t="array" ref="E284">_xlfn.IFS(D284&lt;= 60000, "Low Income",
D284&lt;=120000,"Medium Income",
D284&gt; 120000,"High Income"
)</f>
        <v>Low Income</v>
      </c>
      <c r="F284" s="9">
        <v>0</v>
      </c>
      <c r="G284" s="9" t="s">
        <v>32</v>
      </c>
      <c r="H284" s="9" t="s">
        <v>28</v>
      </c>
      <c r="I284" s="9" t="s">
        <v>20</v>
      </c>
      <c r="J284" s="9">
        <v>2</v>
      </c>
      <c r="K284" s="9" t="s">
        <v>18</v>
      </c>
      <c r="L284" s="9" t="s">
        <v>19</v>
      </c>
      <c r="M284" s="9">
        <v>34</v>
      </c>
      <c r="N284" s="9" t="str" cm="1">
        <f t="array" ref="N284">_xlfn.IFS(
M284&lt;=12,"Children",
M284&lt;=19,"Teens",
M284&lt;=29,"Young Adults",
M284&lt;=39,"Adults",
M284&lt;=59,"Middle-Aged",
M284&gt;=60,"Seniors"
)</f>
        <v>Adults</v>
      </c>
      <c r="O284" s="9" t="s">
        <v>20</v>
      </c>
      <c r="P284" s="9">
        <f t="shared" si="8"/>
        <v>0</v>
      </c>
      <c r="Q284" s="9">
        <v>1</v>
      </c>
      <c r="R284" s="10">
        <f t="shared" si="9"/>
        <v>0</v>
      </c>
    </row>
    <row r="285" spans="1:18" x14ac:dyDescent="0.3">
      <c r="A285" s="9">
        <v>22005</v>
      </c>
      <c r="B285" s="9" t="s">
        <v>37</v>
      </c>
      <c r="C285" s="9" t="s">
        <v>38</v>
      </c>
      <c r="D285" s="10">
        <v>70000</v>
      </c>
      <c r="E285" s="9" t="str" cm="1">
        <f t="array" ref="E285">_xlfn.IFS(D285&lt;= 60000, "Low Income",
D285&lt;=120000,"Medium Income",
D285&gt; 120000,"High Income"
)</f>
        <v>Medium Income</v>
      </c>
      <c r="F285" s="9">
        <v>5</v>
      </c>
      <c r="G285" s="9" t="s">
        <v>21</v>
      </c>
      <c r="H285" s="9" t="s">
        <v>16</v>
      </c>
      <c r="I285" s="9" t="s">
        <v>20</v>
      </c>
      <c r="J285" s="9">
        <v>3</v>
      </c>
      <c r="K285" s="9" t="s">
        <v>26</v>
      </c>
      <c r="L285" s="9" t="s">
        <v>27</v>
      </c>
      <c r="M285" s="9">
        <v>46</v>
      </c>
      <c r="N285" s="9" t="str" cm="1">
        <f t="array" ref="N285">_xlfn.IFS(
M285&lt;=12,"Children",
M285&lt;=19,"Teens",
M285&lt;=29,"Young Adults",
M285&lt;=39,"Adults",
M285&lt;=59,"Middle-Aged",
M285&gt;=60,"Seniors"
)</f>
        <v>Middle-Aged</v>
      </c>
      <c r="O285" s="9" t="s">
        <v>20</v>
      </c>
      <c r="P285" s="9">
        <f t="shared" si="8"/>
        <v>0</v>
      </c>
      <c r="Q285" s="9">
        <v>1</v>
      </c>
      <c r="R285" s="10">
        <f t="shared" si="9"/>
        <v>0</v>
      </c>
    </row>
    <row r="286" spans="1:18" x14ac:dyDescent="0.3">
      <c r="A286" s="9">
        <v>14544</v>
      </c>
      <c r="B286" s="9" t="s">
        <v>40</v>
      </c>
      <c r="C286" s="9" t="s">
        <v>39</v>
      </c>
      <c r="D286" s="10">
        <v>10000</v>
      </c>
      <c r="E286" s="9" t="str" cm="1">
        <f t="array" ref="E286">_xlfn.IFS(D286&lt;= 60000, "Low Income",
D286&lt;=120000,"Medium Income",
D286&gt; 120000,"High Income"
)</f>
        <v>Low Income</v>
      </c>
      <c r="F286" s="9">
        <v>1</v>
      </c>
      <c r="G286" s="9" t="s">
        <v>21</v>
      </c>
      <c r="H286" s="9" t="s">
        <v>28</v>
      </c>
      <c r="I286" s="9" t="s">
        <v>17</v>
      </c>
      <c r="J286" s="9">
        <v>0</v>
      </c>
      <c r="K286" s="9" t="s">
        <v>18</v>
      </c>
      <c r="L286" s="9" t="s">
        <v>19</v>
      </c>
      <c r="M286" s="9">
        <v>49</v>
      </c>
      <c r="N286" s="9" t="str" cm="1">
        <f t="array" ref="N286">_xlfn.IFS(
M286&lt;=12,"Children",
M286&lt;=19,"Teens",
M286&lt;=29,"Young Adults",
M286&lt;=39,"Adults",
M286&lt;=59,"Middle-Aged",
M286&gt;=60,"Seniors"
)</f>
        <v>Middle-Aged</v>
      </c>
      <c r="O286" s="9" t="s">
        <v>20</v>
      </c>
      <c r="P286" s="9">
        <f t="shared" si="8"/>
        <v>0</v>
      </c>
      <c r="Q286" s="9">
        <v>1</v>
      </c>
      <c r="R286" s="10">
        <f t="shared" si="9"/>
        <v>0</v>
      </c>
    </row>
    <row r="287" spans="1:18" x14ac:dyDescent="0.3">
      <c r="A287" s="9">
        <v>14312</v>
      </c>
      <c r="B287" s="9" t="s">
        <v>37</v>
      </c>
      <c r="C287" s="9" t="s">
        <v>38</v>
      </c>
      <c r="D287" s="10">
        <v>60000</v>
      </c>
      <c r="E287" s="9" t="str" cm="1">
        <f t="array" ref="E287">_xlfn.IFS(D287&lt;= 60000, "Low Income",
D287&lt;=120000,"Medium Income",
D287&gt; 120000,"High Income"
)</f>
        <v>Low Income</v>
      </c>
      <c r="F287" s="9">
        <v>1</v>
      </c>
      <c r="G287" s="9" t="s">
        <v>21</v>
      </c>
      <c r="H287" s="9" t="s">
        <v>16</v>
      </c>
      <c r="I287" s="9" t="s">
        <v>17</v>
      </c>
      <c r="J287" s="9">
        <v>1</v>
      </c>
      <c r="K287" s="9" t="s">
        <v>26</v>
      </c>
      <c r="L287" s="9" t="s">
        <v>27</v>
      </c>
      <c r="M287" s="9">
        <v>45</v>
      </c>
      <c r="N287" s="9" t="str" cm="1">
        <f t="array" ref="N287">_xlfn.IFS(
M287&lt;=12,"Children",
M287&lt;=19,"Teens",
M287&lt;=29,"Young Adults",
M287&lt;=39,"Adults",
M287&lt;=59,"Middle-Aged",
M287&gt;=60,"Seniors"
)</f>
        <v>Middle-Aged</v>
      </c>
      <c r="O287" s="9" t="s">
        <v>20</v>
      </c>
      <c r="P287" s="9">
        <f t="shared" si="8"/>
        <v>0</v>
      </c>
      <c r="Q287" s="9">
        <v>1</v>
      </c>
      <c r="R287" s="10">
        <f t="shared" si="9"/>
        <v>0</v>
      </c>
    </row>
    <row r="288" spans="1:18" x14ac:dyDescent="0.3">
      <c r="A288" s="9">
        <v>29120</v>
      </c>
      <c r="B288" s="9" t="s">
        <v>40</v>
      </c>
      <c r="C288" s="9" t="s">
        <v>38</v>
      </c>
      <c r="D288" s="10">
        <v>100000</v>
      </c>
      <c r="E288" s="9" t="str" cm="1">
        <f t="array" ref="E288">_xlfn.IFS(D288&lt;= 60000, "Low Income",
D288&lt;=120000,"Medium Income",
D288&gt; 120000,"High Income"
)</f>
        <v>Medium Income</v>
      </c>
      <c r="F288" s="9">
        <v>1</v>
      </c>
      <c r="G288" s="9" t="s">
        <v>15</v>
      </c>
      <c r="H288" s="9" t="s">
        <v>31</v>
      </c>
      <c r="I288" s="9" t="s">
        <v>17</v>
      </c>
      <c r="J288" s="9">
        <v>4</v>
      </c>
      <c r="K288" s="9" t="s">
        <v>24</v>
      </c>
      <c r="L288" s="9" t="s">
        <v>27</v>
      </c>
      <c r="M288" s="9">
        <v>48</v>
      </c>
      <c r="N288" s="9" t="str" cm="1">
        <f t="array" ref="N288">_xlfn.IFS(
M288&lt;=12,"Children",
M288&lt;=19,"Teens",
M288&lt;=29,"Young Adults",
M288&lt;=39,"Adults",
M288&lt;=59,"Middle-Aged",
M288&gt;=60,"Seniors"
)</f>
        <v>Middle-Aged</v>
      </c>
      <c r="O288" s="9" t="s">
        <v>20</v>
      </c>
      <c r="P288" s="9">
        <f t="shared" si="8"/>
        <v>0</v>
      </c>
      <c r="Q288" s="9">
        <v>1</v>
      </c>
      <c r="R288" s="10">
        <f t="shared" si="9"/>
        <v>0</v>
      </c>
    </row>
    <row r="289" spans="1:18" x14ac:dyDescent="0.3">
      <c r="A289" s="9">
        <v>24187</v>
      </c>
      <c r="B289" s="9" t="s">
        <v>40</v>
      </c>
      <c r="C289" s="9" t="s">
        <v>38</v>
      </c>
      <c r="D289" s="10">
        <v>30000</v>
      </c>
      <c r="E289" s="9" t="str" cm="1">
        <f t="array" ref="E289">_xlfn.IFS(D289&lt;= 60000, "Low Income",
D289&lt;=120000,"Medium Income",
D289&gt; 120000,"High Income"
)</f>
        <v>Low Income</v>
      </c>
      <c r="F289" s="9">
        <v>3</v>
      </c>
      <c r="G289" s="9" t="s">
        <v>34</v>
      </c>
      <c r="H289" s="9" t="s">
        <v>22</v>
      </c>
      <c r="I289" s="9" t="s">
        <v>20</v>
      </c>
      <c r="J289" s="9">
        <v>0</v>
      </c>
      <c r="K289" s="9" t="s">
        <v>18</v>
      </c>
      <c r="L289" s="9" t="s">
        <v>19</v>
      </c>
      <c r="M289" s="9">
        <v>46</v>
      </c>
      <c r="N289" s="9" t="str" cm="1">
        <f t="array" ref="N289">_xlfn.IFS(
M289&lt;=12,"Children",
M289&lt;=19,"Teens",
M289&lt;=29,"Young Adults",
M289&lt;=39,"Adults",
M289&lt;=59,"Middle-Aged",
M289&gt;=60,"Seniors"
)</f>
        <v>Middle-Aged</v>
      </c>
      <c r="O289" s="9" t="s">
        <v>17</v>
      </c>
      <c r="P289" s="9">
        <f t="shared" si="8"/>
        <v>1</v>
      </c>
      <c r="Q289" s="9">
        <v>1</v>
      </c>
      <c r="R289" s="10">
        <f t="shared" si="9"/>
        <v>30000</v>
      </c>
    </row>
    <row r="290" spans="1:18" x14ac:dyDescent="0.3">
      <c r="A290" s="9">
        <v>15758</v>
      </c>
      <c r="B290" s="9" t="s">
        <v>37</v>
      </c>
      <c r="C290" s="9" t="s">
        <v>39</v>
      </c>
      <c r="D290" s="10">
        <v>130000</v>
      </c>
      <c r="E290" s="9" t="str" cm="1">
        <f t="array" ref="E290">_xlfn.IFS(D290&lt;= 60000, "Low Income",
D290&lt;=120000,"Medium Income",
D290&gt; 120000,"High Income"
)</f>
        <v>High Income</v>
      </c>
      <c r="F290" s="9">
        <v>0</v>
      </c>
      <c r="G290" s="9" t="s">
        <v>34</v>
      </c>
      <c r="H290" s="9" t="s">
        <v>31</v>
      </c>
      <c r="I290" s="9" t="s">
        <v>17</v>
      </c>
      <c r="J290" s="9">
        <v>0</v>
      </c>
      <c r="K290" s="9" t="s">
        <v>26</v>
      </c>
      <c r="L290" s="9" t="s">
        <v>27</v>
      </c>
      <c r="M290" s="9">
        <v>48</v>
      </c>
      <c r="N290" s="9" t="str" cm="1">
        <f t="array" ref="N290">_xlfn.IFS(
M290&lt;=12,"Children",
M290&lt;=19,"Teens",
M290&lt;=29,"Young Adults",
M290&lt;=39,"Adults",
M290&lt;=59,"Middle-Aged",
M290&gt;=60,"Seniors"
)</f>
        <v>Middle-Aged</v>
      </c>
      <c r="O290" s="9" t="s">
        <v>20</v>
      </c>
      <c r="P290" s="9">
        <f t="shared" si="8"/>
        <v>0</v>
      </c>
      <c r="Q290" s="9">
        <v>1</v>
      </c>
      <c r="R290" s="10">
        <f t="shared" si="9"/>
        <v>0</v>
      </c>
    </row>
    <row r="291" spans="1:18" x14ac:dyDescent="0.3">
      <c r="A291" s="9">
        <v>29094</v>
      </c>
      <c r="B291" s="9" t="s">
        <v>37</v>
      </c>
      <c r="C291" s="9" t="s">
        <v>39</v>
      </c>
      <c r="D291" s="10">
        <v>30000</v>
      </c>
      <c r="E291" s="9" t="str" cm="1">
        <f t="array" ref="E291">_xlfn.IFS(D291&lt;= 60000, "Low Income",
D291&lt;=120000,"Medium Income",
D291&gt; 120000,"High Income"
)</f>
        <v>Low Income</v>
      </c>
      <c r="F291" s="9">
        <v>3</v>
      </c>
      <c r="G291" s="9" t="s">
        <v>30</v>
      </c>
      <c r="H291" s="9" t="s">
        <v>16</v>
      </c>
      <c r="I291" s="9" t="s">
        <v>17</v>
      </c>
      <c r="J291" s="9">
        <v>2</v>
      </c>
      <c r="K291" s="9" t="s">
        <v>26</v>
      </c>
      <c r="L291" s="9" t="s">
        <v>27</v>
      </c>
      <c r="M291" s="9">
        <v>54</v>
      </c>
      <c r="N291" s="9" t="str" cm="1">
        <f t="array" ref="N291">_xlfn.IFS(
M291&lt;=12,"Children",
M291&lt;=19,"Teens",
M291&lt;=29,"Young Adults",
M291&lt;=39,"Adults",
M291&lt;=59,"Middle-Aged",
M291&gt;=60,"Seniors"
)</f>
        <v>Middle-Aged</v>
      </c>
      <c r="O291" s="9" t="s">
        <v>17</v>
      </c>
      <c r="P291" s="9">
        <f t="shared" si="8"/>
        <v>1</v>
      </c>
      <c r="Q291" s="9">
        <v>1</v>
      </c>
      <c r="R291" s="10">
        <f t="shared" si="9"/>
        <v>30000</v>
      </c>
    </row>
    <row r="292" spans="1:18" x14ac:dyDescent="0.3">
      <c r="A292" s="9">
        <v>28319</v>
      </c>
      <c r="B292" s="9" t="s">
        <v>40</v>
      </c>
      <c r="C292" s="9" t="s">
        <v>38</v>
      </c>
      <c r="D292" s="10">
        <v>60000</v>
      </c>
      <c r="E292" s="9" t="str" cm="1">
        <f t="array" ref="E292">_xlfn.IFS(D292&lt;= 60000, "Low Income",
D292&lt;=120000,"Medium Income",
D292&gt; 120000,"High Income"
)</f>
        <v>Low Income</v>
      </c>
      <c r="F292" s="9">
        <v>1</v>
      </c>
      <c r="G292" s="9" t="s">
        <v>21</v>
      </c>
      <c r="H292" s="9" t="s">
        <v>16</v>
      </c>
      <c r="I292" s="9" t="s">
        <v>20</v>
      </c>
      <c r="J292" s="9">
        <v>1</v>
      </c>
      <c r="K292" s="9" t="s">
        <v>18</v>
      </c>
      <c r="L292" s="9" t="s">
        <v>27</v>
      </c>
      <c r="M292" s="9">
        <v>46</v>
      </c>
      <c r="N292" s="9" t="str" cm="1">
        <f t="array" ref="N292">_xlfn.IFS(
M292&lt;=12,"Children",
M292&lt;=19,"Teens",
M292&lt;=29,"Young Adults",
M292&lt;=39,"Adults",
M292&lt;=59,"Middle-Aged",
M292&gt;=60,"Seniors"
)</f>
        <v>Middle-Aged</v>
      </c>
      <c r="O292" s="9" t="s">
        <v>17</v>
      </c>
      <c r="P292" s="9">
        <f t="shared" si="8"/>
        <v>1</v>
      </c>
      <c r="Q292" s="9">
        <v>1</v>
      </c>
      <c r="R292" s="10">
        <f t="shared" si="9"/>
        <v>60000</v>
      </c>
    </row>
    <row r="293" spans="1:18" x14ac:dyDescent="0.3">
      <c r="A293" s="9">
        <v>16406</v>
      </c>
      <c r="B293" s="9" t="s">
        <v>37</v>
      </c>
      <c r="C293" s="9" t="s">
        <v>39</v>
      </c>
      <c r="D293" s="10">
        <v>40000</v>
      </c>
      <c r="E293" s="9" t="str" cm="1">
        <f t="array" ref="E293">_xlfn.IFS(D293&lt;= 60000, "Low Income",
D293&lt;=120000,"Medium Income",
D293&gt; 120000,"High Income"
)</f>
        <v>Low Income</v>
      </c>
      <c r="F293" s="9">
        <v>0</v>
      </c>
      <c r="G293" s="9" t="s">
        <v>15</v>
      </c>
      <c r="H293" s="9" t="s">
        <v>22</v>
      </c>
      <c r="I293" s="9" t="s">
        <v>20</v>
      </c>
      <c r="J293" s="9">
        <v>0</v>
      </c>
      <c r="K293" s="9" t="s">
        <v>18</v>
      </c>
      <c r="L293" s="9" t="s">
        <v>19</v>
      </c>
      <c r="M293" s="9">
        <v>38</v>
      </c>
      <c r="N293" s="9" t="str" cm="1">
        <f t="array" ref="N293">_xlfn.IFS(
M293&lt;=12,"Children",
M293&lt;=19,"Teens",
M293&lt;=29,"Young Adults",
M293&lt;=39,"Adults",
M293&lt;=59,"Middle-Aged",
M293&gt;=60,"Seniors"
)</f>
        <v>Adults</v>
      </c>
      <c r="O293" s="9" t="s">
        <v>17</v>
      </c>
      <c r="P293" s="9">
        <f t="shared" si="8"/>
        <v>1</v>
      </c>
      <c r="Q293" s="9">
        <v>1</v>
      </c>
      <c r="R293" s="10">
        <f t="shared" si="9"/>
        <v>40000</v>
      </c>
    </row>
    <row r="294" spans="1:18" x14ac:dyDescent="0.3">
      <c r="A294" s="9">
        <v>20923</v>
      </c>
      <c r="B294" s="9" t="s">
        <v>37</v>
      </c>
      <c r="C294" s="9" t="s">
        <v>38</v>
      </c>
      <c r="D294" s="10">
        <v>40000</v>
      </c>
      <c r="E294" s="9" t="str" cm="1">
        <f t="array" ref="E294">_xlfn.IFS(D294&lt;= 60000, "Low Income",
D294&lt;=120000,"Medium Income",
D294&gt; 120000,"High Income"
)</f>
        <v>Low Income</v>
      </c>
      <c r="F294" s="9">
        <v>1</v>
      </c>
      <c r="G294" s="9" t="s">
        <v>15</v>
      </c>
      <c r="H294" s="9" t="s">
        <v>16</v>
      </c>
      <c r="I294" s="9" t="s">
        <v>17</v>
      </c>
      <c r="J294" s="9">
        <v>0</v>
      </c>
      <c r="K294" s="9" t="s">
        <v>18</v>
      </c>
      <c r="L294" s="9" t="s">
        <v>19</v>
      </c>
      <c r="M294" s="9">
        <v>42</v>
      </c>
      <c r="N294" s="9" t="str" cm="1">
        <f t="array" ref="N294">_xlfn.IFS(
M294&lt;=12,"Children",
M294&lt;=19,"Teens",
M294&lt;=29,"Young Adults",
M294&lt;=39,"Adults",
M294&lt;=59,"Middle-Aged",
M294&gt;=60,"Seniors"
)</f>
        <v>Middle-Aged</v>
      </c>
      <c r="O294" s="9" t="s">
        <v>17</v>
      </c>
      <c r="P294" s="9">
        <f t="shared" si="8"/>
        <v>1</v>
      </c>
      <c r="Q294" s="9">
        <v>1</v>
      </c>
      <c r="R294" s="10">
        <f t="shared" si="9"/>
        <v>40000</v>
      </c>
    </row>
    <row r="295" spans="1:18" x14ac:dyDescent="0.3">
      <c r="A295" s="9">
        <v>11378</v>
      </c>
      <c r="B295" s="9" t="s">
        <v>40</v>
      </c>
      <c r="C295" s="9" t="s">
        <v>38</v>
      </c>
      <c r="D295" s="10">
        <v>10000</v>
      </c>
      <c r="E295" s="9" t="str" cm="1">
        <f t="array" ref="E295">_xlfn.IFS(D295&lt;= 60000, "Low Income",
D295&lt;=120000,"Medium Income",
D295&gt; 120000,"High Income"
)</f>
        <v>Low Income</v>
      </c>
      <c r="F295" s="9">
        <v>1</v>
      </c>
      <c r="G295" s="9" t="s">
        <v>30</v>
      </c>
      <c r="H295" s="9" t="s">
        <v>28</v>
      </c>
      <c r="I295" s="9" t="s">
        <v>20</v>
      </c>
      <c r="J295" s="9">
        <v>1</v>
      </c>
      <c r="K295" s="9" t="s">
        <v>24</v>
      </c>
      <c r="L295" s="9" t="s">
        <v>19</v>
      </c>
      <c r="M295" s="9">
        <v>46</v>
      </c>
      <c r="N295" s="9" t="str" cm="1">
        <f t="array" ref="N295">_xlfn.IFS(
M295&lt;=12,"Children",
M295&lt;=19,"Teens",
M295&lt;=29,"Young Adults",
M295&lt;=39,"Adults",
M295&lt;=59,"Middle-Aged",
M295&gt;=60,"Seniors"
)</f>
        <v>Middle-Aged</v>
      </c>
      <c r="O295" s="9" t="s">
        <v>17</v>
      </c>
      <c r="P295" s="9">
        <f t="shared" si="8"/>
        <v>1</v>
      </c>
      <c r="Q295" s="9">
        <v>1</v>
      </c>
      <c r="R295" s="10">
        <f t="shared" si="9"/>
        <v>10000</v>
      </c>
    </row>
    <row r="296" spans="1:18" x14ac:dyDescent="0.3">
      <c r="A296" s="9">
        <v>20851</v>
      </c>
      <c r="B296" s="9" t="s">
        <v>40</v>
      </c>
      <c r="C296" s="9" t="s">
        <v>39</v>
      </c>
      <c r="D296" s="10">
        <v>20000</v>
      </c>
      <c r="E296" s="9" t="str" cm="1">
        <f t="array" ref="E296">_xlfn.IFS(D296&lt;= 60000, "Low Income",
D296&lt;=120000,"Medium Income",
D296&gt; 120000,"High Income"
)</f>
        <v>Low Income</v>
      </c>
      <c r="F296" s="9">
        <v>0</v>
      </c>
      <c r="G296" s="9" t="s">
        <v>21</v>
      </c>
      <c r="H296" s="9" t="s">
        <v>28</v>
      </c>
      <c r="I296" s="9" t="s">
        <v>20</v>
      </c>
      <c r="J296" s="9">
        <v>1</v>
      </c>
      <c r="K296" s="9" t="s">
        <v>24</v>
      </c>
      <c r="L296" s="9" t="s">
        <v>19</v>
      </c>
      <c r="M296" s="9">
        <v>36</v>
      </c>
      <c r="N296" s="9" t="str" cm="1">
        <f t="array" ref="N296">_xlfn.IFS(
M296&lt;=12,"Children",
M296&lt;=19,"Teens",
M296&lt;=29,"Young Adults",
M296&lt;=39,"Adults",
M296&lt;=59,"Middle-Aged",
M296&gt;=60,"Seniors"
)</f>
        <v>Adults</v>
      </c>
      <c r="O296" s="9" t="s">
        <v>17</v>
      </c>
      <c r="P296" s="9">
        <f t="shared" si="8"/>
        <v>1</v>
      </c>
      <c r="Q296" s="9">
        <v>1</v>
      </c>
      <c r="R296" s="10">
        <f t="shared" si="9"/>
        <v>20000</v>
      </c>
    </row>
    <row r="297" spans="1:18" x14ac:dyDescent="0.3">
      <c r="A297" s="9">
        <v>21557</v>
      </c>
      <c r="B297" s="9" t="s">
        <v>40</v>
      </c>
      <c r="C297" s="9" t="s">
        <v>38</v>
      </c>
      <c r="D297" s="10">
        <v>110000</v>
      </c>
      <c r="E297" s="9" t="str" cm="1">
        <f t="array" ref="E297">_xlfn.IFS(D297&lt;= 60000, "Low Income",
D297&lt;=120000,"Medium Income",
D297&gt; 120000,"High Income"
)</f>
        <v>Medium Income</v>
      </c>
      <c r="F297" s="9">
        <v>0</v>
      </c>
      <c r="G297" s="9" t="s">
        <v>21</v>
      </c>
      <c r="H297" s="9" t="s">
        <v>31</v>
      </c>
      <c r="I297" s="9" t="s">
        <v>17</v>
      </c>
      <c r="J297" s="9">
        <v>3</v>
      </c>
      <c r="K297" s="9" t="s">
        <v>41</v>
      </c>
      <c r="L297" s="9" t="s">
        <v>27</v>
      </c>
      <c r="M297" s="9">
        <v>32</v>
      </c>
      <c r="N297" s="9" t="str" cm="1">
        <f t="array" ref="N297">_xlfn.IFS(
M297&lt;=12,"Children",
M297&lt;=19,"Teens",
M297&lt;=29,"Young Adults",
M297&lt;=39,"Adults",
M297&lt;=59,"Middle-Aged",
M297&gt;=60,"Seniors"
)</f>
        <v>Adults</v>
      </c>
      <c r="O297" s="9" t="s">
        <v>17</v>
      </c>
      <c r="P297" s="9">
        <f t="shared" si="8"/>
        <v>1</v>
      </c>
      <c r="Q297" s="9">
        <v>1</v>
      </c>
      <c r="R297" s="10">
        <f t="shared" si="9"/>
        <v>110000</v>
      </c>
    </row>
    <row r="298" spans="1:18" x14ac:dyDescent="0.3">
      <c r="A298" s="9">
        <v>26663</v>
      </c>
      <c r="B298" s="9" t="s">
        <v>40</v>
      </c>
      <c r="C298" s="9" t="s">
        <v>38</v>
      </c>
      <c r="D298" s="10">
        <v>60000</v>
      </c>
      <c r="E298" s="9" t="str" cm="1">
        <f t="array" ref="E298">_xlfn.IFS(D298&lt;= 60000, "Low Income",
D298&lt;=120000,"Medium Income",
D298&gt; 120000,"High Income"
)</f>
        <v>Low Income</v>
      </c>
      <c r="F298" s="9">
        <v>2</v>
      </c>
      <c r="G298" s="9" t="s">
        <v>15</v>
      </c>
      <c r="H298" s="9" t="s">
        <v>23</v>
      </c>
      <c r="I298" s="9" t="s">
        <v>20</v>
      </c>
      <c r="J298" s="9">
        <v>1</v>
      </c>
      <c r="K298" s="9" t="s">
        <v>18</v>
      </c>
      <c r="L298" s="9" t="s">
        <v>27</v>
      </c>
      <c r="M298" s="9">
        <v>39</v>
      </c>
      <c r="N298" s="9" t="str" cm="1">
        <f t="array" ref="N298">_xlfn.IFS(
M298&lt;=12,"Children",
M298&lt;=19,"Teens",
M298&lt;=29,"Young Adults",
M298&lt;=39,"Adults",
M298&lt;=59,"Middle-Aged",
M298&gt;=60,"Seniors"
)</f>
        <v>Adults</v>
      </c>
      <c r="O298" s="9" t="s">
        <v>17</v>
      </c>
      <c r="P298" s="9">
        <f t="shared" si="8"/>
        <v>1</v>
      </c>
      <c r="Q298" s="9">
        <v>1</v>
      </c>
      <c r="R298" s="10">
        <f t="shared" si="9"/>
        <v>60000</v>
      </c>
    </row>
    <row r="299" spans="1:18" x14ac:dyDescent="0.3">
      <c r="A299" s="9">
        <v>11896</v>
      </c>
      <c r="B299" s="9" t="s">
        <v>37</v>
      </c>
      <c r="C299" s="9" t="s">
        <v>39</v>
      </c>
      <c r="D299" s="10">
        <v>100000</v>
      </c>
      <c r="E299" s="9" t="str" cm="1">
        <f t="array" ref="E299">_xlfn.IFS(D299&lt;= 60000, "Low Income",
D299&lt;=120000,"Medium Income",
D299&gt; 120000,"High Income"
)</f>
        <v>Medium Income</v>
      </c>
      <c r="F299" s="9">
        <v>1</v>
      </c>
      <c r="G299" s="9" t="s">
        <v>34</v>
      </c>
      <c r="H299" s="9" t="s">
        <v>31</v>
      </c>
      <c r="I299" s="9" t="s">
        <v>17</v>
      </c>
      <c r="J299" s="9">
        <v>0</v>
      </c>
      <c r="K299" s="9" t="s">
        <v>24</v>
      </c>
      <c r="L299" s="9" t="s">
        <v>27</v>
      </c>
      <c r="M299" s="9">
        <v>36</v>
      </c>
      <c r="N299" s="9" t="str" cm="1">
        <f t="array" ref="N299">_xlfn.IFS(
M299&lt;=12,"Children",
M299&lt;=19,"Teens",
M299&lt;=29,"Young Adults",
M299&lt;=39,"Adults",
M299&lt;=59,"Middle-Aged",
M299&gt;=60,"Seniors"
)</f>
        <v>Adults</v>
      </c>
      <c r="O299" s="9" t="s">
        <v>17</v>
      </c>
      <c r="P299" s="9">
        <f t="shared" si="8"/>
        <v>1</v>
      </c>
      <c r="Q299" s="9">
        <v>1</v>
      </c>
      <c r="R299" s="10">
        <f t="shared" si="9"/>
        <v>100000</v>
      </c>
    </row>
    <row r="300" spans="1:18" x14ac:dyDescent="0.3">
      <c r="A300" s="9">
        <v>14189</v>
      </c>
      <c r="B300" s="9" t="s">
        <v>37</v>
      </c>
      <c r="C300" s="9" t="s">
        <v>38</v>
      </c>
      <c r="D300" s="10">
        <v>90000</v>
      </c>
      <c r="E300" s="9" t="str" cm="1">
        <f t="array" ref="E300">_xlfn.IFS(D300&lt;= 60000, "Low Income",
D300&lt;=120000,"Medium Income",
D300&gt; 120000,"High Income"
)</f>
        <v>Medium Income</v>
      </c>
      <c r="F300" s="9">
        <v>4</v>
      </c>
      <c r="G300" s="9" t="s">
        <v>30</v>
      </c>
      <c r="H300" s="9" t="s">
        <v>23</v>
      </c>
      <c r="I300" s="9" t="s">
        <v>20</v>
      </c>
      <c r="J300" s="9">
        <v>2</v>
      </c>
      <c r="K300" s="9" t="s">
        <v>24</v>
      </c>
      <c r="L300" s="9" t="s">
        <v>19</v>
      </c>
      <c r="M300" s="9">
        <v>54</v>
      </c>
      <c r="N300" s="9" t="str" cm="1">
        <f t="array" ref="N300">_xlfn.IFS(
M300&lt;=12,"Children",
M300&lt;=19,"Teens",
M300&lt;=29,"Young Adults",
M300&lt;=39,"Adults",
M300&lt;=59,"Middle-Aged",
M300&gt;=60,"Seniors"
)</f>
        <v>Middle-Aged</v>
      </c>
      <c r="O300" s="9" t="s">
        <v>17</v>
      </c>
      <c r="P300" s="9">
        <f t="shared" si="8"/>
        <v>1</v>
      </c>
      <c r="Q300" s="9">
        <v>1</v>
      </c>
      <c r="R300" s="10">
        <f t="shared" si="9"/>
        <v>90000</v>
      </c>
    </row>
    <row r="301" spans="1:18" x14ac:dyDescent="0.3">
      <c r="A301" s="9">
        <v>13136</v>
      </c>
      <c r="B301" s="9" t="s">
        <v>37</v>
      </c>
      <c r="C301" s="9" t="s">
        <v>38</v>
      </c>
      <c r="D301" s="10">
        <v>30000</v>
      </c>
      <c r="E301" s="9" t="str" cm="1">
        <f t="array" ref="E301">_xlfn.IFS(D301&lt;= 60000, "Low Income",
D301&lt;=120000,"Medium Income",
D301&gt; 120000,"High Income"
)</f>
        <v>Low Income</v>
      </c>
      <c r="F301" s="9">
        <v>2</v>
      </c>
      <c r="G301" s="9" t="s">
        <v>21</v>
      </c>
      <c r="H301" s="9" t="s">
        <v>22</v>
      </c>
      <c r="I301" s="9" t="s">
        <v>20</v>
      </c>
      <c r="J301" s="9">
        <v>2</v>
      </c>
      <c r="K301" s="9" t="s">
        <v>26</v>
      </c>
      <c r="L301" s="9" t="s">
        <v>27</v>
      </c>
      <c r="M301" s="9">
        <v>69</v>
      </c>
      <c r="N301" s="9" t="str" cm="1">
        <f t="array" ref="N301">_xlfn.IFS(
M301&lt;=12,"Children",
M301&lt;=19,"Teens",
M301&lt;=29,"Young Adults",
M301&lt;=39,"Adults",
M301&lt;=59,"Middle-Aged",
M301&gt;=60,"Seniors"
)</f>
        <v>Seniors</v>
      </c>
      <c r="O301" s="9" t="s">
        <v>20</v>
      </c>
      <c r="P301" s="9">
        <f t="shared" si="8"/>
        <v>0</v>
      </c>
      <c r="Q301" s="9">
        <v>1</v>
      </c>
      <c r="R301" s="10">
        <f t="shared" si="9"/>
        <v>0</v>
      </c>
    </row>
    <row r="302" spans="1:18" x14ac:dyDescent="0.3">
      <c r="A302" s="9">
        <v>25906</v>
      </c>
      <c r="B302" s="9" t="s">
        <v>40</v>
      </c>
      <c r="C302" s="9" t="s">
        <v>38</v>
      </c>
      <c r="D302" s="10">
        <v>10000</v>
      </c>
      <c r="E302" s="9" t="str" cm="1">
        <f t="array" ref="E302">_xlfn.IFS(D302&lt;= 60000, "Low Income",
D302&lt;=120000,"Medium Income",
D302&gt; 120000,"High Income"
)</f>
        <v>Low Income</v>
      </c>
      <c r="F302" s="9">
        <v>5</v>
      </c>
      <c r="G302" s="9" t="s">
        <v>30</v>
      </c>
      <c r="H302" s="9" t="s">
        <v>16</v>
      </c>
      <c r="I302" s="9" t="s">
        <v>20</v>
      </c>
      <c r="J302" s="9">
        <v>2</v>
      </c>
      <c r="K302" s="9" t="s">
        <v>29</v>
      </c>
      <c r="L302" s="9" t="s">
        <v>27</v>
      </c>
      <c r="M302" s="9">
        <v>62</v>
      </c>
      <c r="N302" s="9" t="str" cm="1">
        <f t="array" ref="N302">_xlfn.IFS(
M302&lt;=12,"Children",
M302&lt;=19,"Teens",
M302&lt;=29,"Young Adults",
M302&lt;=39,"Adults",
M302&lt;=59,"Middle-Aged",
M302&gt;=60,"Seniors"
)</f>
        <v>Seniors</v>
      </c>
      <c r="O302" s="9" t="s">
        <v>20</v>
      </c>
      <c r="P302" s="9">
        <f t="shared" si="8"/>
        <v>0</v>
      </c>
      <c r="Q302" s="9">
        <v>1</v>
      </c>
      <c r="R302" s="10">
        <f t="shared" si="9"/>
        <v>0</v>
      </c>
    </row>
    <row r="303" spans="1:18" x14ac:dyDescent="0.3">
      <c r="A303" s="9">
        <v>17926</v>
      </c>
      <c r="B303" s="9" t="s">
        <v>40</v>
      </c>
      <c r="C303" s="9" t="s">
        <v>38</v>
      </c>
      <c r="D303" s="10">
        <v>40000</v>
      </c>
      <c r="E303" s="9" t="str" cm="1">
        <f t="array" ref="E303">_xlfn.IFS(D303&lt;= 60000, "Low Income",
D303&lt;=120000,"Medium Income",
D303&gt; 120000,"High Income"
)</f>
        <v>Low Income</v>
      </c>
      <c r="F303" s="9">
        <v>0</v>
      </c>
      <c r="G303" s="9" t="s">
        <v>15</v>
      </c>
      <c r="H303" s="9" t="s">
        <v>22</v>
      </c>
      <c r="I303" s="9" t="s">
        <v>20</v>
      </c>
      <c r="J303" s="9">
        <v>0</v>
      </c>
      <c r="K303" s="9" t="s">
        <v>18</v>
      </c>
      <c r="L303" s="9" t="s">
        <v>27</v>
      </c>
      <c r="M303" s="9">
        <v>28</v>
      </c>
      <c r="N303" s="9" t="str" cm="1">
        <f t="array" ref="N303">_xlfn.IFS(
M303&lt;=12,"Children",
M303&lt;=19,"Teens",
M303&lt;=29,"Young Adults",
M303&lt;=39,"Adults",
M303&lt;=59,"Middle-Aged",
M303&gt;=60,"Seniors"
)</f>
        <v>Young Adults</v>
      </c>
      <c r="O303" s="9" t="s">
        <v>17</v>
      </c>
      <c r="P303" s="9">
        <f t="shared" si="8"/>
        <v>1</v>
      </c>
      <c r="Q303" s="9">
        <v>1</v>
      </c>
      <c r="R303" s="10">
        <f t="shared" si="9"/>
        <v>40000</v>
      </c>
    </row>
    <row r="304" spans="1:18" x14ac:dyDescent="0.3">
      <c r="A304" s="9">
        <v>26928</v>
      </c>
      <c r="B304" s="9" t="s">
        <v>40</v>
      </c>
      <c r="C304" s="9" t="s">
        <v>39</v>
      </c>
      <c r="D304" s="10">
        <v>30000</v>
      </c>
      <c r="E304" s="9" t="str" cm="1">
        <f t="array" ref="E304">_xlfn.IFS(D304&lt;= 60000, "Low Income",
D304&lt;=120000,"Medium Income",
D304&gt; 120000,"High Income"
)</f>
        <v>Low Income</v>
      </c>
      <c r="F304" s="9">
        <v>1</v>
      </c>
      <c r="G304" s="9" t="s">
        <v>15</v>
      </c>
      <c r="H304" s="9" t="s">
        <v>22</v>
      </c>
      <c r="I304" s="9" t="s">
        <v>17</v>
      </c>
      <c r="J304" s="9">
        <v>0</v>
      </c>
      <c r="K304" s="9" t="s">
        <v>18</v>
      </c>
      <c r="L304" s="9" t="s">
        <v>19</v>
      </c>
      <c r="M304" s="9">
        <v>62</v>
      </c>
      <c r="N304" s="9" t="str" cm="1">
        <f t="array" ref="N304">_xlfn.IFS(
M304&lt;=12,"Children",
M304&lt;=19,"Teens",
M304&lt;=29,"Young Adults",
M304&lt;=39,"Adults",
M304&lt;=59,"Middle-Aged",
M304&gt;=60,"Seniors"
)</f>
        <v>Seniors</v>
      </c>
      <c r="O304" s="9" t="s">
        <v>17</v>
      </c>
      <c r="P304" s="9">
        <f t="shared" si="8"/>
        <v>1</v>
      </c>
      <c r="Q304" s="9">
        <v>1</v>
      </c>
      <c r="R304" s="10">
        <f t="shared" si="9"/>
        <v>30000</v>
      </c>
    </row>
    <row r="305" spans="1:18" x14ac:dyDescent="0.3">
      <c r="A305" s="9">
        <v>20897</v>
      </c>
      <c r="B305" s="9" t="s">
        <v>37</v>
      </c>
      <c r="C305" s="9" t="s">
        <v>38</v>
      </c>
      <c r="D305" s="10">
        <v>30000</v>
      </c>
      <c r="E305" s="9" t="str" cm="1">
        <f t="array" ref="E305">_xlfn.IFS(D305&lt;= 60000, "Low Income",
D305&lt;=120000,"Medium Income",
D305&gt; 120000,"High Income"
)</f>
        <v>Low Income</v>
      </c>
      <c r="F305" s="9">
        <v>1</v>
      </c>
      <c r="G305" s="9" t="s">
        <v>15</v>
      </c>
      <c r="H305" s="9" t="s">
        <v>16</v>
      </c>
      <c r="I305" s="9" t="s">
        <v>17</v>
      </c>
      <c r="J305" s="9">
        <v>2</v>
      </c>
      <c r="K305" s="9" t="s">
        <v>18</v>
      </c>
      <c r="L305" s="9" t="s">
        <v>19</v>
      </c>
      <c r="M305" s="9">
        <v>40</v>
      </c>
      <c r="N305" s="9" t="str" cm="1">
        <f t="array" ref="N305">_xlfn.IFS(
M305&lt;=12,"Children",
M305&lt;=19,"Teens",
M305&lt;=29,"Young Adults",
M305&lt;=39,"Adults",
M305&lt;=59,"Middle-Aged",
M305&gt;=60,"Seniors"
)</f>
        <v>Middle-Aged</v>
      </c>
      <c r="O305" s="9" t="s">
        <v>20</v>
      </c>
      <c r="P305" s="9">
        <f t="shared" si="8"/>
        <v>0</v>
      </c>
      <c r="Q305" s="9">
        <v>1</v>
      </c>
      <c r="R305" s="10">
        <f t="shared" si="9"/>
        <v>0</v>
      </c>
    </row>
    <row r="306" spans="1:18" x14ac:dyDescent="0.3">
      <c r="A306" s="9">
        <v>28207</v>
      </c>
      <c r="B306" s="9" t="s">
        <v>37</v>
      </c>
      <c r="C306" s="9" t="s">
        <v>39</v>
      </c>
      <c r="D306" s="10">
        <v>80000</v>
      </c>
      <c r="E306" s="9" t="str" cm="1">
        <f t="array" ref="E306">_xlfn.IFS(D306&lt;= 60000, "Low Income",
D306&lt;=120000,"Medium Income",
D306&gt; 120000,"High Income"
)</f>
        <v>Medium Income</v>
      </c>
      <c r="F306" s="9">
        <v>4</v>
      </c>
      <c r="G306" s="9" t="s">
        <v>34</v>
      </c>
      <c r="H306" s="9" t="s">
        <v>31</v>
      </c>
      <c r="I306" s="9" t="s">
        <v>17</v>
      </c>
      <c r="J306" s="9">
        <v>1</v>
      </c>
      <c r="K306" s="9" t="s">
        <v>18</v>
      </c>
      <c r="L306" s="9" t="s">
        <v>27</v>
      </c>
      <c r="M306" s="9">
        <v>36</v>
      </c>
      <c r="N306" s="9" t="str" cm="1">
        <f t="array" ref="N306">_xlfn.IFS(
M306&lt;=12,"Children",
M306&lt;=19,"Teens",
M306&lt;=29,"Young Adults",
M306&lt;=39,"Adults",
M306&lt;=59,"Middle-Aged",
M306&gt;=60,"Seniors"
)</f>
        <v>Adults</v>
      </c>
      <c r="O306" s="9" t="s">
        <v>17</v>
      </c>
      <c r="P306" s="9">
        <f t="shared" si="8"/>
        <v>1</v>
      </c>
      <c r="Q306" s="9">
        <v>1</v>
      </c>
      <c r="R306" s="10">
        <f t="shared" si="9"/>
        <v>80000</v>
      </c>
    </row>
    <row r="307" spans="1:18" x14ac:dyDescent="0.3">
      <c r="A307" s="9">
        <v>25923</v>
      </c>
      <c r="B307" s="9" t="s">
        <v>40</v>
      </c>
      <c r="C307" s="9" t="s">
        <v>39</v>
      </c>
      <c r="D307" s="10">
        <v>10000</v>
      </c>
      <c r="E307" s="9" t="str" cm="1">
        <f t="array" ref="E307">_xlfn.IFS(D307&lt;= 60000, "Low Income",
D307&lt;=120000,"Medium Income",
D307&gt; 120000,"High Income"
)</f>
        <v>Low Income</v>
      </c>
      <c r="F307" s="9">
        <v>2</v>
      </c>
      <c r="G307" s="9" t="s">
        <v>32</v>
      </c>
      <c r="H307" s="9" t="s">
        <v>22</v>
      </c>
      <c r="I307" s="9" t="s">
        <v>17</v>
      </c>
      <c r="J307" s="9">
        <v>2</v>
      </c>
      <c r="K307" s="9" t="s">
        <v>26</v>
      </c>
      <c r="L307" s="9" t="s">
        <v>27</v>
      </c>
      <c r="M307" s="9">
        <v>58</v>
      </c>
      <c r="N307" s="9" t="str" cm="1">
        <f t="array" ref="N307">_xlfn.IFS(
M307&lt;=12,"Children",
M307&lt;=19,"Teens",
M307&lt;=29,"Young Adults",
M307&lt;=39,"Adults",
M307&lt;=59,"Middle-Aged",
M307&gt;=60,"Seniors"
)</f>
        <v>Middle-Aged</v>
      </c>
      <c r="O307" s="9" t="s">
        <v>20</v>
      </c>
      <c r="P307" s="9">
        <f t="shared" si="8"/>
        <v>0</v>
      </c>
      <c r="Q307" s="9">
        <v>1</v>
      </c>
      <c r="R307" s="10">
        <f t="shared" si="9"/>
        <v>0</v>
      </c>
    </row>
    <row r="308" spans="1:18" x14ac:dyDescent="0.3">
      <c r="A308" s="9">
        <v>11000</v>
      </c>
      <c r="B308" s="9" t="s">
        <v>37</v>
      </c>
      <c r="C308" s="9" t="s">
        <v>39</v>
      </c>
      <c r="D308" s="10">
        <v>90000</v>
      </c>
      <c r="E308" s="9" t="str" cm="1">
        <f t="array" ref="E308">_xlfn.IFS(D308&lt;= 60000, "Low Income",
D308&lt;=120000,"Medium Income",
D308&gt; 120000,"High Income"
)</f>
        <v>Medium Income</v>
      </c>
      <c r="F308" s="9">
        <v>2</v>
      </c>
      <c r="G308" s="9" t="s">
        <v>15</v>
      </c>
      <c r="H308" s="9" t="s">
        <v>23</v>
      </c>
      <c r="I308" s="9" t="s">
        <v>17</v>
      </c>
      <c r="J308" s="9">
        <v>0</v>
      </c>
      <c r="K308" s="9" t="s">
        <v>29</v>
      </c>
      <c r="L308" s="9" t="s">
        <v>27</v>
      </c>
      <c r="M308" s="9">
        <v>40</v>
      </c>
      <c r="N308" s="9" t="str" cm="1">
        <f t="array" ref="N308">_xlfn.IFS(
M308&lt;=12,"Children",
M308&lt;=19,"Teens",
M308&lt;=29,"Young Adults",
M308&lt;=39,"Adults",
M308&lt;=59,"Middle-Aged",
M308&gt;=60,"Seniors"
)</f>
        <v>Middle-Aged</v>
      </c>
      <c r="O308" s="9" t="s">
        <v>17</v>
      </c>
      <c r="P308" s="9">
        <f t="shared" si="8"/>
        <v>1</v>
      </c>
      <c r="Q308" s="9">
        <v>1</v>
      </c>
      <c r="R308" s="10">
        <f t="shared" si="9"/>
        <v>90000</v>
      </c>
    </row>
    <row r="309" spans="1:18" x14ac:dyDescent="0.3">
      <c r="A309" s="9">
        <v>20974</v>
      </c>
      <c r="B309" s="9" t="s">
        <v>37</v>
      </c>
      <c r="C309" s="9" t="s">
        <v>39</v>
      </c>
      <c r="D309" s="10">
        <v>10000</v>
      </c>
      <c r="E309" s="9" t="str" cm="1">
        <f t="array" ref="E309">_xlfn.IFS(D309&lt;= 60000, "Low Income",
D309&lt;=120000,"Medium Income",
D309&gt; 120000,"High Income"
)</f>
        <v>Low Income</v>
      </c>
      <c r="F309" s="9">
        <v>2</v>
      </c>
      <c r="G309" s="9" t="s">
        <v>15</v>
      </c>
      <c r="H309" s="9" t="s">
        <v>22</v>
      </c>
      <c r="I309" s="9" t="s">
        <v>17</v>
      </c>
      <c r="J309" s="9">
        <v>1</v>
      </c>
      <c r="K309" s="9" t="s">
        <v>18</v>
      </c>
      <c r="L309" s="9" t="s">
        <v>19</v>
      </c>
      <c r="M309" s="9">
        <v>66</v>
      </c>
      <c r="N309" s="9" t="str" cm="1">
        <f t="array" ref="N309">_xlfn.IFS(
M309&lt;=12,"Children",
M309&lt;=19,"Teens",
M309&lt;=29,"Young Adults",
M309&lt;=39,"Adults",
M309&lt;=59,"Middle-Aged",
M309&gt;=60,"Seniors"
)</f>
        <v>Seniors</v>
      </c>
      <c r="O309" s="9" t="s">
        <v>20</v>
      </c>
      <c r="P309" s="9">
        <f t="shared" si="8"/>
        <v>0</v>
      </c>
      <c r="Q309" s="9">
        <v>1</v>
      </c>
      <c r="R309" s="10">
        <f t="shared" si="9"/>
        <v>0</v>
      </c>
    </row>
    <row r="310" spans="1:18" x14ac:dyDescent="0.3">
      <c r="A310" s="9">
        <v>28758</v>
      </c>
      <c r="B310" s="9" t="s">
        <v>37</v>
      </c>
      <c r="C310" s="9" t="s">
        <v>39</v>
      </c>
      <c r="D310" s="10">
        <v>40000</v>
      </c>
      <c r="E310" s="9" t="str" cm="1">
        <f t="array" ref="E310">_xlfn.IFS(D310&lt;= 60000, "Low Income",
D310&lt;=120000,"Medium Income",
D310&gt; 120000,"High Income"
)</f>
        <v>Low Income</v>
      </c>
      <c r="F310" s="9">
        <v>2</v>
      </c>
      <c r="G310" s="9" t="s">
        <v>21</v>
      </c>
      <c r="H310" s="9" t="s">
        <v>22</v>
      </c>
      <c r="I310" s="9" t="s">
        <v>17</v>
      </c>
      <c r="J310" s="9">
        <v>1</v>
      </c>
      <c r="K310" s="9" t="s">
        <v>29</v>
      </c>
      <c r="L310" s="9" t="s">
        <v>19</v>
      </c>
      <c r="M310" s="9">
        <v>35</v>
      </c>
      <c r="N310" s="9" t="str" cm="1">
        <f t="array" ref="N310">_xlfn.IFS(
M310&lt;=12,"Children",
M310&lt;=19,"Teens",
M310&lt;=29,"Young Adults",
M310&lt;=39,"Adults",
M310&lt;=59,"Middle-Aged",
M310&gt;=60,"Seniors"
)</f>
        <v>Adults</v>
      </c>
      <c r="O310" s="9" t="s">
        <v>17</v>
      </c>
      <c r="P310" s="9">
        <f t="shared" si="8"/>
        <v>1</v>
      </c>
      <c r="Q310" s="9">
        <v>1</v>
      </c>
      <c r="R310" s="10">
        <f t="shared" si="9"/>
        <v>40000</v>
      </c>
    </row>
    <row r="311" spans="1:18" x14ac:dyDescent="0.3">
      <c r="A311" s="9">
        <v>11381</v>
      </c>
      <c r="B311" s="9" t="s">
        <v>37</v>
      </c>
      <c r="C311" s="9" t="s">
        <v>38</v>
      </c>
      <c r="D311" s="10">
        <v>20000</v>
      </c>
      <c r="E311" s="9" t="str" cm="1">
        <f t="array" ref="E311">_xlfn.IFS(D311&lt;= 60000, "Low Income",
D311&lt;=120000,"Medium Income",
D311&gt; 120000,"High Income"
)</f>
        <v>Low Income</v>
      </c>
      <c r="F311" s="9">
        <v>2</v>
      </c>
      <c r="G311" s="9" t="s">
        <v>21</v>
      </c>
      <c r="H311" s="9" t="s">
        <v>28</v>
      </c>
      <c r="I311" s="9" t="s">
        <v>17</v>
      </c>
      <c r="J311" s="9">
        <v>1</v>
      </c>
      <c r="K311" s="9" t="s">
        <v>24</v>
      </c>
      <c r="L311" s="9" t="s">
        <v>19</v>
      </c>
      <c r="M311" s="9">
        <v>47</v>
      </c>
      <c r="N311" s="9" t="str" cm="1">
        <f t="array" ref="N311">_xlfn.IFS(
M311&lt;=12,"Children",
M311&lt;=19,"Teens",
M311&lt;=29,"Young Adults",
M311&lt;=39,"Adults",
M311&lt;=59,"Middle-Aged",
M311&gt;=60,"Seniors"
)</f>
        <v>Middle-Aged</v>
      </c>
      <c r="O311" s="9" t="s">
        <v>17</v>
      </c>
      <c r="P311" s="9">
        <f t="shared" si="8"/>
        <v>1</v>
      </c>
      <c r="Q311" s="9">
        <v>1</v>
      </c>
      <c r="R311" s="10">
        <f t="shared" si="9"/>
        <v>20000</v>
      </c>
    </row>
    <row r="312" spans="1:18" x14ac:dyDescent="0.3">
      <c r="A312" s="9">
        <v>17522</v>
      </c>
      <c r="B312" s="9" t="s">
        <v>37</v>
      </c>
      <c r="C312" s="9" t="s">
        <v>39</v>
      </c>
      <c r="D312" s="10">
        <v>120000</v>
      </c>
      <c r="E312" s="9" t="str" cm="1">
        <f t="array" ref="E312">_xlfn.IFS(D312&lt;= 60000, "Low Income",
D312&lt;=120000,"Medium Income",
D312&gt; 120000,"High Income"
)</f>
        <v>Medium Income</v>
      </c>
      <c r="F312" s="9">
        <v>4</v>
      </c>
      <c r="G312" s="9" t="s">
        <v>15</v>
      </c>
      <c r="H312" s="9" t="s">
        <v>31</v>
      </c>
      <c r="I312" s="9" t="s">
        <v>17</v>
      </c>
      <c r="J312" s="9">
        <v>1</v>
      </c>
      <c r="K312" s="9" t="s">
        <v>24</v>
      </c>
      <c r="L312" s="9" t="s">
        <v>27</v>
      </c>
      <c r="M312" s="9">
        <v>47</v>
      </c>
      <c r="N312" s="9" t="str" cm="1">
        <f t="array" ref="N312">_xlfn.IFS(
M312&lt;=12,"Children",
M312&lt;=19,"Teens",
M312&lt;=29,"Young Adults",
M312&lt;=39,"Adults",
M312&lt;=59,"Middle-Aged",
M312&gt;=60,"Seniors"
)</f>
        <v>Middle-Aged</v>
      </c>
      <c r="O312" s="9" t="s">
        <v>20</v>
      </c>
      <c r="P312" s="9">
        <f t="shared" si="8"/>
        <v>0</v>
      </c>
      <c r="Q312" s="9">
        <v>1</v>
      </c>
      <c r="R312" s="10">
        <f t="shared" si="9"/>
        <v>0</v>
      </c>
    </row>
    <row r="313" spans="1:18" x14ac:dyDescent="0.3">
      <c r="A313" s="9">
        <v>21207</v>
      </c>
      <c r="B313" s="9" t="s">
        <v>37</v>
      </c>
      <c r="C313" s="9" t="s">
        <v>39</v>
      </c>
      <c r="D313" s="10">
        <v>60000</v>
      </c>
      <c r="E313" s="9" t="str" cm="1">
        <f t="array" ref="E313">_xlfn.IFS(D313&lt;= 60000, "Low Income",
D313&lt;=120000,"Medium Income",
D313&gt; 120000,"High Income"
)</f>
        <v>Low Income</v>
      </c>
      <c r="F313" s="9">
        <v>1</v>
      </c>
      <c r="G313" s="9" t="s">
        <v>21</v>
      </c>
      <c r="H313" s="9" t="s">
        <v>16</v>
      </c>
      <c r="I313" s="9" t="s">
        <v>17</v>
      </c>
      <c r="J313" s="9">
        <v>1</v>
      </c>
      <c r="K313" s="9" t="s">
        <v>26</v>
      </c>
      <c r="L313" s="9" t="s">
        <v>27</v>
      </c>
      <c r="M313" s="9">
        <v>46</v>
      </c>
      <c r="N313" s="9" t="str" cm="1">
        <f t="array" ref="N313">_xlfn.IFS(
M313&lt;=12,"Children",
M313&lt;=19,"Teens",
M313&lt;=29,"Young Adults",
M313&lt;=39,"Adults",
M313&lt;=59,"Middle-Aged",
M313&gt;=60,"Seniors"
)</f>
        <v>Middle-Aged</v>
      </c>
      <c r="O313" s="9" t="s">
        <v>20</v>
      </c>
      <c r="P313" s="9">
        <f t="shared" si="8"/>
        <v>0</v>
      </c>
      <c r="Q313" s="9">
        <v>1</v>
      </c>
      <c r="R313" s="10">
        <f t="shared" si="9"/>
        <v>0</v>
      </c>
    </row>
    <row r="314" spans="1:18" x14ac:dyDescent="0.3">
      <c r="A314" s="9">
        <v>28102</v>
      </c>
      <c r="B314" s="9" t="s">
        <v>37</v>
      </c>
      <c r="C314" s="9" t="s">
        <v>39</v>
      </c>
      <c r="D314" s="10">
        <v>20000</v>
      </c>
      <c r="E314" s="9" t="str" cm="1">
        <f t="array" ref="E314">_xlfn.IFS(D314&lt;= 60000, "Low Income",
D314&lt;=120000,"Medium Income",
D314&gt; 120000,"High Income"
)</f>
        <v>Low Income</v>
      </c>
      <c r="F314" s="9">
        <v>4</v>
      </c>
      <c r="G314" s="9" t="s">
        <v>30</v>
      </c>
      <c r="H314" s="9" t="s">
        <v>16</v>
      </c>
      <c r="I314" s="9" t="s">
        <v>17</v>
      </c>
      <c r="J314" s="9">
        <v>2</v>
      </c>
      <c r="K314" s="9" t="s">
        <v>26</v>
      </c>
      <c r="L314" s="9" t="s">
        <v>27</v>
      </c>
      <c r="M314" s="9">
        <v>58</v>
      </c>
      <c r="N314" s="9" t="str" cm="1">
        <f t="array" ref="N314">_xlfn.IFS(
M314&lt;=12,"Children",
M314&lt;=19,"Teens",
M314&lt;=29,"Young Adults",
M314&lt;=39,"Adults",
M314&lt;=59,"Middle-Aged",
M314&gt;=60,"Seniors"
)</f>
        <v>Middle-Aged</v>
      </c>
      <c r="O314" s="9" t="s">
        <v>17</v>
      </c>
      <c r="P314" s="9">
        <f t="shared" si="8"/>
        <v>1</v>
      </c>
      <c r="Q314" s="9">
        <v>1</v>
      </c>
      <c r="R314" s="10">
        <f t="shared" si="9"/>
        <v>20000</v>
      </c>
    </row>
    <row r="315" spans="1:18" x14ac:dyDescent="0.3">
      <c r="A315" s="9">
        <v>23105</v>
      </c>
      <c r="B315" s="9" t="s">
        <v>40</v>
      </c>
      <c r="C315" s="9" t="s">
        <v>39</v>
      </c>
      <c r="D315" s="10">
        <v>40000</v>
      </c>
      <c r="E315" s="9" t="str" cm="1">
        <f t="array" ref="E315">_xlfn.IFS(D315&lt;= 60000, "Low Income",
D315&lt;=120000,"Medium Income",
D315&gt; 120000,"High Income"
)</f>
        <v>Low Income</v>
      </c>
      <c r="F315" s="9">
        <v>3</v>
      </c>
      <c r="G315" s="9" t="s">
        <v>32</v>
      </c>
      <c r="H315" s="9" t="s">
        <v>22</v>
      </c>
      <c r="I315" s="9" t="s">
        <v>20</v>
      </c>
      <c r="J315" s="9">
        <v>2</v>
      </c>
      <c r="K315" s="9" t="s">
        <v>26</v>
      </c>
      <c r="L315" s="9" t="s">
        <v>27</v>
      </c>
      <c r="M315" s="9">
        <v>52</v>
      </c>
      <c r="N315" s="9" t="str" cm="1">
        <f t="array" ref="N315">_xlfn.IFS(
M315&lt;=12,"Children",
M315&lt;=19,"Teens",
M315&lt;=29,"Young Adults",
M315&lt;=39,"Adults",
M315&lt;=59,"Middle-Aged",
M315&gt;=60,"Seniors"
)</f>
        <v>Middle-Aged</v>
      </c>
      <c r="O315" s="9" t="s">
        <v>17</v>
      </c>
      <c r="P315" s="9">
        <f t="shared" si="8"/>
        <v>1</v>
      </c>
      <c r="Q315" s="9">
        <v>1</v>
      </c>
      <c r="R315" s="10">
        <f t="shared" si="9"/>
        <v>40000</v>
      </c>
    </row>
    <row r="316" spans="1:18" x14ac:dyDescent="0.3">
      <c r="A316" s="9">
        <v>18740</v>
      </c>
      <c r="B316" s="9" t="s">
        <v>37</v>
      </c>
      <c r="C316" s="9" t="s">
        <v>39</v>
      </c>
      <c r="D316" s="10">
        <v>80000</v>
      </c>
      <c r="E316" s="9" t="str" cm="1">
        <f t="array" ref="E316">_xlfn.IFS(D316&lt;= 60000, "Low Income",
D316&lt;=120000,"Medium Income",
D316&gt; 120000,"High Income"
)</f>
        <v>Medium Income</v>
      </c>
      <c r="F316" s="9">
        <v>5</v>
      </c>
      <c r="G316" s="9" t="s">
        <v>15</v>
      </c>
      <c r="H316" s="9" t="s">
        <v>23</v>
      </c>
      <c r="I316" s="9" t="s">
        <v>20</v>
      </c>
      <c r="J316" s="9">
        <v>1</v>
      </c>
      <c r="K316" s="9" t="s">
        <v>18</v>
      </c>
      <c r="L316" s="9" t="s">
        <v>27</v>
      </c>
      <c r="M316" s="9">
        <v>47</v>
      </c>
      <c r="N316" s="9" t="str" cm="1">
        <f t="array" ref="N316">_xlfn.IFS(
M316&lt;=12,"Children",
M316&lt;=19,"Teens",
M316&lt;=29,"Young Adults",
M316&lt;=39,"Adults",
M316&lt;=59,"Middle-Aged",
M316&gt;=60,"Seniors"
)</f>
        <v>Middle-Aged</v>
      </c>
      <c r="O316" s="9" t="s">
        <v>17</v>
      </c>
      <c r="P316" s="9">
        <f t="shared" si="8"/>
        <v>1</v>
      </c>
      <c r="Q316" s="9">
        <v>1</v>
      </c>
      <c r="R316" s="10">
        <f t="shared" si="9"/>
        <v>80000</v>
      </c>
    </row>
    <row r="317" spans="1:18" x14ac:dyDescent="0.3">
      <c r="A317" s="9">
        <v>21213</v>
      </c>
      <c r="B317" s="9" t="s">
        <v>40</v>
      </c>
      <c r="C317" s="9" t="s">
        <v>39</v>
      </c>
      <c r="D317" s="10">
        <v>70000</v>
      </c>
      <c r="E317" s="9" t="str" cm="1">
        <f t="array" ref="E317">_xlfn.IFS(D317&lt;= 60000, "Low Income",
D317&lt;=120000,"Medium Income",
D317&gt; 120000,"High Income"
)</f>
        <v>Medium Income</v>
      </c>
      <c r="F317" s="9">
        <v>0</v>
      </c>
      <c r="G317" s="9" t="s">
        <v>15</v>
      </c>
      <c r="H317" s="9" t="s">
        <v>23</v>
      </c>
      <c r="I317" s="9" t="s">
        <v>20</v>
      </c>
      <c r="J317" s="9">
        <v>1</v>
      </c>
      <c r="K317" s="9" t="s">
        <v>26</v>
      </c>
      <c r="L317" s="9" t="s">
        <v>27</v>
      </c>
      <c r="M317" s="9">
        <v>41</v>
      </c>
      <c r="N317" s="9" t="str" cm="1">
        <f t="array" ref="N317">_xlfn.IFS(
M317&lt;=12,"Children",
M317&lt;=19,"Teens",
M317&lt;=29,"Young Adults",
M317&lt;=39,"Adults",
M317&lt;=59,"Middle-Aged",
M317&gt;=60,"Seniors"
)</f>
        <v>Middle-Aged</v>
      </c>
      <c r="O317" s="9" t="s">
        <v>20</v>
      </c>
      <c r="P317" s="9">
        <f t="shared" si="8"/>
        <v>0</v>
      </c>
      <c r="Q317" s="9">
        <v>1</v>
      </c>
      <c r="R317" s="10">
        <f t="shared" si="9"/>
        <v>0</v>
      </c>
    </row>
    <row r="318" spans="1:18" x14ac:dyDescent="0.3">
      <c r="A318" s="9">
        <v>17352</v>
      </c>
      <c r="B318" s="9" t="s">
        <v>37</v>
      </c>
      <c r="C318" s="9" t="s">
        <v>39</v>
      </c>
      <c r="D318" s="10">
        <v>50000</v>
      </c>
      <c r="E318" s="9" t="str" cm="1">
        <f t="array" ref="E318">_xlfn.IFS(D318&lt;= 60000, "Low Income",
D318&lt;=120000,"Medium Income",
D318&gt; 120000,"High Income"
)</f>
        <v>Low Income</v>
      </c>
      <c r="F318" s="9">
        <v>2</v>
      </c>
      <c r="G318" s="9" t="s">
        <v>34</v>
      </c>
      <c r="H318" s="9" t="s">
        <v>31</v>
      </c>
      <c r="I318" s="9" t="s">
        <v>17</v>
      </c>
      <c r="J318" s="9">
        <v>1</v>
      </c>
      <c r="K318" s="9" t="s">
        <v>26</v>
      </c>
      <c r="L318" s="9" t="s">
        <v>27</v>
      </c>
      <c r="M318" s="9">
        <v>64</v>
      </c>
      <c r="N318" s="9" t="str" cm="1">
        <f t="array" ref="N318">_xlfn.IFS(
M318&lt;=12,"Children",
M318&lt;=19,"Teens",
M318&lt;=29,"Young Adults",
M318&lt;=39,"Adults",
M318&lt;=59,"Middle-Aged",
M318&gt;=60,"Seniors"
)</f>
        <v>Seniors</v>
      </c>
      <c r="O318" s="9" t="s">
        <v>17</v>
      </c>
      <c r="P318" s="9">
        <f t="shared" si="8"/>
        <v>1</v>
      </c>
      <c r="Q318" s="9">
        <v>1</v>
      </c>
      <c r="R318" s="10">
        <f t="shared" si="9"/>
        <v>50000</v>
      </c>
    </row>
    <row r="319" spans="1:18" x14ac:dyDescent="0.3">
      <c r="A319" s="9">
        <v>14154</v>
      </c>
      <c r="B319" s="9" t="s">
        <v>37</v>
      </c>
      <c r="C319" s="9" t="s">
        <v>39</v>
      </c>
      <c r="D319" s="10">
        <v>30000</v>
      </c>
      <c r="E319" s="9" t="str" cm="1">
        <f t="array" ref="E319">_xlfn.IFS(D319&lt;= 60000, "Low Income",
D319&lt;=120000,"Medium Income",
D319&gt; 120000,"High Income"
)</f>
        <v>Low Income</v>
      </c>
      <c r="F319" s="9">
        <v>0</v>
      </c>
      <c r="G319" s="9" t="s">
        <v>15</v>
      </c>
      <c r="H319" s="9" t="s">
        <v>22</v>
      </c>
      <c r="I319" s="9" t="s">
        <v>17</v>
      </c>
      <c r="J319" s="9">
        <v>0</v>
      </c>
      <c r="K319" s="9" t="s">
        <v>18</v>
      </c>
      <c r="L319" s="9" t="s">
        <v>19</v>
      </c>
      <c r="M319" s="9">
        <v>35</v>
      </c>
      <c r="N319" s="9" t="str" cm="1">
        <f t="array" ref="N319">_xlfn.IFS(
M319&lt;=12,"Children",
M319&lt;=19,"Teens",
M319&lt;=29,"Young Adults",
M319&lt;=39,"Adults",
M319&lt;=59,"Middle-Aged",
M319&gt;=60,"Seniors"
)</f>
        <v>Adults</v>
      </c>
      <c r="O319" s="9" t="s">
        <v>17</v>
      </c>
      <c r="P319" s="9">
        <f t="shared" si="8"/>
        <v>1</v>
      </c>
      <c r="Q319" s="9">
        <v>1</v>
      </c>
      <c r="R319" s="10">
        <f t="shared" si="9"/>
        <v>30000</v>
      </c>
    </row>
    <row r="320" spans="1:18" x14ac:dyDescent="0.3">
      <c r="A320" s="9">
        <v>19066</v>
      </c>
      <c r="B320" s="9" t="s">
        <v>37</v>
      </c>
      <c r="C320" s="9" t="s">
        <v>39</v>
      </c>
      <c r="D320" s="10">
        <v>130000</v>
      </c>
      <c r="E320" s="9" t="str" cm="1">
        <f t="array" ref="E320">_xlfn.IFS(D320&lt;= 60000, "Low Income",
D320&lt;=120000,"Medium Income",
D320&gt; 120000,"High Income"
)</f>
        <v>High Income</v>
      </c>
      <c r="F320" s="9">
        <v>4</v>
      </c>
      <c r="G320" s="9" t="s">
        <v>21</v>
      </c>
      <c r="H320" s="9" t="s">
        <v>23</v>
      </c>
      <c r="I320" s="9" t="s">
        <v>20</v>
      </c>
      <c r="J320" s="9">
        <v>3</v>
      </c>
      <c r="K320" s="9" t="s">
        <v>41</v>
      </c>
      <c r="L320" s="9" t="s">
        <v>19</v>
      </c>
      <c r="M320" s="9">
        <v>54</v>
      </c>
      <c r="N320" s="9" t="str" cm="1">
        <f t="array" ref="N320">_xlfn.IFS(
M320&lt;=12,"Children",
M320&lt;=19,"Teens",
M320&lt;=29,"Young Adults",
M320&lt;=39,"Adults",
M320&lt;=59,"Middle-Aged",
M320&gt;=60,"Seniors"
)</f>
        <v>Middle-Aged</v>
      </c>
      <c r="O320" s="9" t="s">
        <v>20</v>
      </c>
      <c r="P320" s="9">
        <f t="shared" si="8"/>
        <v>0</v>
      </c>
      <c r="Q320" s="9">
        <v>1</v>
      </c>
      <c r="R320" s="10">
        <f t="shared" si="9"/>
        <v>0</v>
      </c>
    </row>
    <row r="321" spans="1:18" x14ac:dyDescent="0.3">
      <c r="A321" s="9">
        <v>11386</v>
      </c>
      <c r="B321" s="9" t="s">
        <v>37</v>
      </c>
      <c r="C321" s="9" t="s">
        <v>38</v>
      </c>
      <c r="D321" s="10">
        <v>30000</v>
      </c>
      <c r="E321" s="9" t="str" cm="1">
        <f t="array" ref="E321">_xlfn.IFS(D321&lt;= 60000, "Low Income",
D321&lt;=120000,"Medium Income",
D321&gt; 120000,"High Income"
)</f>
        <v>Low Income</v>
      </c>
      <c r="F321" s="9">
        <v>3</v>
      </c>
      <c r="G321" s="9" t="s">
        <v>15</v>
      </c>
      <c r="H321" s="9" t="s">
        <v>22</v>
      </c>
      <c r="I321" s="9" t="s">
        <v>17</v>
      </c>
      <c r="J321" s="9">
        <v>0</v>
      </c>
      <c r="K321" s="9" t="s">
        <v>18</v>
      </c>
      <c r="L321" s="9" t="s">
        <v>19</v>
      </c>
      <c r="M321" s="9">
        <v>45</v>
      </c>
      <c r="N321" s="9" t="str" cm="1">
        <f t="array" ref="N321">_xlfn.IFS(
M321&lt;=12,"Children",
M321&lt;=19,"Teens",
M321&lt;=29,"Young Adults",
M321&lt;=39,"Adults",
M321&lt;=59,"Middle-Aged",
M321&gt;=60,"Seniors"
)</f>
        <v>Middle-Aged</v>
      </c>
      <c r="O321" s="9" t="s">
        <v>20</v>
      </c>
      <c r="P321" s="9">
        <f t="shared" si="8"/>
        <v>0</v>
      </c>
      <c r="Q321" s="9">
        <v>1</v>
      </c>
      <c r="R321" s="10">
        <f t="shared" si="9"/>
        <v>0</v>
      </c>
    </row>
    <row r="322" spans="1:18" x14ac:dyDescent="0.3">
      <c r="A322" s="9">
        <v>20228</v>
      </c>
      <c r="B322" s="9" t="s">
        <v>37</v>
      </c>
      <c r="C322" s="9" t="s">
        <v>39</v>
      </c>
      <c r="D322" s="10">
        <v>100000</v>
      </c>
      <c r="E322" s="9" t="str" cm="1">
        <f t="array" ref="E322">_xlfn.IFS(D322&lt;= 60000, "Low Income",
D322&lt;=120000,"Medium Income",
D322&gt; 120000,"High Income"
)</f>
        <v>Medium Income</v>
      </c>
      <c r="F322" s="9">
        <v>0</v>
      </c>
      <c r="G322" s="9" t="s">
        <v>34</v>
      </c>
      <c r="H322" s="9" t="s">
        <v>31</v>
      </c>
      <c r="I322" s="9" t="s">
        <v>17</v>
      </c>
      <c r="J322" s="9">
        <v>0</v>
      </c>
      <c r="K322" s="9" t="s">
        <v>24</v>
      </c>
      <c r="L322" s="9" t="s">
        <v>27</v>
      </c>
      <c r="M322" s="9">
        <v>40</v>
      </c>
      <c r="N322" s="9" t="str" cm="1">
        <f t="array" ref="N322">_xlfn.IFS(
M322&lt;=12,"Children",
M322&lt;=19,"Teens",
M322&lt;=29,"Young Adults",
M322&lt;=39,"Adults",
M322&lt;=59,"Middle-Aged",
M322&gt;=60,"Seniors"
)</f>
        <v>Middle-Aged</v>
      </c>
      <c r="O322" s="9" t="s">
        <v>17</v>
      </c>
      <c r="P322" s="9">
        <f t="shared" si="8"/>
        <v>1</v>
      </c>
      <c r="Q322" s="9">
        <v>1</v>
      </c>
      <c r="R322" s="10">
        <f t="shared" si="9"/>
        <v>100000</v>
      </c>
    </row>
    <row r="323" spans="1:18" x14ac:dyDescent="0.3">
      <c r="A323" s="9">
        <v>16675</v>
      </c>
      <c r="B323" s="9" t="s">
        <v>40</v>
      </c>
      <c r="C323" s="9" t="s">
        <v>38</v>
      </c>
      <c r="D323" s="10">
        <v>160000</v>
      </c>
      <c r="E323" s="9" t="str" cm="1">
        <f t="array" ref="E323">_xlfn.IFS(D323&lt;= 60000, "Low Income",
D323&lt;=120000,"Medium Income",
D323&gt; 120000,"High Income"
)</f>
        <v>High Income</v>
      </c>
      <c r="F323" s="9">
        <v>0</v>
      </c>
      <c r="G323" s="9" t="s">
        <v>34</v>
      </c>
      <c r="H323" s="9" t="s">
        <v>31</v>
      </c>
      <c r="I323" s="9" t="s">
        <v>20</v>
      </c>
      <c r="J323" s="9">
        <v>3</v>
      </c>
      <c r="K323" s="9" t="s">
        <v>18</v>
      </c>
      <c r="L323" s="9" t="s">
        <v>27</v>
      </c>
      <c r="M323" s="9">
        <v>47</v>
      </c>
      <c r="N323" s="9" t="str" cm="1">
        <f t="array" ref="N323">_xlfn.IFS(
M323&lt;=12,"Children",
M323&lt;=19,"Teens",
M323&lt;=29,"Young Adults",
M323&lt;=39,"Adults",
M323&lt;=59,"Middle-Aged",
M323&gt;=60,"Seniors"
)</f>
        <v>Middle-Aged</v>
      </c>
      <c r="O323" s="9" t="s">
        <v>17</v>
      </c>
      <c r="P323" s="9">
        <f t="shared" ref="P323:P386" si="10">IF(O323="No", 0, 1)</f>
        <v>1</v>
      </c>
      <c r="Q323" s="9">
        <v>1</v>
      </c>
      <c r="R323" s="10">
        <f t="shared" ref="R323:R386" si="11">IF(P323=1, D323, 0)</f>
        <v>160000</v>
      </c>
    </row>
    <row r="324" spans="1:18" x14ac:dyDescent="0.3">
      <c r="A324" s="9">
        <v>16410</v>
      </c>
      <c r="B324" s="9" t="s">
        <v>40</v>
      </c>
      <c r="C324" s="9" t="s">
        <v>38</v>
      </c>
      <c r="D324" s="10">
        <v>10000</v>
      </c>
      <c r="E324" s="9" t="str" cm="1">
        <f t="array" ref="E324">_xlfn.IFS(D324&lt;= 60000, "Low Income",
D324&lt;=120000,"Medium Income",
D324&gt; 120000,"High Income"
)</f>
        <v>Low Income</v>
      </c>
      <c r="F324" s="9">
        <v>4</v>
      </c>
      <c r="G324" s="9" t="s">
        <v>32</v>
      </c>
      <c r="H324" s="9" t="s">
        <v>28</v>
      </c>
      <c r="I324" s="9" t="s">
        <v>17</v>
      </c>
      <c r="J324" s="9">
        <v>2</v>
      </c>
      <c r="K324" s="9" t="s">
        <v>18</v>
      </c>
      <c r="L324" s="9" t="s">
        <v>19</v>
      </c>
      <c r="M324" s="9">
        <v>41</v>
      </c>
      <c r="N324" s="9" t="str" cm="1">
        <f t="array" ref="N324">_xlfn.IFS(
M324&lt;=12,"Children",
M324&lt;=19,"Teens",
M324&lt;=29,"Young Adults",
M324&lt;=39,"Adults",
M324&lt;=59,"Middle-Aged",
M324&gt;=60,"Seniors"
)</f>
        <v>Middle-Aged</v>
      </c>
      <c r="O324" s="9" t="s">
        <v>17</v>
      </c>
      <c r="P324" s="9">
        <f t="shared" si="10"/>
        <v>1</v>
      </c>
      <c r="Q324" s="9">
        <v>1</v>
      </c>
      <c r="R324" s="10">
        <f t="shared" si="11"/>
        <v>10000</v>
      </c>
    </row>
    <row r="325" spans="1:18" x14ac:dyDescent="0.3">
      <c r="A325" s="9">
        <v>27760</v>
      </c>
      <c r="B325" s="9" t="s">
        <v>40</v>
      </c>
      <c r="C325" s="9" t="s">
        <v>38</v>
      </c>
      <c r="D325" s="10">
        <v>40000</v>
      </c>
      <c r="E325" s="9" t="str" cm="1">
        <f t="array" ref="E325">_xlfn.IFS(D325&lt;= 60000, "Low Income",
D325&lt;=120000,"Medium Income",
D325&gt; 120000,"High Income"
)</f>
        <v>Low Income</v>
      </c>
      <c r="F325" s="9">
        <v>0</v>
      </c>
      <c r="G325" s="9" t="s">
        <v>34</v>
      </c>
      <c r="H325" s="9" t="s">
        <v>22</v>
      </c>
      <c r="I325" s="9" t="s">
        <v>20</v>
      </c>
      <c r="J325" s="9">
        <v>0</v>
      </c>
      <c r="K325" s="9" t="s">
        <v>18</v>
      </c>
      <c r="L325" s="9" t="s">
        <v>19</v>
      </c>
      <c r="M325" s="9">
        <v>37</v>
      </c>
      <c r="N325" s="9" t="str" cm="1">
        <f t="array" ref="N325">_xlfn.IFS(
M325&lt;=12,"Children",
M325&lt;=19,"Teens",
M325&lt;=29,"Young Adults",
M325&lt;=39,"Adults",
M325&lt;=59,"Middle-Aged",
M325&gt;=60,"Seniors"
)</f>
        <v>Adults</v>
      </c>
      <c r="O325" s="9" t="s">
        <v>17</v>
      </c>
      <c r="P325" s="9">
        <f t="shared" si="10"/>
        <v>1</v>
      </c>
      <c r="Q325" s="9">
        <v>1</v>
      </c>
      <c r="R325" s="10">
        <f t="shared" si="11"/>
        <v>40000</v>
      </c>
    </row>
    <row r="326" spans="1:18" x14ac:dyDescent="0.3">
      <c r="A326" s="9">
        <v>22930</v>
      </c>
      <c r="B326" s="9" t="s">
        <v>37</v>
      </c>
      <c r="C326" s="9" t="s">
        <v>39</v>
      </c>
      <c r="D326" s="10">
        <v>90000</v>
      </c>
      <c r="E326" s="9" t="str" cm="1">
        <f t="array" ref="E326">_xlfn.IFS(D326&lt;= 60000, "Low Income",
D326&lt;=120000,"Medium Income",
D326&gt; 120000,"High Income"
)</f>
        <v>Medium Income</v>
      </c>
      <c r="F326" s="9">
        <v>4</v>
      </c>
      <c r="G326" s="9" t="s">
        <v>15</v>
      </c>
      <c r="H326" s="9" t="s">
        <v>23</v>
      </c>
      <c r="I326" s="9" t="s">
        <v>17</v>
      </c>
      <c r="J326" s="9">
        <v>0</v>
      </c>
      <c r="K326" s="9" t="s">
        <v>29</v>
      </c>
      <c r="L326" s="9" t="s">
        <v>27</v>
      </c>
      <c r="M326" s="9">
        <v>38</v>
      </c>
      <c r="N326" s="9" t="str" cm="1">
        <f t="array" ref="N326">_xlfn.IFS(
M326&lt;=12,"Children",
M326&lt;=19,"Teens",
M326&lt;=29,"Young Adults",
M326&lt;=39,"Adults",
M326&lt;=59,"Middle-Aged",
M326&gt;=60,"Seniors"
)</f>
        <v>Adults</v>
      </c>
      <c r="O326" s="9" t="s">
        <v>17</v>
      </c>
      <c r="P326" s="9">
        <f t="shared" si="10"/>
        <v>1</v>
      </c>
      <c r="Q326" s="9">
        <v>1</v>
      </c>
      <c r="R326" s="10">
        <f t="shared" si="11"/>
        <v>90000</v>
      </c>
    </row>
    <row r="327" spans="1:18" x14ac:dyDescent="0.3">
      <c r="A327" s="9">
        <v>23780</v>
      </c>
      <c r="B327" s="9" t="s">
        <v>40</v>
      </c>
      <c r="C327" s="9" t="s">
        <v>39</v>
      </c>
      <c r="D327" s="10">
        <v>40000</v>
      </c>
      <c r="E327" s="9" t="str" cm="1">
        <f t="array" ref="E327">_xlfn.IFS(D327&lt;= 60000, "Low Income",
D327&lt;=120000,"Medium Income",
D327&gt; 120000,"High Income"
)</f>
        <v>Low Income</v>
      </c>
      <c r="F327" s="9">
        <v>2</v>
      </c>
      <c r="G327" s="9" t="s">
        <v>21</v>
      </c>
      <c r="H327" s="9" t="s">
        <v>22</v>
      </c>
      <c r="I327" s="9" t="s">
        <v>20</v>
      </c>
      <c r="J327" s="9">
        <v>2</v>
      </c>
      <c r="K327" s="9" t="s">
        <v>18</v>
      </c>
      <c r="L327" s="9" t="s">
        <v>19</v>
      </c>
      <c r="M327" s="9">
        <v>36</v>
      </c>
      <c r="N327" s="9" t="str" cm="1">
        <f t="array" ref="N327">_xlfn.IFS(
M327&lt;=12,"Children",
M327&lt;=19,"Teens",
M327&lt;=29,"Young Adults",
M327&lt;=39,"Adults",
M327&lt;=59,"Middle-Aged",
M327&gt;=60,"Seniors"
)</f>
        <v>Adults</v>
      </c>
      <c r="O327" s="9" t="s">
        <v>17</v>
      </c>
      <c r="P327" s="9">
        <f t="shared" si="10"/>
        <v>1</v>
      </c>
      <c r="Q327" s="9">
        <v>1</v>
      </c>
      <c r="R327" s="10">
        <f t="shared" si="11"/>
        <v>40000</v>
      </c>
    </row>
    <row r="328" spans="1:18" x14ac:dyDescent="0.3">
      <c r="A328" s="9">
        <v>20994</v>
      </c>
      <c r="B328" s="9" t="s">
        <v>37</v>
      </c>
      <c r="C328" s="9" t="s">
        <v>38</v>
      </c>
      <c r="D328" s="10">
        <v>20000</v>
      </c>
      <c r="E328" s="9" t="str" cm="1">
        <f t="array" ref="E328">_xlfn.IFS(D328&lt;= 60000, "Low Income",
D328&lt;=120000,"Medium Income",
D328&gt; 120000,"High Income"
)</f>
        <v>Low Income</v>
      </c>
      <c r="F328" s="9">
        <v>0</v>
      </c>
      <c r="G328" s="9" t="s">
        <v>15</v>
      </c>
      <c r="H328" s="9" t="s">
        <v>22</v>
      </c>
      <c r="I328" s="9" t="s">
        <v>20</v>
      </c>
      <c r="J328" s="9">
        <v>0</v>
      </c>
      <c r="K328" s="9" t="s">
        <v>18</v>
      </c>
      <c r="L328" s="9" t="s">
        <v>27</v>
      </c>
      <c r="M328" s="9">
        <v>26</v>
      </c>
      <c r="N328" s="9" t="str" cm="1">
        <f t="array" ref="N328">_xlfn.IFS(
M328&lt;=12,"Children",
M328&lt;=19,"Teens",
M328&lt;=29,"Young Adults",
M328&lt;=39,"Adults",
M328&lt;=59,"Middle-Aged",
M328&gt;=60,"Seniors"
)</f>
        <v>Young Adults</v>
      </c>
      <c r="O328" s="9" t="s">
        <v>17</v>
      </c>
      <c r="P328" s="9">
        <f t="shared" si="10"/>
        <v>1</v>
      </c>
      <c r="Q328" s="9">
        <v>1</v>
      </c>
      <c r="R328" s="10">
        <f t="shared" si="11"/>
        <v>20000</v>
      </c>
    </row>
    <row r="329" spans="1:18" x14ac:dyDescent="0.3">
      <c r="A329" s="9">
        <v>28379</v>
      </c>
      <c r="B329" s="9" t="s">
        <v>37</v>
      </c>
      <c r="C329" s="9" t="s">
        <v>39</v>
      </c>
      <c r="D329" s="10">
        <v>30000</v>
      </c>
      <c r="E329" s="9" t="str" cm="1">
        <f t="array" ref="E329">_xlfn.IFS(D329&lt;= 60000, "Low Income",
D329&lt;=120000,"Medium Income",
D329&gt; 120000,"High Income"
)</f>
        <v>Low Income</v>
      </c>
      <c r="F329" s="9">
        <v>1</v>
      </c>
      <c r="G329" s="9" t="s">
        <v>15</v>
      </c>
      <c r="H329" s="9" t="s">
        <v>16</v>
      </c>
      <c r="I329" s="9" t="s">
        <v>17</v>
      </c>
      <c r="J329" s="9">
        <v>2</v>
      </c>
      <c r="K329" s="9" t="s">
        <v>18</v>
      </c>
      <c r="L329" s="9" t="s">
        <v>19</v>
      </c>
      <c r="M329" s="9">
        <v>40</v>
      </c>
      <c r="N329" s="9" t="str" cm="1">
        <f t="array" ref="N329">_xlfn.IFS(
M329&lt;=12,"Children",
M329&lt;=19,"Teens",
M329&lt;=29,"Young Adults",
M329&lt;=39,"Adults",
M329&lt;=59,"Middle-Aged",
M329&gt;=60,"Seniors"
)</f>
        <v>Middle-Aged</v>
      </c>
      <c r="O329" s="9" t="s">
        <v>20</v>
      </c>
      <c r="P329" s="9">
        <f t="shared" si="10"/>
        <v>0</v>
      </c>
      <c r="Q329" s="9">
        <v>1</v>
      </c>
      <c r="R329" s="10">
        <f t="shared" si="11"/>
        <v>0</v>
      </c>
    </row>
    <row r="330" spans="1:18" x14ac:dyDescent="0.3">
      <c r="A330" s="9">
        <v>14865</v>
      </c>
      <c r="B330" s="9" t="s">
        <v>40</v>
      </c>
      <c r="C330" s="9" t="s">
        <v>39</v>
      </c>
      <c r="D330" s="10">
        <v>40000</v>
      </c>
      <c r="E330" s="9" t="str" cm="1">
        <f t="array" ref="E330">_xlfn.IFS(D330&lt;= 60000, "Low Income",
D330&lt;=120000,"Medium Income",
D330&gt; 120000,"High Income"
)</f>
        <v>Low Income</v>
      </c>
      <c r="F330" s="9">
        <v>2</v>
      </c>
      <c r="G330" s="9" t="s">
        <v>21</v>
      </c>
      <c r="H330" s="9" t="s">
        <v>22</v>
      </c>
      <c r="I330" s="9" t="s">
        <v>17</v>
      </c>
      <c r="J330" s="9">
        <v>2</v>
      </c>
      <c r="K330" s="9" t="s">
        <v>29</v>
      </c>
      <c r="L330" s="9" t="s">
        <v>19</v>
      </c>
      <c r="M330" s="9">
        <v>36</v>
      </c>
      <c r="N330" s="9" t="str" cm="1">
        <f t="array" ref="N330">_xlfn.IFS(
M330&lt;=12,"Children",
M330&lt;=19,"Teens",
M330&lt;=29,"Young Adults",
M330&lt;=39,"Adults",
M330&lt;=59,"Middle-Aged",
M330&gt;=60,"Seniors"
)</f>
        <v>Adults</v>
      </c>
      <c r="O330" s="9" t="s">
        <v>20</v>
      </c>
      <c r="P330" s="9">
        <f t="shared" si="10"/>
        <v>0</v>
      </c>
      <c r="Q330" s="9">
        <v>1</v>
      </c>
      <c r="R330" s="10">
        <f t="shared" si="11"/>
        <v>0</v>
      </c>
    </row>
    <row r="331" spans="1:18" x14ac:dyDescent="0.3">
      <c r="A331" s="9">
        <v>12663</v>
      </c>
      <c r="B331" s="9" t="s">
        <v>37</v>
      </c>
      <c r="C331" s="9" t="s">
        <v>38</v>
      </c>
      <c r="D331" s="10">
        <v>90000</v>
      </c>
      <c r="E331" s="9" t="str" cm="1">
        <f t="array" ref="E331">_xlfn.IFS(D331&lt;= 60000, "Low Income",
D331&lt;=120000,"Medium Income",
D331&gt; 120000,"High Income"
)</f>
        <v>Medium Income</v>
      </c>
      <c r="F331" s="9">
        <v>5</v>
      </c>
      <c r="G331" s="9" t="s">
        <v>32</v>
      </c>
      <c r="H331" s="9" t="s">
        <v>16</v>
      </c>
      <c r="I331" s="9" t="s">
        <v>17</v>
      </c>
      <c r="J331" s="9">
        <v>2</v>
      </c>
      <c r="K331" s="9" t="s">
        <v>41</v>
      </c>
      <c r="L331" s="9" t="s">
        <v>19</v>
      </c>
      <c r="M331" s="9">
        <v>59</v>
      </c>
      <c r="N331" s="9" t="str" cm="1">
        <f t="array" ref="N331">_xlfn.IFS(
M331&lt;=12,"Children",
M331&lt;=19,"Teens",
M331&lt;=29,"Young Adults",
M331&lt;=39,"Adults",
M331&lt;=59,"Middle-Aged",
M331&gt;=60,"Seniors"
)</f>
        <v>Middle-Aged</v>
      </c>
      <c r="O331" s="9" t="s">
        <v>20</v>
      </c>
      <c r="P331" s="9">
        <f t="shared" si="10"/>
        <v>0</v>
      </c>
      <c r="Q331" s="9">
        <v>1</v>
      </c>
      <c r="R331" s="10">
        <f t="shared" si="11"/>
        <v>0</v>
      </c>
    </row>
    <row r="332" spans="1:18" x14ac:dyDescent="0.3">
      <c r="A332" s="9">
        <v>24898</v>
      </c>
      <c r="B332" s="9" t="s">
        <v>40</v>
      </c>
      <c r="C332" s="9" t="s">
        <v>38</v>
      </c>
      <c r="D332" s="10">
        <v>80000</v>
      </c>
      <c r="E332" s="9" t="str" cm="1">
        <f t="array" ref="E332">_xlfn.IFS(D332&lt;= 60000, "Low Income",
D332&lt;=120000,"Medium Income",
D332&gt; 120000,"High Income"
)</f>
        <v>Medium Income</v>
      </c>
      <c r="F332" s="9">
        <v>0</v>
      </c>
      <c r="G332" s="9" t="s">
        <v>15</v>
      </c>
      <c r="H332" s="9" t="s">
        <v>23</v>
      </c>
      <c r="I332" s="9" t="s">
        <v>17</v>
      </c>
      <c r="J332" s="9">
        <v>3</v>
      </c>
      <c r="K332" s="9" t="s">
        <v>41</v>
      </c>
      <c r="L332" s="9" t="s">
        <v>27</v>
      </c>
      <c r="M332" s="9">
        <v>32</v>
      </c>
      <c r="N332" s="9" t="str" cm="1">
        <f t="array" ref="N332">_xlfn.IFS(
M332&lt;=12,"Children",
M332&lt;=19,"Teens",
M332&lt;=29,"Young Adults",
M332&lt;=39,"Adults",
M332&lt;=59,"Middle-Aged",
M332&gt;=60,"Seniors"
)</f>
        <v>Adults</v>
      </c>
      <c r="O332" s="9" t="s">
        <v>20</v>
      </c>
      <c r="P332" s="9">
        <f t="shared" si="10"/>
        <v>0</v>
      </c>
      <c r="Q332" s="9">
        <v>1</v>
      </c>
      <c r="R332" s="10">
        <f t="shared" si="11"/>
        <v>0</v>
      </c>
    </row>
    <row r="333" spans="1:18" x14ac:dyDescent="0.3">
      <c r="A333" s="9">
        <v>19508</v>
      </c>
      <c r="B333" s="9" t="s">
        <v>37</v>
      </c>
      <c r="C333" s="9" t="s">
        <v>39</v>
      </c>
      <c r="D333" s="10">
        <v>10000</v>
      </c>
      <c r="E333" s="9" t="str" cm="1">
        <f t="array" ref="E333">_xlfn.IFS(D333&lt;= 60000, "Low Income",
D333&lt;=120000,"Medium Income",
D333&gt; 120000,"High Income"
)</f>
        <v>Low Income</v>
      </c>
      <c r="F333" s="9">
        <v>0</v>
      </c>
      <c r="G333" s="9" t="s">
        <v>32</v>
      </c>
      <c r="H333" s="9" t="s">
        <v>28</v>
      </c>
      <c r="I333" s="9" t="s">
        <v>20</v>
      </c>
      <c r="J333" s="9">
        <v>2</v>
      </c>
      <c r="K333" s="9" t="s">
        <v>18</v>
      </c>
      <c r="L333" s="9" t="s">
        <v>19</v>
      </c>
      <c r="M333" s="9">
        <v>30</v>
      </c>
      <c r="N333" s="9" t="str" cm="1">
        <f t="array" ref="N333">_xlfn.IFS(
M333&lt;=12,"Children",
M333&lt;=19,"Teens",
M333&lt;=29,"Young Adults",
M333&lt;=39,"Adults",
M333&lt;=59,"Middle-Aged",
M333&gt;=60,"Seniors"
)</f>
        <v>Adults</v>
      </c>
      <c r="O333" s="9" t="s">
        <v>20</v>
      </c>
      <c r="P333" s="9">
        <f t="shared" si="10"/>
        <v>0</v>
      </c>
      <c r="Q333" s="9">
        <v>1</v>
      </c>
      <c r="R333" s="10">
        <f t="shared" si="11"/>
        <v>0</v>
      </c>
    </row>
    <row r="334" spans="1:18" x14ac:dyDescent="0.3">
      <c r="A334" s="9">
        <v>11489</v>
      </c>
      <c r="B334" s="9" t="s">
        <v>40</v>
      </c>
      <c r="C334" s="9" t="s">
        <v>38</v>
      </c>
      <c r="D334" s="10">
        <v>20000</v>
      </c>
      <c r="E334" s="9" t="str" cm="1">
        <f t="array" ref="E334">_xlfn.IFS(D334&lt;= 60000, "Low Income",
D334&lt;=120000,"Medium Income",
D334&gt; 120000,"High Income"
)</f>
        <v>Low Income</v>
      </c>
      <c r="F334" s="9">
        <v>0</v>
      </c>
      <c r="G334" s="9" t="s">
        <v>32</v>
      </c>
      <c r="H334" s="9" t="s">
        <v>28</v>
      </c>
      <c r="I334" s="9" t="s">
        <v>20</v>
      </c>
      <c r="J334" s="9">
        <v>2</v>
      </c>
      <c r="K334" s="9" t="s">
        <v>29</v>
      </c>
      <c r="L334" s="9" t="s">
        <v>19</v>
      </c>
      <c r="M334" s="9">
        <v>35</v>
      </c>
      <c r="N334" s="9" t="str" cm="1">
        <f t="array" ref="N334">_xlfn.IFS(
M334&lt;=12,"Children",
M334&lt;=19,"Teens",
M334&lt;=29,"Young Adults",
M334&lt;=39,"Adults",
M334&lt;=59,"Middle-Aged",
M334&gt;=60,"Seniors"
)</f>
        <v>Adults</v>
      </c>
      <c r="O334" s="9" t="s">
        <v>17</v>
      </c>
      <c r="P334" s="9">
        <f t="shared" si="10"/>
        <v>1</v>
      </c>
      <c r="Q334" s="9">
        <v>1</v>
      </c>
      <c r="R334" s="10">
        <f t="shared" si="11"/>
        <v>20000</v>
      </c>
    </row>
    <row r="335" spans="1:18" x14ac:dyDescent="0.3">
      <c r="A335" s="9">
        <v>18160</v>
      </c>
      <c r="B335" s="9" t="s">
        <v>37</v>
      </c>
      <c r="C335" s="9" t="s">
        <v>39</v>
      </c>
      <c r="D335" s="10">
        <v>130000</v>
      </c>
      <c r="E335" s="9" t="str" cm="1">
        <f t="array" ref="E335">_xlfn.IFS(D335&lt;= 60000, "Low Income",
D335&lt;=120000,"Medium Income",
D335&gt; 120000,"High Income"
)</f>
        <v>High Income</v>
      </c>
      <c r="F335" s="9">
        <v>3</v>
      </c>
      <c r="G335" s="9" t="s">
        <v>30</v>
      </c>
      <c r="H335" s="9" t="s">
        <v>23</v>
      </c>
      <c r="I335" s="9" t="s">
        <v>17</v>
      </c>
      <c r="J335" s="9">
        <v>4</v>
      </c>
      <c r="K335" s="9" t="s">
        <v>26</v>
      </c>
      <c r="L335" s="9" t="s">
        <v>19</v>
      </c>
      <c r="M335" s="9">
        <v>51</v>
      </c>
      <c r="N335" s="9" t="str" cm="1">
        <f t="array" ref="N335">_xlfn.IFS(
M335&lt;=12,"Children",
M335&lt;=19,"Teens",
M335&lt;=29,"Young Adults",
M335&lt;=39,"Adults",
M335&lt;=59,"Middle-Aged",
M335&gt;=60,"Seniors"
)</f>
        <v>Middle-Aged</v>
      </c>
      <c r="O335" s="9" t="s">
        <v>17</v>
      </c>
      <c r="P335" s="9">
        <f t="shared" si="10"/>
        <v>1</v>
      </c>
      <c r="Q335" s="9">
        <v>1</v>
      </c>
      <c r="R335" s="10">
        <f t="shared" si="11"/>
        <v>130000</v>
      </c>
    </row>
    <row r="336" spans="1:18" x14ac:dyDescent="0.3">
      <c r="A336" s="9">
        <v>25241</v>
      </c>
      <c r="B336" s="9" t="s">
        <v>37</v>
      </c>
      <c r="C336" s="9" t="s">
        <v>39</v>
      </c>
      <c r="D336" s="10">
        <v>90000</v>
      </c>
      <c r="E336" s="9" t="str" cm="1">
        <f t="array" ref="E336">_xlfn.IFS(D336&lt;= 60000, "Low Income",
D336&lt;=120000,"Medium Income",
D336&gt; 120000,"High Income"
)</f>
        <v>Medium Income</v>
      </c>
      <c r="F336" s="9">
        <v>2</v>
      </c>
      <c r="G336" s="9" t="s">
        <v>15</v>
      </c>
      <c r="H336" s="9" t="s">
        <v>23</v>
      </c>
      <c r="I336" s="9" t="s">
        <v>17</v>
      </c>
      <c r="J336" s="9">
        <v>1</v>
      </c>
      <c r="K336" s="9" t="s">
        <v>26</v>
      </c>
      <c r="L336" s="9" t="s">
        <v>27</v>
      </c>
      <c r="M336" s="9">
        <v>47</v>
      </c>
      <c r="N336" s="9" t="str" cm="1">
        <f t="array" ref="N336">_xlfn.IFS(
M336&lt;=12,"Children",
M336&lt;=19,"Teens",
M336&lt;=29,"Young Adults",
M336&lt;=39,"Adults",
M336&lt;=59,"Middle-Aged",
M336&gt;=60,"Seniors"
)</f>
        <v>Middle-Aged</v>
      </c>
      <c r="O336" s="9" t="s">
        <v>20</v>
      </c>
      <c r="P336" s="9">
        <f t="shared" si="10"/>
        <v>0</v>
      </c>
      <c r="Q336" s="9">
        <v>1</v>
      </c>
      <c r="R336" s="10">
        <f t="shared" si="11"/>
        <v>0</v>
      </c>
    </row>
    <row r="337" spans="1:18" x14ac:dyDescent="0.3">
      <c r="A337" s="9">
        <v>24369</v>
      </c>
      <c r="B337" s="9" t="s">
        <v>37</v>
      </c>
      <c r="C337" s="9" t="s">
        <v>39</v>
      </c>
      <c r="D337" s="10">
        <v>80000</v>
      </c>
      <c r="E337" s="9" t="str" cm="1">
        <f t="array" ref="E337">_xlfn.IFS(D337&lt;= 60000, "Low Income",
D337&lt;=120000,"Medium Income",
D337&gt; 120000,"High Income"
)</f>
        <v>Medium Income</v>
      </c>
      <c r="F337" s="9">
        <v>5</v>
      </c>
      <c r="G337" s="9" t="s">
        <v>34</v>
      </c>
      <c r="H337" s="9" t="s">
        <v>31</v>
      </c>
      <c r="I337" s="9" t="s">
        <v>20</v>
      </c>
      <c r="J337" s="9">
        <v>2</v>
      </c>
      <c r="K337" s="9" t="s">
        <v>18</v>
      </c>
      <c r="L337" s="9" t="s">
        <v>27</v>
      </c>
      <c r="M337" s="9">
        <v>39</v>
      </c>
      <c r="N337" s="9" t="str" cm="1">
        <f t="array" ref="N337">_xlfn.IFS(
M337&lt;=12,"Children",
M337&lt;=19,"Teens",
M337&lt;=29,"Young Adults",
M337&lt;=39,"Adults",
M337&lt;=59,"Middle-Aged",
M337&gt;=60,"Seniors"
)</f>
        <v>Adults</v>
      </c>
      <c r="O337" s="9" t="s">
        <v>20</v>
      </c>
      <c r="P337" s="9">
        <f t="shared" si="10"/>
        <v>0</v>
      </c>
      <c r="Q337" s="9">
        <v>1</v>
      </c>
      <c r="R337" s="10">
        <f t="shared" si="11"/>
        <v>0</v>
      </c>
    </row>
    <row r="338" spans="1:18" x14ac:dyDescent="0.3">
      <c r="A338" s="9">
        <v>27165</v>
      </c>
      <c r="B338" s="9" t="s">
        <v>40</v>
      </c>
      <c r="C338" s="9" t="s">
        <v>39</v>
      </c>
      <c r="D338" s="10">
        <v>20000</v>
      </c>
      <c r="E338" s="9" t="str" cm="1">
        <f t="array" ref="E338">_xlfn.IFS(D338&lt;= 60000, "Low Income",
D338&lt;=120000,"Medium Income",
D338&gt; 120000,"High Income"
)</f>
        <v>Low Income</v>
      </c>
      <c r="F338" s="9">
        <v>0</v>
      </c>
      <c r="G338" s="9" t="s">
        <v>32</v>
      </c>
      <c r="H338" s="9" t="s">
        <v>28</v>
      </c>
      <c r="I338" s="9" t="s">
        <v>20</v>
      </c>
      <c r="J338" s="9">
        <v>2</v>
      </c>
      <c r="K338" s="9" t="s">
        <v>18</v>
      </c>
      <c r="L338" s="9" t="s">
        <v>19</v>
      </c>
      <c r="M338" s="9">
        <v>34</v>
      </c>
      <c r="N338" s="9" t="str" cm="1">
        <f t="array" ref="N338">_xlfn.IFS(
M338&lt;=12,"Children",
M338&lt;=19,"Teens",
M338&lt;=29,"Young Adults",
M338&lt;=39,"Adults",
M338&lt;=59,"Middle-Aged",
M338&gt;=60,"Seniors"
)</f>
        <v>Adults</v>
      </c>
      <c r="O338" s="9" t="s">
        <v>20</v>
      </c>
      <c r="P338" s="9">
        <f t="shared" si="10"/>
        <v>0</v>
      </c>
      <c r="Q338" s="9">
        <v>1</v>
      </c>
      <c r="R338" s="10">
        <f t="shared" si="11"/>
        <v>0</v>
      </c>
    </row>
    <row r="339" spans="1:18" x14ac:dyDescent="0.3">
      <c r="A339" s="9">
        <v>29424</v>
      </c>
      <c r="B339" s="9" t="s">
        <v>37</v>
      </c>
      <c r="C339" s="9" t="s">
        <v>39</v>
      </c>
      <c r="D339" s="10">
        <v>10000</v>
      </c>
      <c r="E339" s="9" t="str" cm="1">
        <f t="array" ref="E339">_xlfn.IFS(D339&lt;= 60000, "Low Income",
D339&lt;=120000,"Medium Income",
D339&gt; 120000,"High Income"
)</f>
        <v>Low Income</v>
      </c>
      <c r="F339" s="9">
        <v>0</v>
      </c>
      <c r="G339" s="9" t="s">
        <v>32</v>
      </c>
      <c r="H339" s="9" t="s">
        <v>28</v>
      </c>
      <c r="I339" s="9" t="s">
        <v>17</v>
      </c>
      <c r="J339" s="9">
        <v>2</v>
      </c>
      <c r="K339" s="9" t="s">
        <v>18</v>
      </c>
      <c r="L339" s="9" t="s">
        <v>19</v>
      </c>
      <c r="M339" s="9">
        <v>32</v>
      </c>
      <c r="N339" s="9" t="str" cm="1">
        <f t="array" ref="N339">_xlfn.IFS(
M339&lt;=12,"Children",
M339&lt;=19,"Teens",
M339&lt;=29,"Young Adults",
M339&lt;=39,"Adults",
M339&lt;=59,"Middle-Aged",
M339&gt;=60,"Seniors"
)</f>
        <v>Adults</v>
      </c>
      <c r="O339" s="9" t="s">
        <v>20</v>
      </c>
      <c r="P339" s="9">
        <f t="shared" si="10"/>
        <v>0</v>
      </c>
      <c r="Q339" s="9">
        <v>1</v>
      </c>
      <c r="R339" s="10">
        <f t="shared" si="11"/>
        <v>0</v>
      </c>
    </row>
    <row r="340" spans="1:18" x14ac:dyDescent="0.3">
      <c r="A340" s="9">
        <v>15926</v>
      </c>
      <c r="B340" s="9" t="s">
        <v>40</v>
      </c>
      <c r="C340" s="9" t="s">
        <v>38</v>
      </c>
      <c r="D340" s="10">
        <v>120000</v>
      </c>
      <c r="E340" s="9" t="str" cm="1">
        <f t="array" ref="E340">_xlfn.IFS(D340&lt;= 60000, "Low Income",
D340&lt;=120000,"Medium Income",
D340&gt; 120000,"High Income"
)</f>
        <v>Medium Income</v>
      </c>
      <c r="F340" s="9">
        <v>3</v>
      </c>
      <c r="G340" s="9" t="s">
        <v>30</v>
      </c>
      <c r="H340" s="9" t="s">
        <v>23</v>
      </c>
      <c r="I340" s="9" t="s">
        <v>17</v>
      </c>
      <c r="J340" s="9">
        <v>4</v>
      </c>
      <c r="K340" s="9" t="s">
        <v>26</v>
      </c>
      <c r="L340" s="9" t="s">
        <v>19</v>
      </c>
      <c r="M340" s="9">
        <v>50</v>
      </c>
      <c r="N340" s="9" t="str" cm="1">
        <f t="array" ref="N340">_xlfn.IFS(
M340&lt;=12,"Children",
M340&lt;=19,"Teens",
M340&lt;=29,"Young Adults",
M340&lt;=39,"Adults",
M340&lt;=59,"Middle-Aged",
M340&gt;=60,"Seniors"
)</f>
        <v>Middle-Aged</v>
      </c>
      <c r="O340" s="9" t="s">
        <v>17</v>
      </c>
      <c r="P340" s="9">
        <f t="shared" si="10"/>
        <v>1</v>
      </c>
      <c r="Q340" s="9">
        <v>1</v>
      </c>
      <c r="R340" s="10">
        <f t="shared" si="11"/>
        <v>120000</v>
      </c>
    </row>
    <row r="341" spans="1:18" x14ac:dyDescent="0.3">
      <c r="A341" s="9">
        <v>14554</v>
      </c>
      <c r="B341" s="9" t="s">
        <v>37</v>
      </c>
      <c r="C341" s="9" t="s">
        <v>39</v>
      </c>
      <c r="D341" s="10">
        <v>20000</v>
      </c>
      <c r="E341" s="9" t="str" cm="1">
        <f t="array" ref="E341">_xlfn.IFS(D341&lt;= 60000, "Low Income",
D341&lt;=120000,"Medium Income",
D341&gt; 120000,"High Income"
)</f>
        <v>Low Income</v>
      </c>
      <c r="F341" s="9">
        <v>1</v>
      </c>
      <c r="G341" s="9" t="s">
        <v>15</v>
      </c>
      <c r="H341" s="9" t="s">
        <v>22</v>
      </c>
      <c r="I341" s="9" t="s">
        <v>17</v>
      </c>
      <c r="J341" s="9">
        <v>0</v>
      </c>
      <c r="K341" s="9" t="s">
        <v>18</v>
      </c>
      <c r="L341" s="9" t="s">
        <v>19</v>
      </c>
      <c r="M341" s="9">
        <v>66</v>
      </c>
      <c r="N341" s="9" t="str" cm="1">
        <f t="array" ref="N341">_xlfn.IFS(
M341&lt;=12,"Children",
M341&lt;=19,"Teens",
M341&lt;=29,"Young Adults",
M341&lt;=39,"Adults",
M341&lt;=59,"Middle-Aged",
M341&gt;=60,"Seniors"
)</f>
        <v>Seniors</v>
      </c>
      <c r="O341" s="9" t="s">
        <v>20</v>
      </c>
      <c r="P341" s="9">
        <f t="shared" si="10"/>
        <v>0</v>
      </c>
      <c r="Q341" s="9">
        <v>1</v>
      </c>
      <c r="R341" s="10">
        <f t="shared" si="11"/>
        <v>0</v>
      </c>
    </row>
    <row r="342" spans="1:18" x14ac:dyDescent="0.3">
      <c r="A342" s="9">
        <v>16468</v>
      </c>
      <c r="B342" s="9" t="s">
        <v>40</v>
      </c>
      <c r="C342" s="9" t="s">
        <v>39</v>
      </c>
      <c r="D342" s="10">
        <v>30000</v>
      </c>
      <c r="E342" s="9" t="str" cm="1">
        <f t="array" ref="E342">_xlfn.IFS(D342&lt;= 60000, "Low Income",
D342&lt;=120000,"Medium Income",
D342&gt; 120000,"High Income"
)</f>
        <v>Low Income</v>
      </c>
      <c r="F342" s="9">
        <v>0</v>
      </c>
      <c r="G342" s="9" t="s">
        <v>21</v>
      </c>
      <c r="H342" s="9" t="s">
        <v>22</v>
      </c>
      <c r="I342" s="9" t="s">
        <v>17</v>
      </c>
      <c r="J342" s="9">
        <v>1</v>
      </c>
      <c r="K342" s="9" t="s">
        <v>24</v>
      </c>
      <c r="L342" s="9" t="s">
        <v>19</v>
      </c>
      <c r="M342" s="9">
        <v>30</v>
      </c>
      <c r="N342" s="9" t="str" cm="1">
        <f t="array" ref="N342">_xlfn.IFS(
M342&lt;=12,"Children",
M342&lt;=19,"Teens",
M342&lt;=29,"Young Adults",
M342&lt;=39,"Adults",
M342&lt;=59,"Middle-Aged",
M342&gt;=60,"Seniors"
)</f>
        <v>Adults</v>
      </c>
      <c r="O342" s="9" t="s">
        <v>20</v>
      </c>
      <c r="P342" s="9">
        <f t="shared" si="10"/>
        <v>0</v>
      </c>
      <c r="Q342" s="9">
        <v>1</v>
      </c>
      <c r="R342" s="10">
        <f t="shared" si="11"/>
        <v>0</v>
      </c>
    </row>
    <row r="343" spans="1:18" x14ac:dyDescent="0.3">
      <c r="A343" s="9">
        <v>19174</v>
      </c>
      <c r="B343" s="9" t="s">
        <v>40</v>
      </c>
      <c r="C343" s="9" t="s">
        <v>38</v>
      </c>
      <c r="D343" s="10">
        <v>30000</v>
      </c>
      <c r="E343" s="9" t="str" cm="1">
        <f t="array" ref="E343">_xlfn.IFS(D343&lt;= 60000, "Low Income",
D343&lt;=120000,"Medium Income",
D343&gt; 120000,"High Income"
)</f>
        <v>Low Income</v>
      </c>
      <c r="F343" s="9">
        <v>0</v>
      </c>
      <c r="G343" s="9" t="s">
        <v>30</v>
      </c>
      <c r="H343" s="9" t="s">
        <v>28</v>
      </c>
      <c r="I343" s="9" t="s">
        <v>20</v>
      </c>
      <c r="J343" s="9">
        <v>1</v>
      </c>
      <c r="K343" s="9" t="s">
        <v>24</v>
      </c>
      <c r="L343" s="9" t="s">
        <v>19</v>
      </c>
      <c r="M343" s="9">
        <v>32</v>
      </c>
      <c r="N343" s="9" t="str" cm="1">
        <f t="array" ref="N343">_xlfn.IFS(
M343&lt;=12,"Children",
M343&lt;=19,"Teens",
M343&lt;=29,"Young Adults",
M343&lt;=39,"Adults",
M343&lt;=59,"Middle-Aged",
M343&gt;=60,"Seniors"
)</f>
        <v>Adults</v>
      </c>
      <c r="O343" s="9" t="s">
        <v>17</v>
      </c>
      <c r="P343" s="9">
        <f t="shared" si="10"/>
        <v>1</v>
      </c>
      <c r="Q343" s="9">
        <v>1</v>
      </c>
      <c r="R343" s="10">
        <f t="shared" si="11"/>
        <v>30000</v>
      </c>
    </row>
    <row r="344" spans="1:18" x14ac:dyDescent="0.3">
      <c r="A344" s="9">
        <v>19183</v>
      </c>
      <c r="B344" s="9" t="s">
        <v>40</v>
      </c>
      <c r="C344" s="9" t="s">
        <v>39</v>
      </c>
      <c r="D344" s="10">
        <v>10000</v>
      </c>
      <c r="E344" s="9" t="str" cm="1">
        <f t="array" ref="E344">_xlfn.IFS(D344&lt;= 60000, "Low Income",
D344&lt;=120000,"Medium Income",
D344&gt; 120000,"High Income"
)</f>
        <v>Low Income</v>
      </c>
      <c r="F344" s="9">
        <v>0</v>
      </c>
      <c r="G344" s="9" t="s">
        <v>32</v>
      </c>
      <c r="H344" s="9" t="s">
        <v>28</v>
      </c>
      <c r="I344" s="9" t="s">
        <v>17</v>
      </c>
      <c r="J344" s="9">
        <v>2</v>
      </c>
      <c r="K344" s="9" t="s">
        <v>29</v>
      </c>
      <c r="L344" s="9" t="s">
        <v>19</v>
      </c>
      <c r="M344" s="9">
        <v>35</v>
      </c>
      <c r="N344" s="9" t="str" cm="1">
        <f t="array" ref="N344">_xlfn.IFS(
M344&lt;=12,"Children",
M344&lt;=19,"Teens",
M344&lt;=29,"Young Adults",
M344&lt;=39,"Adults",
M344&lt;=59,"Middle-Aged",
M344&gt;=60,"Seniors"
)</f>
        <v>Adults</v>
      </c>
      <c r="O344" s="9" t="s">
        <v>20</v>
      </c>
      <c r="P344" s="9">
        <f t="shared" si="10"/>
        <v>0</v>
      </c>
      <c r="Q344" s="9">
        <v>1</v>
      </c>
      <c r="R344" s="10">
        <f t="shared" si="11"/>
        <v>0</v>
      </c>
    </row>
    <row r="345" spans="1:18" x14ac:dyDescent="0.3">
      <c r="A345" s="9">
        <v>13683</v>
      </c>
      <c r="B345" s="9" t="s">
        <v>40</v>
      </c>
      <c r="C345" s="9" t="s">
        <v>38</v>
      </c>
      <c r="D345" s="10">
        <v>30000</v>
      </c>
      <c r="E345" s="9" t="str" cm="1">
        <f t="array" ref="E345">_xlfn.IFS(D345&lt;= 60000, "Low Income",
D345&lt;=120000,"Medium Income",
D345&gt; 120000,"High Income"
)</f>
        <v>Low Income</v>
      </c>
      <c r="F345" s="9">
        <v>0</v>
      </c>
      <c r="G345" s="9" t="s">
        <v>30</v>
      </c>
      <c r="H345" s="9" t="s">
        <v>28</v>
      </c>
      <c r="I345" s="9" t="s">
        <v>20</v>
      </c>
      <c r="J345" s="9">
        <v>1</v>
      </c>
      <c r="K345" s="9" t="s">
        <v>24</v>
      </c>
      <c r="L345" s="9" t="s">
        <v>19</v>
      </c>
      <c r="M345" s="9">
        <v>32</v>
      </c>
      <c r="N345" s="9" t="str" cm="1">
        <f t="array" ref="N345">_xlfn.IFS(
M345&lt;=12,"Children",
M345&lt;=19,"Teens",
M345&lt;=29,"Young Adults",
M345&lt;=39,"Adults",
M345&lt;=59,"Middle-Aged",
M345&gt;=60,"Seniors"
)</f>
        <v>Adults</v>
      </c>
      <c r="O345" s="9" t="s">
        <v>20</v>
      </c>
      <c r="P345" s="9">
        <f t="shared" si="10"/>
        <v>0</v>
      </c>
      <c r="Q345" s="9">
        <v>1</v>
      </c>
      <c r="R345" s="10">
        <f t="shared" si="11"/>
        <v>0</v>
      </c>
    </row>
    <row r="346" spans="1:18" x14ac:dyDescent="0.3">
      <c r="A346" s="9">
        <v>17848</v>
      </c>
      <c r="B346" s="9" t="s">
        <v>40</v>
      </c>
      <c r="C346" s="9" t="s">
        <v>39</v>
      </c>
      <c r="D346" s="10">
        <v>30000</v>
      </c>
      <c r="E346" s="9" t="str" cm="1">
        <f t="array" ref="E346">_xlfn.IFS(D346&lt;= 60000, "Low Income",
D346&lt;=120000,"Medium Income",
D346&gt; 120000,"High Income"
)</f>
        <v>Low Income</v>
      </c>
      <c r="F346" s="9">
        <v>0</v>
      </c>
      <c r="G346" s="9" t="s">
        <v>21</v>
      </c>
      <c r="H346" s="9" t="s">
        <v>22</v>
      </c>
      <c r="I346" s="9" t="s">
        <v>20</v>
      </c>
      <c r="J346" s="9">
        <v>1</v>
      </c>
      <c r="K346" s="9" t="s">
        <v>24</v>
      </c>
      <c r="L346" s="9" t="s">
        <v>19</v>
      </c>
      <c r="M346" s="9">
        <v>31</v>
      </c>
      <c r="N346" s="9" t="str" cm="1">
        <f t="array" ref="N346">_xlfn.IFS(
M346&lt;=12,"Children",
M346&lt;=19,"Teens",
M346&lt;=29,"Young Adults",
M346&lt;=39,"Adults",
M346&lt;=59,"Middle-Aged",
M346&gt;=60,"Seniors"
)</f>
        <v>Adults</v>
      </c>
      <c r="O346" s="9" t="s">
        <v>17</v>
      </c>
      <c r="P346" s="9">
        <f t="shared" si="10"/>
        <v>1</v>
      </c>
      <c r="Q346" s="9">
        <v>1</v>
      </c>
      <c r="R346" s="10">
        <f t="shared" si="11"/>
        <v>30000</v>
      </c>
    </row>
    <row r="347" spans="1:18" x14ac:dyDescent="0.3">
      <c r="A347" s="9">
        <v>17894</v>
      </c>
      <c r="B347" s="9" t="s">
        <v>37</v>
      </c>
      <c r="C347" s="9" t="s">
        <v>38</v>
      </c>
      <c r="D347" s="10">
        <v>20000</v>
      </c>
      <c r="E347" s="9" t="str" cm="1">
        <f t="array" ref="E347">_xlfn.IFS(D347&lt;= 60000, "Low Income",
D347&lt;=120000,"Medium Income",
D347&gt; 120000,"High Income"
)</f>
        <v>Low Income</v>
      </c>
      <c r="F347" s="9">
        <v>1</v>
      </c>
      <c r="G347" s="9" t="s">
        <v>15</v>
      </c>
      <c r="H347" s="9" t="s">
        <v>22</v>
      </c>
      <c r="I347" s="9" t="s">
        <v>17</v>
      </c>
      <c r="J347" s="9">
        <v>0</v>
      </c>
      <c r="K347" s="9" t="s">
        <v>18</v>
      </c>
      <c r="L347" s="9" t="s">
        <v>19</v>
      </c>
      <c r="M347" s="9">
        <v>50</v>
      </c>
      <c r="N347" s="9" t="str" cm="1">
        <f t="array" ref="N347">_xlfn.IFS(
M347&lt;=12,"Children",
M347&lt;=19,"Teens",
M347&lt;=29,"Young Adults",
M347&lt;=39,"Adults",
M347&lt;=59,"Middle-Aged",
M347&gt;=60,"Seniors"
)</f>
        <v>Middle-Aged</v>
      </c>
      <c r="O347" s="9" t="s">
        <v>17</v>
      </c>
      <c r="P347" s="9">
        <f t="shared" si="10"/>
        <v>1</v>
      </c>
      <c r="Q347" s="9">
        <v>1</v>
      </c>
      <c r="R347" s="10">
        <f t="shared" si="11"/>
        <v>20000</v>
      </c>
    </row>
    <row r="348" spans="1:18" x14ac:dyDescent="0.3">
      <c r="A348" s="9">
        <v>25651</v>
      </c>
      <c r="B348" s="9" t="s">
        <v>37</v>
      </c>
      <c r="C348" s="9" t="s">
        <v>39</v>
      </c>
      <c r="D348" s="10">
        <v>40000</v>
      </c>
      <c r="E348" s="9" t="str" cm="1">
        <f t="array" ref="E348">_xlfn.IFS(D348&lt;= 60000, "Low Income",
D348&lt;=120000,"Medium Income",
D348&gt; 120000,"High Income"
)</f>
        <v>Low Income</v>
      </c>
      <c r="F348" s="9">
        <v>1</v>
      </c>
      <c r="G348" s="9" t="s">
        <v>15</v>
      </c>
      <c r="H348" s="9" t="s">
        <v>16</v>
      </c>
      <c r="I348" s="9" t="s">
        <v>20</v>
      </c>
      <c r="J348" s="9">
        <v>0</v>
      </c>
      <c r="K348" s="9" t="s">
        <v>18</v>
      </c>
      <c r="L348" s="9" t="s">
        <v>19</v>
      </c>
      <c r="M348" s="9">
        <v>43</v>
      </c>
      <c r="N348" s="9" t="str" cm="1">
        <f t="array" ref="N348">_xlfn.IFS(
M348&lt;=12,"Children",
M348&lt;=19,"Teens",
M348&lt;=29,"Young Adults",
M348&lt;=39,"Adults",
M348&lt;=59,"Middle-Aged",
M348&gt;=60,"Seniors"
)</f>
        <v>Middle-Aged</v>
      </c>
      <c r="O348" s="9" t="s">
        <v>17</v>
      </c>
      <c r="P348" s="9">
        <f t="shared" si="10"/>
        <v>1</v>
      </c>
      <c r="Q348" s="9">
        <v>1</v>
      </c>
      <c r="R348" s="10">
        <f t="shared" si="11"/>
        <v>40000</v>
      </c>
    </row>
    <row r="349" spans="1:18" x14ac:dyDescent="0.3">
      <c r="A349" s="9">
        <v>22936</v>
      </c>
      <c r="B349" s="9" t="s">
        <v>40</v>
      </c>
      <c r="C349" s="9" t="s">
        <v>38</v>
      </c>
      <c r="D349" s="10">
        <v>60000</v>
      </c>
      <c r="E349" s="9" t="str" cm="1">
        <f t="array" ref="E349">_xlfn.IFS(D349&lt;= 60000, "Low Income",
D349&lt;=120000,"Medium Income",
D349&gt; 120000,"High Income"
)</f>
        <v>Low Income</v>
      </c>
      <c r="F349" s="9">
        <v>1</v>
      </c>
      <c r="G349" s="9" t="s">
        <v>21</v>
      </c>
      <c r="H349" s="9" t="s">
        <v>16</v>
      </c>
      <c r="I349" s="9" t="s">
        <v>20</v>
      </c>
      <c r="J349" s="9">
        <v>1</v>
      </c>
      <c r="K349" s="9" t="s">
        <v>18</v>
      </c>
      <c r="L349" s="9" t="s">
        <v>27</v>
      </c>
      <c r="M349" s="9">
        <v>45</v>
      </c>
      <c r="N349" s="9" t="str" cm="1">
        <f t="array" ref="N349">_xlfn.IFS(
M349&lt;=12,"Children",
M349&lt;=19,"Teens",
M349&lt;=29,"Young Adults",
M349&lt;=39,"Adults",
M349&lt;=59,"Middle-Aged",
M349&gt;=60,"Seniors"
)</f>
        <v>Middle-Aged</v>
      </c>
      <c r="O349" s="9" t="s">
        <v>17</v>
      </c>
      <c r="P349" s="9">
        <f t="shared" si="10"/>
        <v>1</v>
      </c>
      <c r="Q349" s="9">
        <v>1</v>
      </c>
      <c r="R349" s="10">
        <f t="shared" si="11"/>
        <v>60000</v>
      </c>
    </row>
    <row r="350" spans="1:18" x14ac:dyDescent="0.3">
      <c r="A350" s="9">
        <v>23915</v>
      </c>
      <c r="B350" s="9" t="s">
        <v>37</v>
      </c>
      <c r="C350" s="9" t="s">
        <v>39</v>
      </c>
      <c r="D350" s="10">
        <v>20000</v>
      </c>
      <c r="E350" s="9" t="str" cm="1">
        <f t="array" ref="E350">_xlfn.IFS(D350&lt;= 60000, "Low Income",
D350&lt;=120000,"Medium Income",
D350&gt; 120000,"High Income"
)</f>
        <v>Low Income</v>
      </c>
      <c r="F350" s="9">
        <v>2</v>
      </c>
      <c r="G350" s="9" t="s">
        <v>30</v>
      </c>
      <c r="H350" s="9" t="s">
        <v>28</v>
      </c>
      <c r="I350" s="9" t="s">
        <v>17</v>
      </c>
      <c r="J350" s="9">
        <v>2</v>
      </c>
      <c r="K350" s="9" t="s">
        <v>18</v>
      </c>
      <c r="L350" s="9" t="s">
        <v>19</v>
      </c>
      <c r="M350" s="9">
        <v>42</v>
      </c>
      <c r="N350" s="9" t="str" cm="1">
        <f t="array" ref="N350">_xlfn.IFS(
M350&lt;=12,"Children",
M350&lt;=19,"Teens",
M350&lt;=29,"Young Adults",
M350&lt;=39,"Adults",
M350&lt;=59,"Middle-Aged",
M350&gt;=60,"Seniors"
)</f>
        <v>Middle-Aged</v>
      </c>
      <c r="O350" s="9" t="s">
        <v>20</v>
      </c>
      <c r="P350" s="9">
        <f t="shared" si="10"/>
        <v>0</v>
      </c>
      <c r="Q350" s="9">
        <v>1</v>
      </c>
      <c r="R350" s="10">
        <f t="shared" si="11"/>
        <v>0</v>
      </c>
    </row>
    <row r="351" spans="1:18" x14ac:dyDescent="0.3">
      <c r="A351" s="9">
        <v>24121</v>
      </c>
      <c r="B351" s="9" t="s">
        <v>40</v>
      </c>
      <c r="C351" s="9" t="s">
        <v>38</v>
      </c>
      <c r="D351" s="10">
        <v>30000</v>
      </c>
      <c r="E351" s="9" t="str" cm="1">
        <f t="array" ref="E351">_xlfn.IFS(D351&lt;= 60000, "Low Income",
D351&lt;=120000,"Medium Income",
D351&gt; 120000,"High Income"
)</f>
        <v>Low Income</v>
      </c>
      <c r="F351" s="9">
        <v>0</v>
      </c>
      <c r="G351" s="9" t="s">
        <v>21</v>
      </c>
      <c r="H351" s="9" t="s">
        <v>22</v>
      </c>
      <c r="I351" s="9" t="s">
        <v>20</v>
      </c>
      <c r="J351" s="9">
        <v>1</v>
      </c>
      <c r="K351" s="9" t="s">
        <v>18</v>
      </c>
      <c r="L351" s="9" t="s">
        <v>19</v>
      </c>
      <c r="M351" s="9">
        <v>29</v>
      </c>
      <c r="N351" s="9" t="str" cm="1">
        <f t="array" ref="N351">_xlfn.IFS(
M351&lt;=12,"Children",
M351&lt;=19,"Teens",
M351&lt;=29,"Young Adults",
M351&lt;=39,"Adults",
M351&lt;=59,"Middle-Aged",
M351&gt;=60,"Seniors"
)</f>
        <v>Young Adults</v>
      </c>
      <c r="O351" s="9" t="s">
        <v>17</v>
      </c>
      <c r="P351" s="9">
        <f t="shared" si="10"/>
        <v>1</v>
      </c>
      <c r="Q351" s="9">
        <v>1</v>
      </c>
      <c r="R351" s="10">
        <f t="shared" si="11"/>
        <v>30000</v>
      </c>
    </row>
    <row r="352" spans="1:18" x14ac:dyDescent="0.3">
      <c r="A352" s="9">
        <v>27878</v>
      </c>
      <c r="B352" s="9" t="s">
        <v>40</v>
      </c>
      <c r="C352" s="9" t="s">
        <v>39</v>
      </c>
      <c r="D352" s="10">
        <v>20000</v>
      </c>
      <c r="E352" s="9" t="str" cm="1">
        <f t="array" ref="E352">_xlfn.IFS(D352&lt;= 60000, "Low Income",
D352&lt;=120000,"Medium Income",
D352&gt; 120000,"High Income"
)</f>
        <v>Low Income</v>
      </c>
      <c r="F352" s="9">
        <v>0</v>
      </c>
      <c r="G352" s="9" t="s">
        <v>21</v>
      </c>
      <c r="H352" s="9" t="s">
        <v>28</v>
      </c>
      <c r="I352" s="9" t="s">
        <v>20</v>
      </c>
      <c r="J352" s="9">
        <v>0</v>
      </c>
      <c r="K352" s="9" t="s">
        <v>18</v>
      </c>
      <c r="L352" s="9" t="s">
        <v>27</v>
      </c>
      <c r="M352" s="9">
        <v>28</v>
      </c>
      <c r="N352" s="9" t="str" cm="1">
        <f t="array" ref="N352">_xlfn.IFS(
M352&lt;=12,"Children",
M352&lt;=19,"Teens",
M352&lt;=29,"Young Adults",
M352&lt;=39,"Adults",
M352&lt;=59,"Middle-Aged",
M352&gt;=60,"Seniors"
)</f>
        <v>Young Adults</v>
      </c>
      <c r="O352" s="9" t="s">
        <v>17</v>
      </c>
      <c r="P352" s="9">
        <f t="shared" si="10"/>
        <v>1</v>
      </c>
      <c r="Q352" s="9">
        <v>1</v>
      </c>
      <c r="R352" s="10">
        <f t="shared" si="11"/>
        <v>20000</v>
      </c>
    </row>
    <row r="353" spans="1:18" x14ac:dyDescent="0.3">
      <c r="A353" s="9">
        <v>13572</v>
      </c>
      <c r="B353" s="9" t="s">
        <v>40</v>
      </c>
      <c r="C353" s="9" t="s">
        <v>39</v>
      </c>
      <c r="D353" s="10">
        <v>10000</v>
      </c>
      <c r="E353" s="9" t="str" cm="1">
        <f t="array" ref="E353">_xlfn.IFS(D353&lt;= 60000, "Low Income",
D353&lt;=120000,"Medium Income",
D353&gt; 120000,"High Income"
)</f>
        <v>Low Income</v>
      </c>
      <c r="F353" s="9">
        <v>3</v>
      </c>
      <c r="G353" s="9" t="s">
        <v>30</v>
      </c>
      <c r="H353" s="9" t="s">
        <v>28</v>
      </c>
      <c r="I353" s="9" t="s">
        <v>17</v>
      </c>
      <c r="J353" s="9">
        <v>0</v>
      </c>
      <c r="K353" s="9" t="s">
        <v>18</v>
      </c>
      <c r="L353" s="9" t="s">
        <v>19</v>
      </c>
      <c r="M353" s="9">
        <v>37</v>
      </c>
      <c r="N353" s="9" t="str" cm="1">
        <f t="array" ref="N353">_xlfn.IFS(
M353&lt;=12,"Children",
M353&lt;=19,"Teens",
M353&lt;=29,"Young Adults",
M353&lt;=39,"Adults",
M353&lt;=59,"Middle-Aged",
M353&gt;=60,"Seniors"
)</f>
        <v>Adults</v>
      </c>
      <c r="O353" s="9" t="s">
        <v>17</v>
      </c>
      <c r="P353" s="9">
        <f t="shared" si="10"/>
        <v>1</v>
      </c>
      <c r="Q353" s="9">
        <v>1</v>
      </c>
      <c r="R353" s="10">
        <f t="shared" si="11"/>
        <v>10000</v>
      </c>
    </row>
    <row r="354" spans="1:18" x14ac:dyDescent="0.3">
      <c r="A354" s="9">
        <v>27941</v>
      </c>
      <c r="B354" s="9" t="s">
        <v>37</v>
      </c>
      <c r="C354" s="9" t="s">
        <v>38</v>
      </c>
      <c r="D354" s="10">
        <v>80000</v>
      </c>
      <c r="E354" s="9" t="str" cm="1">
        <f t="array" ref="E354">_xlfn.IFS(D354&lt;= 60000, "Low Income",
D354&lt;=120000,"Medium Income",
D354&gt; 120000,"High Income"
)</f>
        <v>Medium Income</v>
      </c>
      <c r="F354" s="9">
        <v>4</v>
      </c>
      <c r="G354" s="9" t="s">
        <v>21</v>
      </c>
      <c r="H354" s="9" t="s">
        <v>23</v>
      </c>
      <c r="I354" s="9" t="s">
        <v>17</v>
      </c>
      <c r="J354" s="9">
        <v>2</v>
      </c>
      <c r="K354" s="9" t="s">
        <v>24</v>
      </c>
      <c r="L354" s="9" t="s">
        <v>19</v>
      </c>
      <c r="M354" s="9">
        <v>53</v>
      </c>
      <c r="N354" s="9" t="str" cm="1">
        <f t="array" ref="N354">_xlfn.IFS(
M354&lt;=12,"Children",
M354&lt;=19,"Teens",
M354&lt;=29,"Young Adults",
M354&lt;=39,"Adults",
M354&lt;=59,"Middle-Aged",
M354&gt;=60,"Seniors"
)</f>
        <v>Middle-Aged</v>
      </c>
      <c r="O354" s="9" t="s">
        <v>20</v>
      </c>
      <c r="P354" s="9">
        <f t="shared" si="10"/>
        <v>0</v>
      </c>
      <c r="Q354" s="9">
        <v>1</v>
      </c>
      <c r="R354" s="10">
        <f t="shared" si="11"/>
        <v>0</v>
      </c>
    </row>
    <row r="355" spans="1:18" x14ac:dyDescent="0.3">
      <c r="A355" s="9">
        <v>26354</v>
      </c>
      <c r="B355" s="9" t="s">
        <v>40</v>
      </c>
      <c r="C355" s="9" t="s">
        <v>39</v>
      </c>
      <c r="D355" s="10">
        <v>40000</v>
      </c>
      <c r="E355" s="9" t="str" cm="1">
        <f t="array" ref="E355">_xlfn.IFS(D355&lt;= 60000, "Low Income",
D355&lt;=120000,"Medium Income",
D355&gt; 120000,"High Income"
)</f>
        <v>Low Income</v>
      </c>
      <c r="F355" s="9">
        <v>0</v>
      </c>
      <c r="G355" s="9" t="s">
        <v>34</v>
      </c>
      <c r="H355" s="9" t="s">
        <v>22</v>
      </c>
      <c r="I355" s="9" t="s">
        <v>20</v>
      </c>
      <c r="J355" s="9">
        <v>0</v>
      </c>
      <c r="K355" s="9" t="s">
        <v>18</v>
      </c>
      <c r="L355" s="9" t="s">
        <v>19</v>
      </c>
      <c r="M355" s="9">
        <v>38</v>
      </c>
      <c r="N355" s="9" t="str" cm="1">
        <f t="array" ref="N355">_xlfn.IFS(
M355&lt;=12,"Children",
M355&lt;=19,"Teens",
M355&lt;=29,"Young Adults",
M355&lt;=39,"Adults",
M355&lt;=59,"Middle-Aged",
M355&gt;=60,"Seniors"
)</f>
        <v>Adults</v>
      </c>
      <c r="O355" s="9" t="s">
        <v>17</v>
      </c>
      <c r="P355" s="9">
        <f t="shared" si="10"/>
        <v>1</v>
      </c>
      <c r="Q355" s="9">
        <v>1</v>
      </c>
      <c r="R355" s="10">
        <f t="shared" si="11"/>
        <v>40000</v>
      </c>
    </row>
    <row r="356" spans="1:18" x14ac:dyDescent="0.3">
      <c r="A356" s="9">
        <v>14785</v>
      </c>
      <c r="B356" s="9" t="s">
        <v>40</v>
      </c>
      <c r="C356" s="9" t="s">
        <v>39</v>
      </c>
      <c r="D356" s="10">
        <v>30000</v>
      </c>
      <c r="E356" s="9" t="str" cm="1">
        <f t="array" ref="E356">_xlfn.IFS(D356&lt;= 60000, "Low Income",
D356&lt;=120000,"Medium Income",
D356&gt; 120000,"High Income"
)</f>
        <v>Low Income</v>
      </c>
      <c r="F356" s="9">
        <v>1</v>
      </c>
      <c r="G356" s="9" t="s">
        <v>15</v>
      </c>
      <c r="H356" s="9" t="s">
        <v>22</v>
      </c>
      <c r="I356" s="9" t="s">
        <v>20</v>
      </c>
      <c r="J356" s="9">
        <v>1</v>
      </c>
      <c r="K356" s="9" t="s">
        <v>29</v>
      </c>
      <c r="L356" s="9" t="s">
        <v>19</v>
      </c>
      <c r="M356" s="9">
        <v>39</v>
      </c>
      <c r="N356" s="9" t="str" cm="1">
        <f t="array" ref="N356">_xlfn.IFS(
M356&lt;=12,"Children",
M356&lt;=19,"Teens",
M356&lt;=29,"Young Adults",
M356&lt;=39,"Adults",
M356&lt;=59,"Middle-Aged",
M356&gt;=60,"Seniors"
)</f>
        <v>Adults</v>
      </c>
      <c r="O356" s="9" t="s">
        <v>20</v>
      </c>
      <c r="P356" s="9">
        <f t="shared" si="10"/>
        <v>0</v>
      </c>
      <c r="Q356" s="9">
        <v>1</v>
      </c>
      <c r="R356" s="10">
        <f t="shared" si="11"/>
        <v>0</v>
      </c>
    </row>
    <row r="357" spans="1:18" x14ac:dyDescent="0.3">
      <c r="A357" s="9">
        <v>17238</v>
      </c>
      <c r="B357" s="9" t="s">
        <v>40</v>
      </c>
      <c r="C357" s="9" t="s">
        <v>39</v>
      </c>
      <c r="D357" s="10">
        <v>80000</v>
      </c>
      <c r="E357" s="9" t="str" cm="1">
        <f t="array" ref="E357">_xlfn.IFS(D357&lt;= 60000, "Low Income",
D357&lt;=120000,"Medium Income",
D357&gt; 120000,"High Income"
)</f>
        <v>Medium Income</v>
      </c>
      <c r="F357" s="9">
        <v>0</v>
      </c>
      <c r="G357" s="9" t="s">
        <v>15</v>
      </c>
      <c r="H357" s="9" t="s">
        <v>23</v>
      </c>
      <c r="I357" s="9" t="s">
        <v>17</v>
      </c>
      <c r="J357" s="9">
        <v>3</v>
      </c>
      <c r="K357" s="9" t="s">
        <v>41</v>
      </c>
      <c r="L357" s="9" t="s">
        <v>27</v>
      </c>
      <c r="M357" s="9">
        <v>32</v>
      </c>
      <c r="N357" s="9" t="str" cm="1">
        <f t="array" ref="N357">_xlfn.IFS(
M357&lt;=12,"Children",
M357&lt;=19,"Teens",
M357&lt;=29,"Young Adults",
M357&lt;=39,"Adults",
M357&lt;=59,"Middle-Aged",
M357&gt;=60,"Seniors"
)</f>
        <v>Adults</v>
      </c>
      <c r="O357" s="9" t="s">
        <v>20</v>
      </c>
      <c r="P357" s="9">
        <f t="shared" si="10"/>
        <v>0</v>
      </c>
      <c r="Q357" s="9">
        <v>1</v>
      </c>
      <c r="R357" s="10">
        <f t="shared" si="11"/>
        <v>0</v>
      </c>
    </row>
    <row r="358" spans="1:18" x14ac:dyDescent="0.3">
      <c r="A358" s="9">
        <v>23608</v>
      </c>
      <c r="B358" s="9" t="s">
        <v>37</v>
      </c>
      <c r="C358" s="9" t="s">
        <v>38</v>
      </c>
      <c r="D358" s="10">
        <v>150000</v>
      </c>
      <c r="E358" s="9" t="str" cm="1">
        <f t="array" ref="E358">_xlfn.IFS(D358&lt;= 60000, "Low Income",
D358&lt;=120000,"Medium Income",
D358&gt; 120000,"High Income"
)</f>
        <v>High Income</v>
      </c>
      <c r="F358" s="9">
        <v>3</v>
      </c>
      <c r="G358" s="9" t="s">
        <v>30</v>
      </c>
      <c r="H358" s="9" t="s">
        <v>23</v>
      </c>
      <c r="I358" s="9" t="s">
        <v>17</v>
      </c>
      <c r="J358" s="9">
        <v>3</v>
      </c>
      <c r="K358" s="9" t="s">
        <v>18</v>
      </c>
      <c r="L358" s="9" t="s">
        <v>19</v>
      </c>
      <c r="M358" s="9">
        <v>51</v>
      </c>
      <c r="N358" s="9" t="str" cm="1">
        <f t="array" ref="N358">_xlfn.IFS(
M358&lt;=12,"Children",
M358&lt;=19,"Teens",
M358&lt;=29,"Young Adults",
M358&lt;=39,"Adults",
M358&lt;=59,"Middle-Aged",
M358&gt;=60,"Seniors"
)</f>
        <v>Middle-Aged</v>
      </c>
      <c r="O358" s="9" t="s">
        <v>17</v>
      </c>
      <c r="P358" s="9">
        <f t="shared" si="10"/>
        <v>1</v>
      </c>
      <c r="Q358" s="9">
        <v>1</v>
      </c>
      <c r="R358" s="10">
        <f t="shared" si="11"/>
        <v>150000</v>
      </c>
    </row>
    <row r="359" spans="1:18" x14ac:dyDescent="0.3">
      <c r="A359" s="9">
        <v>22538</v>
      </c>
      <c r="B359" s="9" t="s">
        <v>40</v>
      </c>
      <c r="C359" s="9" t="s">
        <v>38</v>
      </c>
      <c r="D359" s="10">
        <v>10000</v>
      </c>
      <c r="E359" s="9" t="str" cm="1">
        <f t="array" ref="E359">_xlfn.IFS(D359&lt;= 60000, "Low Income",
D359&lt;=120000,"Medium Income",
D359&gt; 120000,"High Income"
)</f>
        <v>Low Income</v>
      </c>
      <c r="F359" s="9">
        <v>0</v>
      </c>
      <c r="G359" s="9" t="s">
        <v>32</v>
      </c>
      <c r="H359" s="9" t="s">
        <v>28</v>
      </c>
      <c r="I359" s="9" t="s">
        <v>17</v>
      </c>
      <c r="J359" s="9">
        <v>2</v>
      </c>
      <c r="K359" s="9" t="s">
        <v>29</v>
      </c>
      <c r="L359" s="9" t="s">
        <v>19</v>
      </c>
      <c r="M359" s="9">
        <v>33</v>
      </c>
      <c r="N359" s="9" t="str" cm="1">
        <f t="array" ref="N359">_xlfn.IFS(
M359&lt;=12,"Children",
M359&lt;=19,"Teens",
M359&lt;=29,"Young Adults",
M359&lt;=39,"Adults",
M359&lt;=59,"Middle-Aged",
M359&gt;=60,"Seniors"
)</f>
        <v>Adults</v>
      </c>
      <c r="O359" s="9" t="s">
        <v>20</v>
      </c>
      <c r="P359" s="9">
        <f t="shared" si="10"/>
        <v>0</v>
      </c>
      <c r="Q359" s="9">
        <v>1</v>
      </c>
      <c r="R359" s="10">
        <f t="shared" si="11"/>
        <v>0</v>
      </c>
    </row>
    <row r="360" spans="1:18" x14ac:dyDescent="0.3">
      <c r="A360" s="9">
        <v>12332</v>
      </c>
      <c r="B360" s="9" t="s">
        <v>37</v>
      </c>
      <c r="C360" s="9" t="s">
        <v>39</v>
      </c>
      <c r="D360" s="10">
        <v>90000</v>
      </c>
      <c r="E360" s="9" t="str" cm="1">
        <f t="array" ref="E360">_xlfn.IFS(D360&lt;= 60000, "Low Income",
D360&lt;=120000,"Medium Income",
D360&gt; 120000,"High Income"
)</f>
        <v>Medium Income</v>
      </c>
      <c r="F360" s="9">
        <v>4</v>
      </c>
      <c r="G360" s="9" t="s">
        <v>30</v>
      </c>
      <c r="H360" s="9" t="s">
        <v>31</v>
      </c>
      <c r="I360" s="9" t="s">
        <v>17</v>
      </c>
      <c r="J360" s="9">
        <v>3</v>
      </c>
      <c r="K360" s="9" t="s">
        <v>26</v>
      </c>
      <c r="L360" s="9" t="s">
        <v>19</v>
      </c>
      <c r="M360" s="9">
        <v>58</v>
      </c>
      <c r="N360" s="9" t="str" cm="1">
        <f t="array" ref="N360">_xlfn.IFS(
M360&lt;=12,"Children",
M360&lt;=19,"Teens",
M360&lt;=29,"Young Adults",
M360&lt;=39,"Adults",
M360&lt;=59,"Middle-Aged",
M360&gt;=60,"Seniors"
)</f>
        <v>Middle-Aged</v>
      </c>
      <c r="O360" s="9" t="s">
        <v>17</v>
      </c>
      <c r="P360" s="9">
        <f t="shared" si="10"/>
        <v>1</v>
      </c>
      <c r="Q360" s="9">
        <v>1</v>
      </c>
      <c r="R360" s="10">
        <f t="shared" si="11"/>
        <v>90000</v>
      </c>
    </row>
    <row r="361" spans="1:18" x14ac:dyDescent="0.3">
      <c r="A361" s="9">
        <v>17230</v>
      </c>
      <c r="B361" s="9" t="s">
        <v>37</v>
      </c>
      <c r="C361" s="9" t="s">
        <v>39</v>
      </c>
      <c r="D361" s="10">
        <v>80000</v>
      </c>
      <c r="E361" s="9" t="str" cm="1">
        <f t="array" ref="E361">_xlfn.IFS(D361&lt;= 60000, "Low Income",
D361&lt;=120000,"Medium Income",
D361&gt; 120000,"High Income"
)</f>
        <v>Medium Income</v>
      </c>
      <c r="F361" s="9">
        <v>0</v>
      </c>
      <c r="G361" s="9" t="s">
        <v>15</v>
      </c>
      <c r="H361" s="9" t="s">
        <v>23</v>
      </c>
      <c r="I361" s="9" t="s">
        <v>17</v>
      </c>
      <c r="J361" s="9">
        <v>3</v>
      </c>
      <c r="K361" s="9" t="s">
        <v>41</v>
      </c>
      <c r="L361" s="9" t="s">
        <v>27</v>
      </c>
      <c r="M361" s="9">
        <v>30</v>
      </c>
      <c r="N361" s="9" t="str" cm="1">
        <f t="array" ref="N361">_xlfn.IFS(
M361&lt;=12,"Children",
M361&lt;=19,"Teens",
M361&lt;=29,"Young Adults",
M361&lt;=39,"Adults",
M361&lt;=59,"Middle-Aged",
M361&gt;=60,"Seniors"
)</f>
        <v>Adults</v>
      </c>
      <c r="O361" s="9" t="s">
        <v>20</v>
      </c>
      <c r="P361" s="9">
        <f t="shared" si="10"/>
        <v>0</v>
      </c>
      <c r="Q361" s="9">
        <v>1</v>
      </c>
      <c r="R361" s="10">
        <f t="shared" si="11"/>
        <v>0</v>
      </c>
    </row>
    <row r="362" spans="1:18" x14ac:dyDescent="0.3">
      <c r="A362" s="9">
        <v>13082</v>
      </c>
      <c r="B362" s="9" t="s">
        <v>40</v>
      </c>
      <c r="C362" s="9" t="s">
        <v>39</v>
      </c>
      <c r="D362" s="10">
        <v>130000</v>
      </c>
      <c r="E362" s="9" t="str" cm="1">
        <f t="array" ref="E362">_xlfn.IFS(D362&lt;= 60000, "Low Income",
D362&lt;=120000,"Medium Income",
D362&gt; 120000,"High Income"
)</f>
        <v>High Income</v>
      </c>
      <c r="F362" s="9">
        <v>0</v>
      </c>
      <c r="G362" s="9" t="s">
        <v>34</v>
      </c>
      <c r="H362" s="9" t="s">
        <v>31</v>
      </c>
      <c r="I362" s="9" t="s">
        <v>17</v>
      </c>
      <c r="J362" s="9">
        <v>0</v>
      </c>
      <c r="K362" s="9" t="s">
        <v>24</v>
      </c>
      <c r="L362" s="9" t="s">
        <v>27</v>
      </c>
      <c r="M362" s="9">
        <v>48</v>
      </c>
      <c r="N362" s="9" t="str" cm="1">
        <f t="array" ref="N362">_xlfn.IFS(
M362&lt;=12,"Children",
M362&lt;=19,"Teens",
M362&lt;=29,"Young Adults",
M362&lt;=39,"Adults",
M362&lt;=59,"Middle-Aged",
M362&gt;=60,"Seniors"
)</f>
        <v>Middle-Aged</v>
      </c>
      <c r="O362" s="9" t="s">
        <v>17</v>
      </c>
      <c r="P362" s="9">
        <f t="shared" si="10"/>
        <v>1</v>
      </c>
      <c r="Q362" s="9">
        <v>1</v>
      </c>
      <c r="R362" s="10">
        <f t="shared" si="11"/>
        <v>130000</v>
      </c>
    </row>
    <row r="363" spans="1:18" x14ac:dyDescent="0.3">
      <c r="A363" s="9">
        <v>22518</v>
      </c>
      <c r="B363" s="9" t="s">
        <v>40</v>
      </c>
      <c r="C363" s="9" t="s">
        <v>38</v>
      </c>
      <c r="D363" s="10">
        <v>30000</v>
      </c>
      <c r="E363" s="9" t="str" cm="1">
        <f t="array" ref="E363">_xlfn.IFS(D363&lt;= 60000, "Low Income",
D363&lt;=120000,"Medium Income",
D363&gt; 120000,"High Income"
)</f>
        <v>Low Income</v>
      </c>
      <c r="F363" s="9">
        <v>3</v>
      </c>
      <c r="G363" s="9" t="s">
        <v>21</v>
      </c>
      <c r="H363" s="9" t="s">
        <v>22</v>
      </c>
      <c r="I363" s="9" t="s">
        <v>20</v>
      </c>
      <c r="J363" s="9">
        <v>2</v>
      </c>
      <c r="K363" s="9" t="s">
        <v>18</v>
      </c>
      <c r="L363" s="9" t="s">
        <v>19</v>
      </c>
      <c r="M363" s="9">
        <v>27</v>
      </c>
      <c r="N363" s="9" t="str" cm="1">
        <f t="array" ref="N363">_xlfn.IFS(
M363&lt;=12,"Children",
M363&lt;=19,"Teens",
M363&lt;=29,"Young Adults",
M363&lt;=39,"Adults",
M363&lt;=59,"Middle-Aged",
M363&gt;=60,"Seniors"
)</f>
        <v>Young Adults</v>
      </c>
      <c r="O363" s="9" t="s">
        <v>17</v>
      </c>
      <c r="P363" s="9">
        <f t="shared" si="10"/>
        <v>1</v>
      </c>
      <c r="Q363" s="9">
        <v>1</v>
      </c>
      <c r="R363" s="10">
        <f t="shared" si="11"/>
        <v>30000</v>
      </c>
    </row>
    <row r="364" spans="1:18" x14ac:dyDescent="0.3">
      <c r="A364" s="9">
        <v>13687</v>
      </c>
      <c r="B364" s="9" t="s">
        <v>37</v>
      </c>
      <c r="C364" s="9" t="s">
        <v>39</v>
      </c>
      <c r="D364" s="10">
        <v>40000</v>
      </c>
      <c r="E364" s="9" t="str" cm="1">
        <f t="array" ref="E364">_xlfn.IFS(D364&lt;= 60000, "Low Income",
D364&lt;=120000,"Medium Income",
D364&gt; 120000,"High Income"
)</f>
        <v>Low Income</v>
      </c>
      <c r="F364" s="9">
        <v>1</v>
      </c>
      <c r="G364" s="9" t="s">
        <v>15</v>
      </c>
      <c r="H364" s="9" t="s">
        <v>16</v>
      </c>
      <c r="I364" s="9" t="s">
        <v>17</v>
      </c>
      <c r="J364" s="9">
        <v>1</v>
      </c>
      <c r="K364" s="9" t="s">
        <v>18</v>
      </c>
      <c r="L364" s="9" t="s">
        <v>19</v>
      </c>
      <c r="M364" s="9">
        <v>33</v>
      </c>
      <c r="N364" s="9" t="str" cm="1">
        <f t="array" ref="N364">_xlfn.IFS(
M364&lt;=12,"Children",
M364&lt;=19,"Teens",
M364&lt;=29,"Young Adults",
M364&lt;=39,"Adults",
M364&lt;=59,"Middle-Aged",
M364&gt;=60,"Seniors"
)</f>
        <v>Adults</v>
      </c>
      <c r="O364" s="9" t="s">
        <v>17</v>
      </c>
      <c r="P364" s="9">
        <f t="shared" si="10"/>
        <v>1</v>
      </c>
      <c r="Q364" s="9">
        <v>1</v>
      </c>
      <c r="R364" s="10">
        <f t="shared" si="11"/>
        <v>40000</v>
      </c>
    </row>
    <row r="365" spans="1:18" x14ac:dyDescent="0.3">
      <c r="A365" s="9">
        <v>23571</v>
      </c>
      <c r="B365" s="9" t="s">
        <v>37</v>
      </c>
      <c r="C365" s="9" t="s">
        <v>38</v>
      </c>
      <c r="D365" s="10">
        <v>40000</v>
      </c>
      <c r="E365" s="9" t="str" cm="1">
        <f t="array" ref="E365">_xlfn.IFS(D365&lt;= 60000, "Low Income",
D365&lt;=120000,"Medium Income",
D365&gt; 120000,"High Income"
)</f>
        <v>Low Income</v>
      </c>
      <c r="F365" s="9">
        <v>2</v>
      </c>
      <c r="G365" s="9" t="s">
        <v>15</v>
      </c>
      <c r="H365" s="9" t="s">
        <v>31</v>
      </c>
      <c r="I365" s="9" t="s">
        <v>17</v>
      </c>
      <c r="J365" s="9">
        <v>2</v>
      </c>
      <c r="K365" s="9" t="s">
        <v>18</v>
      </c>
      <c r="L365" s="9" t="s">
        <v>27</v>
      </c>
      <c r="M365" s="9">
        <v>66</v>
      </c>
      <c r="N365" s="9" t="str" cm="1">
        <f t="array" ref="N365">_xlfn.IFS(
M365&lt;=12,"Children",
M365&lt;=19,"Teens",
M365&lt;=29,"Young Adults",
M365&lt;=39,"Adults",
M365&lt;=59,"Middle-Aged",
M365&gt;=60,"Seniors"
)</f>
        <v>Seniors</v>
      </c>
      <c r="O365" s="9" t="s">
        <v>17</v>
      </c>
      <c r="P365" s="9">
        <f t="shared" si="10"/>
        <v>1</v>
      </c>
      <c r="Q365" s="9">
        <v>1</v>
      </c>
      <c r="R365" s="10">
        <f t="shared" si="11"/>
        <v>40000</v>
      </c>
    </row>
    <row r="366" spans="1:18" x14ac:dyDescent="0.3">
      <c r="A366" s="9">
        <v>19305</v>
      </c>
      <c r="B366" s="9" t="s">
        <v>40</v>
      </c>
      <c r="C366" s="9" t="s">
        <v>38</v>
      </c>
      <c r="D366" s="10">
        <v>10000</v>
      </c>
      <c r="E366" s="9" t="str" cm="1">
        <f t="array" ref="E366">_xlfn.IFS(D366&lt;= 60000, "Low Income",
D366&lt;=120000,"Medium Income",
D366&gt; 120000,"High Income"
)</f>
        <v>Low Income</v>
      </c>
      <c r="F366" s="9">
        <v>2</v>
      </c>
      <c r="G366" s="9" t="s">
        <v>30</v>
      </c>
      <c r="H366" s="9" t="s">
        <v>28</v>
      </c>
      <c r="I366" s="9" t="s">
        <v>17</v>
      </c>
      <c r="J366" s="9">
        <v>1</v>
      </c>
      <c r="K366" s="9" t="s">
        <v>18</v>
      </c>
      <c r="L366" s="9" t="s">
        <v>19</v>
      </c>
      <c r="M366" s="9">
        <v>38</v>
      </c>
      <c r="N366" s="9" t="str" cm="1">
        <f t="array" ref="N366">_xlfn.IFS(
M366&lt;=12,"Children",
M366&lt;=19,"Teens",
M366&lt;=29,"Young Adults",
M366&lt;=39,"Adults",
M366&lt;=59,"Middle-Aged",
M366&gt;=60,"Seniors"
)</f>
        <v>Adults</v>
      </c>
      <c r="O366" s="9" t="s">
        <v>17</v>
      </c>
      <c r="P366" s="9">
        <f t="shared" si="10"/>
        <v>1</v>
      </c>
      <c r="Q366" s="9">
        <v>1</v>
      </c>
      <c r="R366" s="10">
        <f t="shared" si="11"/>
        <v>10000</v>
      </c>
    </row>
    <row r="367" spans="1:18" x14ac:dyDescent="0.3">
      <c r="A367" s="9">
        <v>22636</v>
      </c>
      <c r="B367" s="9" t="s">
        <v>40</v>
      </c>
      <c r="C367" s="9" t="s">
        <v>38</v>
      </c>
      <c r="D367" s="10">
        <v>40000</v>
      </c>
      <c r="E367" s="9" t="str" cm="1">
        <f t="array" ref="E367">_xlfn.IFS(D367&lt;= 60000, "Low Income",
D367&lt;=120000,"Medium Income",
D367&gt; 120000,"High Income"
)</f>
        <v>Low Income</v>
      </c>
      <c r="F367" s="9">
        <v>0</v>
      </c>
      <c r="G367" s="9" t="s">
        <v>15</v>
      </c>
      <c r="H367" s="9" t="s">
        <v>22</v>
      </c>
      <c r="I367" s="9" t="s">
        <v>20</v>
      </c>
      <c r="J367" s="9">
        <v>0</v>
      </c>
      <c r="K367" s="9" t="s">
        <v>18</v>
      </c>
      <c r="L367" s="9" t="s">
        <v>19</v>
      </c>
      <c r="M367" s="9">
        <v>38</v>
      </c>
      <c r="N367" s="9" t="str" cm="1">
        <f t="array" ref="N367">_xlfn.IFS(
M367&lt;=12,"Children",
M367&lt;=19,"Teens",
M367&lt;=29,"Young Adults",
M367&lt;=39,"Adults",
M367&lt;=59,"Middle-Aged",
M367&gt;=60,"Seniors"
)</f>
        <v>Adults</v>
      </c>
      <c r="O367" s="9" t="s">
        <v>17</v>
      </c>
      <c r="P367" s="9">
        <f t="shared" si="10"/>
        <v>1</v>
      </c>
      <c r="Q367" s="9">
        <v>1</v>
      </c>
      <c r="R367" s="10">
        <f t="shared" si="11"/>
        <v>40000</v>
      </c>
    </row>
    <row r="368" spans="1:18" x14ac:dyDescent="0.3">
      <c r="A368" s="9">
        <v>17310</v>
      </c>
      <c r="B368" s="9" t="s">
        <v>37</v>
      </c>
      <c r="C368" s="9" t="s">
        <v>39</v>
      </c>
      <c r="D368" s="10">
        <v>60000</v>
      </c>
      <c r="E368" s="9" t="str" cm="1">
        <f t="array" ref="E368">_xlfn.IFS(D368&lt;= 60000, "Low Income",
D368&lt;=120000,"Medium Income",
D368&gt; 120000,"High Income"
)</f>
        <v>Low Income</v>
      </c>
      <c r="F368" s="9">
        <v>1</v>
      </c>
      <c r="G368" s="9" t="s">
        <v>21</v>
      </c>
      <c r="H368" s="9" t="s">
        <v>16</v>
      </c>
      <c r="I368" s="9" t="s">
        <v>17</v>
      </c>
      <c r="J368" s="9">
        <v>1</v>
      </c>
      <c r="K368" s="9" t="s">
        <v>18</v>
      </c>
      <c r="L368" s="9" t="s">
        <v>27</v>
      </c>
      <c r="M368" s="9">
        <v>45</v>
      </c>
      <c r="N368" s="9" t="str" cm="1">
        <f t="array" ref="N368">_xlfn.IFS(
M368&lt;=12,"Children",
M368&lt;=19,"Teens",
M368&lt;=29,"Young Adults",
M368&lt;=39,"Adults",
M368&lt;=59,"Middle-Aged",
M368&gt;=60,"Seniors"
)</f>
        <v>Middle-Aged</v>
      </c>
      <c r="O368" s="9" t="s">
        <v>17</v>
      </c>
      <c r="P368" s="9">
        <f t="shared" si="10"/>
        <v>1</v>
      </c>
      <c r="Q368" s="9">
        <v>1</v>
      </c>
      <c r="R368" s="10">
        <f t="shared" si="11"/>
        <v>60000</v>
      </c>
    </row>
    <row r="369" spans="1:18" x14ac:dyDescent="0.3">
      <c r="A369" s="9">
        <v>12133</v>
      </c>
      <c r="B369" s="9" t="s">
        <v>37</v>
      </c>
      <c r="C369" s="9" t="s">
        <v>38</v>
      </c>
      <c r="D369" s="10">
        <v>130000</v>
      </c>
      <c r="E369" s="9" t="str" cm="1">
        <f t="array" ref="E369">_xlfn.IFS(D369&lt;= 60000, "Low Income",
D369&lt;=120000,"Medium Income",
D369&gt; 120000,"High Income"
)</f>
        <v>High Income</v>
      </c>
      <c r="F369" s="9">
        <v>3</v>
      </c>
      <c r="G369" s="9" t="s">
        <v>21</v>
      </c>
      <c r="H369" s="9" t="s">
        <v>23</v>
      </c>
      <c r="I369" s="9" t="s">
        <v>17</v>
      </c>
      <c r="J369" s="9">
        <v>3</v>
      </c>
      <c r="K369" s="9" t="s">
        <v>26</v>
      </c>
      <c r="L369" s="9" t="s">
        <v>19</v>
      </c>
      <c r="M369" s="9">
        <v>50</v>
      </c>
      <c r="N369" s="9" t="str" cm="1">
        <f t="array" ref="N369">_xlfn.IFS(
M369&lt;=12,"Children",
M369&lt;=19,"Teens",
M369&lt;=29,"Young Adults",
M369&lt;=39,"Adults",
M369&lt;=59,"Middle-Aged",
M369&gt;=60,"Seniors"
)</f>
        <v>Middle-Aged</v>
      </c>
      <c r="O369" s="9" t="s">
        <v>17</v>
      </c>
      <c r="P369" s="9">
        <f t="shared" si="10"/>
        <v>1</v>
      </c>
      <c r="Q369" s="9">
        <v>1</v>
      </c>
      <c r="R369" s="10">
        <f t="shared" si="11"/>
        <v>130000</v>
      </c>
    </row>
    <row r="370" spans="1:18" x14ac:dyDescent="0.3">
      <c r="A370" s="9">
        <v>25918</v>
      </c>
      <c r="B370" s="9" t="s">
        <v>40</v>
      </c>
      <c r="C370" s="9" t="s">
        <v>38</v>
      </c>
      <c r="D370" s="10">
        <v>30000</v>
      </c>
      <c r="E370" s="9" t="str" cm="1">
        <f t="array" ref="E370">_xlfn.IFS(D370&lt;= 60000, "Low Income",
D370&lt;=120000,"Medium Income",
D370&gt; 120000,"High Income"
)</f>
        <v>Low Income</v>
      </c>
      <c r="F370" s="9">
        <v>2</v>
      </c>
      <c r="G370" s="9" t="s">
        <v>21</v>
      </c>
      <c r="H370" s="9" t="s">
        <v>22</v>
      </c>
      <c r="I370" s="9" t="s">
        <v>20</v>
      </c>
      <c r="J370" s="9">
        <v>2</v>
      </c>
      <c r="K370" s="9" t="s">
        <v>26</v>
      </c>
      <c r="L370" s="9" t="s">
        <v>27</v>
      </c>
      <c r="M370" s="9">
        <v>60</v>
      </c>
      <c r="N370" s="9" t="str" cm="1">
        <f t="array" ref="N370">_xlfn.IFS(
M370&lt;=12,"Children",
M370&lt;=19,"Teens",
M370&lt;=29,"Young Adults",
M370&lt;=39,"Adults",
M370&lt;=59,"Middle-Aged",
M370&gt;=60,"Seniors"
)</f>
        <v>Seniors</v>
      </c>
      <c r="O370" s="9" t="s">
        <v>17</v>
      </c>
      <c r="P370" s="9">
        <f t="shared" si="10"/>
        <v>1</v>
      </c>
      <c r="Q370" s="9">
        <v>1</v>
      </c>
      <c r="R370" s="10">
        <f t="shared" si="11"/>
        <v>30000</v>
      </c>
    </row>
    <row r="371" spans="1:18" x14ac:dyDescent="0.3">
      <c r="A371" s="9">
        <v>25752</v>
      </c>
      <c r="B371" s="9" t="s">
        <v>40</v>
      </c>
      <c r="C371" s="9" t="s">
        <v>38</v>
      </c>
      <c r="D371" s="10">
        <v>20000</v>
      </c>
      <c r="E371" s="9" t="str" cm="1">
        <f t="array" ref="E371">_xlfn.IFS(D371&lt;= 60000, "Low Income",
D371&lt;=120000,"Medium Income",
D371&gt; 120000,"High Income"
)</f>
        <v>Low Income</v>
      </c>
      <c r="F371" s="9">
        <v>2</v>
      </c>
      <c r="G371" s="9" t="s">
        <v>21</v>
      </c>
      <c r="H371" s="9" t="s">
        <v>28</v>
      </c>
      <c r="I371" s="9" t="s">
        <v>20</v>
      </c>
      <c r="J371" s="9">
        <v>1</v>
      </c>
      <c r="K371" s="9" t="s">
        <v>18</v>
      </c>
      <c r="L371" s="9" t="s">
        <v>19</v>
      </c>
      <c r="M371" s="9">
        <v>53</v>
      </c>
      <c r="N371" s="9" t="str" cm="1">
        <f t="array" ref="N371">_xlfn.IFS(
M371&lt;=12,"Children",
M371&lt;=19,"Teens",
M371&lt;=29,"Young Adults",
M371&lt;=39,"Adults",
M371&lt;=59,"Middle-Aged",
M371&gt;=60,"Seniors"
)</f>
        <v>Middle-Aged</v>
      </c>
      <c r="O371" s="9" t="s">
        <v>17</v>
      </c>
      <c r="P371" s="9">
        <f t="shared" si="10"/>
        <v>1</v>
      </c>
      <c r="Q371" s="9">
        <v>1</v>
      </c>
      <c r="R371" s="10">
        <f t="shared" si="11"/>
        <v>20000</v>
      </c>
    </row>
    <row r="372" spans="1:18" x14ac:dyDescent="0.3">
      <c r="A372" s="9">
        <v>17324</v>
      </c>
      <c r="B372" s="9" t="s">
        <v>37</v>
      </c>
      <c r="C372" s="9" t="s">
        <v>38</v>
      </c>
      <c r="D372" s="10">
        <v>100000</v>
      </c>
      <c r="E372" s="9" t="str" cm="1">
        <f t="array" ref="E372">_xlfn.IFS(D372&lt;= 60000, "Low Income",
D372&lt;=120000,"Medium Income",
D372&gt; 120000,"High Income"
)</f>
        <v>Medium Income</v>
      </c>
      <c r="F372" s="9">
        <v>4</v>
      </c>
      <c r="G372" s="9" t="s">
        <v>15</v>
      </c>
      <c r="H372" s="9" t="s">
        <v>23</v>
      </c>
      <c r="I372" s="9" t="s">
        <v>17</v>
      </c>
      <c r="J372" s="9">
        <v>1</v>
      </c>
      <c r="K372" s="9" t="s">
        <v>41</v>
      </c>
      <c r="L372" s="9" t="s">
        <v>27</v>
      </c>
      <c r="M372" s="9">
        <v>46</v>
      </c>
      <c r="N372" s="9" t="str" cm="1">
        <f t="array" ref="N372">_xlfn.IFS(
M372&lt;=12,"Children",
M372&lt;=19,"Teens",
M372&lt;=29,"Young Adults",
M372&lt;=39,"Adults",
M372&lt;=59,"Middle-Aged",
M372&gt;=60,"Seniors"
)</f>
        <v>Middle-Aged</v>
      </c>
      <c r="O372" s="9" t="s">
        <v>20</v>
      </c>
      <c r="P372" s="9">
        <f t="shared" si="10"/>
        <v>0</v>
      </c>
      <c r="Q372" s="9">
        <v>1</v>
      </c>
      <c r="R372" s="10">
        <f t="shared" si="11"/>
        <v>0</v>
      </c>
    </row>
    <row r="373" spans="1:18" x14ac:dyDescent="0.3">
      <c r="A373" s="9">
        <v>22918</v>
      </c>
      <c r="B373" s="9" t="s">
        <v>40</v>
      </c>
      <c r="C373" s="9" t="s">
        <v>39</v>
      </c>
      <c r="D373" s="10">
        <v>80000</v>
      </c>
      <c r="E373" s="9" t="str" cm="1">
        <f t="array" ref="E373">_xlfn.IFS(D373&lt;= 60000, "Low Income",
D373&lt;=120000,"Medium Income",
D373&gt; 120000,"High Income"
)</f>
        <v>Medium Income</v>
      </c>
      <c r="F373" s="9">
        <v>5</v>
      </c>
      <c r="G373" s="9" t="s">
        <v>34</v>
      </c>
      <c r="H373" s="9" t="s">
        <v>31</v>
      </c>
      <c r="I373" s="9" t="s">
        <v>17</v>
      </c>
      <c r="J373" s="9">
        <v>3</v>
      </c>
      <c r="K373" s="9" t="s">
        <v>18</v>
      </c>
      <c r="L373" s="9" t="s">
        <v>27</v>
      </c>
      <c r="M373" s="9">
        <v>50</v>
      </c>
      <c r="N373" s="9" t="str" cm="1">
        <f t="array" ref="N373">_xlfn.IFS(
M373&lt;=12,"Children",
M373&lt;=19,"Teens",
M373&lt;=29,"Young Adults",
M373&lt;=39,"Adults",
M373&lt;=59,"Middle-Aged",
M373&gt;=60,"Seniors"
)</f>
        <v>Middle-Aged</v>
      </c>
      <c r="O373" s="9" t="s">
        <v>20</v>
      </c>
      <c r="P373" s="9">
        <f t="shared" si="10"/>
        <v>0</v>
      </c>
      <c r="Q373" s="9">
        <v>1</v>
      </c>
      <c r="R373" s="10">
        <f t="shared" si="11"/>
        <v>0</v>
      </c>
    </row>
    <row r="374" spans="1:18" x14ac:dyDescent="0.3">
      <c r="A374" s="9">
        <v>12510</v>
      </c>
      <c r="B374" s="9" t="s">
        <v>37</v>
      </c>
      <c r="C374" s="9" t="s">
        <v>39</v>
      </c>
      <c r="D374" s="10">
        <v>40000</v>
      </c>
      <c r="E374" s="9" t="str" cm="1">
        <f t="array" ref="E374">_xlfn.IFS(D374&lt;= 60000, "Low Income",
D374&lt;=120000,"Medium Income",
D374&gt; 120000,"High Income"
)</f>
        <v>Low Income</v>
      </c>
      <c r="F374" s="9">
        <v>1</v>
      </c>
      <c r="G374" s="9" t="s">
        <v>15</v>
      </c>
      <c r="H374" s="9" t="s">
        <v>16</v>
      </c>
      <c r="I374" s="9" t="s">
        <v>17</v>
      </c>
      <c r="J374" s="9">
        <v>1</v>
      </c>
      <c r="K374" s="9" t="s">
        <v>18</v>
      </c>
      <c r="L374" s="9" t="s">
        <v>19</v>
      </c>
      <c r="M374" s="9">
        <v>43</v>
      </c>
      <c r="N374" s="9" t="str" cm="1">
        <f t="array" ref="N374">_xlfn.IFS(
M374&lt;=12,"Children",
M374&lt;=19,"Teens",
M374&lt;=29,"Young Adults",
M374&lt;=39,"Adults",
M374&lt;=59,"Middle-Aged",
M374&gt;=60,"Seniors"
)</f>
        <v>Middle-Aged</v>
      </c>
      <c r="O374" s="9" t="s">
        <v>17</v>
      </c>
      <c r="P374" s="9">
        <f t="shared" si="10"/>
        <v>1</v>
      </c>
      <c r="Q374" s="9">
        <v>1</v>
      </c>
      <c r="R374" s="10">
        <f t="shared" si="11"/>
        <v>40000</v>
      </c>
    </row>
    <row r="375" spans="1:18" x14ac:dyDescent="0.3">
      <c r="A375" s="9">
        <v>25512</v>
      </c>
      <c r="B375" s="9" t="s">
        <v>40</v>
      </c>
      <c r="C375" s="9" t="s">
        <v>39</v>
      </c>
      <c r="D375" s="10">
        <v>20000</v>
      </c>
      <c r="E375" s="9" t="str" cm="1">
        <f t="array" ref="E375">_xlfn.IFS(D375&lt;= 60000, "Low Income",
D375&lt;=120000,"Medium Income",
D375&gt; 120000,"High Income"
)</f>
        <v>Low Income</v>
      </c>
      <c r="F375" s="9">
        <v>0</v>
      </c>
      <c r="G375" s="9" t="s">
        <v>30</v>
      </c>
      <c r="H375" s="9" t="s">
        <v>28</v>
      </c>
      <c r="I375" s="9" t="s">
        <v>20</v>
      </c>
      <c r="J375" s="9">
        <v>1</v>
      </c>
      <c r="K375" s="9" t="s">
        <v>24</v>
      </c>
      <c r="L375" s="9" t="s">
        <v>19</v>
      </c>
      <c r="M375" s="9">
        <v>30</v>
      </c>
      <c r="N375" s="9" t="str" cm="1">
        <f t="array" ref="N375">_xlfn.IFS(
M375&lt;=12,"Children",
M375&lt;=19,"Teens",
M375&lt;=29,"Young Adults",
M375&lt;=39,"Adults",
M375&lt;=59,"Middle-Aged",
M375&gt;=60,"Seniors"
)</f>
        <v>Adults</v>
      </c>
      <c r="O375" s="9" t="s">
        <v>20</v>
      </c>
      <c r="P375" s="9">
        <f t="shared" si="10"/>
        <v>0</v>
      </c>
      <c r="Q375" s="9">
        <v>1</v>
      </c>
      <c r="R375" s="10">
        <f t="shared" si="11"/>
        <v>0</v>
      </c>
    </row>
    <row r="376" spans="1:18" x14ac:dyDescent="0.3">
      <c r="A376" s="9">
        <v>16179</v>
      </c>
      <c r="B376" s="9" t="s">
        <v>40</v>
      </c>
      <c r="C376" s="9" t="s">
        <v>38</v>
      </c>
      <c r="D376" s="10">
        <v>80000</v>
      </c>
      <c r="E376" s="9" t="str" cm="1">
        <f t="array" ref="E376">_xlfn.IFS(D376&lt;= 60000, "Low Income",
D376&lt;=120000,"Medium Income",
D376&gt; 120000,"High Income"
)</f>
        <v>Medium Income</v>
      </c>
      <c r="F376" s="9">
        <v>5</v>
      </c>
      <c r="G376" s="9" t="s">
        <v>15</v>
      </c>
      <c r="H376" s="9" t="s">
        <v>23</v>
      </c>
      <c r="I376" s="9" t="s">
        <v>17</v>
      </c>
      <c r="J376" s="9">
        <v>4</v>
      </c>
      <c r="K376" s="9" t="s">
        <v>29</v>
      </c>
      <c r="L376" s="9" t="s">
        <v>27</v>
      </c>
      <c r="M376" s="9">
        <v>38</v>
      </c>
      <c r="N376" s="9" t="str" cm="1">
        <f t="array" ref="N376">_xlfn.IFS(
M376&lt;=12,"Children",
M376&lt;=19,"Teens",
M376&lt;=29,"Young Adults",
M376&lt;=39,"Adults",
M376&lt;=59,"Middle-Aged",
M376&gt;=60,"Seniors"
)</f>
        <v>Adults</v>
      </c>
      <c r="O376" s="9" t="s">
        <v>20</v>
      </c>
      <c r="P376" s="9">
        <f t="shared" si="10"/>
        <v>0</v>
      </c>
      <c r="Q376" s="9">
        <v>1</v>
      </c>
      <c r="R376" s="10">
        <f t="shared" si="11"/>
        <v>0</v>
      </c>
    </row>
    <row r="377" spans="1:18" x14ac:dyDescent="0.3">
      <c r="A377" s="9">
        <v>15628</v>
      </c>
      <c r="B377" s="9" t="s">
        <v>37</v>
      </c>
      <c r="C377" s="9" t="s">
        <v>38</v>
      </c>
      <c r="D377" s="10">
        <v>40000</v>
      </c>
      <c r="E377" s="9" t="str" cm="1">
        <f t="array" ref="E377">_xlfn.IFS(D377&lt;= 60000, "Low Income",
D377&lt;=120000,"Medium Income",
D377&gt; 120000,"High Income"
)</f>
        <v>Low Income</v>
      </c>
      <c r="F377" s="9">
        <v>1</v>
      </c>
      <c r="G377" s="9" t="s">
        <v>15</v>
      </c>
      <c r="H377" s="9" t="s">
        <v>16</v>
      </c>
      <c r="I377" s="9" t="s">
        <v>17</v>
      </c>
      <c r="J377" s="9">
        <v>1</v>
      </c>
      <c r="K377" s="9" t="s">
        <v>18</v>
      </c>
      <c r="L377" s="9" t="s">
        <v>19</v>
      </c>
      <c r="M377" s="9">
        <v>89</v>
      </c>
      <c r="N377" s="9" t="str" cm="1">
        <f t="array" ref="N377">_xlfn.IFS(
M377&lt;=12,"Children",
M377&lt;=19,"Teens",
M377&lt;=29,"Young Adults",
M377&lt;=39,"Adults",
M377&lt;=59,"Middle-Aged",
M377&gt;=60,"Seniors"
)</f>
        <v>Seniors</v>
      </c>
      <c r="O377" s="9" t="s">
        <v>20</v>
      </c>
      <c r="P377" s="9">
        <f t="shared" si="10"/>
        <v>0</v>
      </c>
      <c r="Q377" s="9">
        <v>1</v>
      </c>
      <c r="R377" s="10">
        <f t="shared" si="11"/>
        <v>0</v>
      </c>
    </row>
    <row r="378" spans="1:18" x14ac:dyDescent="0.3">
      <c r="A378" s="9">
        <v>20977</v>
      </c>
      <c r="B378" s="9" t="s">
        <v>37</v>
      </c>
      <c r="C378" s="9" t="s">
        <v>39</v>
      </c>
      <c r="D378" s="10">
        <v>20000</v>
      </c>
      <c r="E378" s="9" t="str" cm="1">
        <f t="array" ref="E378">_xlfn.IFS(D378&lt;= 60000, "Low Income",
D378&lt;=120000,"Medium Income",
D378&gt; 120000,"High Income"
)</f>
        <v>Low Income</v>
      </c>
      <c r="F378" s="9">
        <v>1</v>
      </c>
      <c r="G378" s="9" t="s">
        <v>15</v>
      </c>
      <c r="H378" s="9" t="s">
        <v>22</v>
      </c>
      <c r="I378" s="9" t="s">
        <v>17</v>
      </c>
      <c r="J378" s="9">
        <v>0</v>
      </c>
      <c r="K378" s="9" t="s">
        <v>18</v>
      </c>
      <c r="L378" s="9" t="s">
        <v>19</v>
      </c>
      <c r="M378" s="9">
        <v>64</v>
      </c>
      <c r="N378" s="9" t="str" cm="1">
        <f t="array" ref="N378">_xlfn.IFS(
M378&lt;=12,"Children",
M378&lt;=19,"Teens",
M378&lt;=29,"Young Adults",
M378&lt;=39,"Adults",
M378&lt;=59,"Middle-Aged",
M378&gt;=60,"Seniors"
)</f>
        <v>Seniors</v>
      </c>
      <c r="O378" s="9" t="s">
        <v>17</v>
      </c>
      <c r="P378" s="9">
        <f t="shared" si="10"/>
        <v>1</v>
      </c>
      <c r="Q378" s="9">
        <v>1</v>
      </c>
      <c r="R378" s="10">
        <f t="shared" si="11"/>
        <v>20000</v>
      </c>
    </row>
    <row r="379" spans="1:18" x14ac:dyDescent="0.3">
      <c r="A379" s="9">
        <v>18140</v>
      </c>
      <c r="B379" s="9" t="s">
        <v>37</v>
      </c>
      <c r="C379" s="9" t="s">
        <v>39</v>
      </c>
      <c r="D379" s="10">
        <v>130000</v>
      </c>
      <c r="E379" s="9" t="str" cm="1">
        <f t="array" ref="E379">_xlfn.IFS(D379&lt;= 60000, "Low Income",
D379&lt;=120000,"Medium Income",
D379&gt; 120000,"High Income"
)</f>
        <v>High Income</v>
      </c>
      <c r="F379" s="9">
        <v>3</v>
      </c>
      <c r="G379" s="9" t="s">
        <v>21</v>
      </c>
      <c r="H379" s="9" t="s">
        <v>23</v>
      </c>
      <c r="I379" s="9" t="s">
        <v>20</v>
      </c>
      <c r="J379" s="9">
        <v>3</v>
      </c>
      <c r="K379" s="9" t="s">
        <v>26</v>
      </c>
      <c r="L379" s="9" t="s">
        <v>19</v>
      </c>
      <c r="M379" s="9">
        <v>51</v>
      </c>
      <c r="N379" s="9" t="str" cm="1">
        <f t="array" ref="N379">_xlfn.IFS(
M379&lt;=12,"Children",
M379&lt;=19,"Teens",
M379&lt;=29,"Young Adults",
M379&lt;=39,"Adults",
M379&lt;=59,"Middle-Aged",
M379&gt;=60,"Seniors"
)</f>
        <v>Middle-Aged</v>
      </c>
      <c r="O379" s="9" t="s">
        <v>17</v>
      </c>
      <c r="P379" s="9">
        <f t="shared" si="10"/>
        <v>1</v>
      </c>
      <c r="Q379" s="9">
        <v>1</v>
      </c>
      <c r="R379" s="10">
        <f t="shared" si="11"/>
        <v>130000</v>
      </c>
    </row>
    <row r="380" spans="1:18" x14ac:dyDescent="0.3">
      <c r="A380" s="9">
        <v>20417</v>
      </c>
      <c r="B380" s="9" t="s">
        <v>37</v>
      </c>
      <c r="C380" s="9" t="s">
        <v>39</v>
      </c>
      <c r="D380" s="10">
        <v>30000</v>
      </c>
      <c r="E380" s="9" t="str" cm="1">
        <f t="array" ref="E380">_xlfn.IFS(D380&lt;= 60000, "Low Income",
D380&lt;=120000,"Medium Income",
D380&gt; 120000,"High Income"
)</f>
        <v>Low Income</v>
      </c>
      <c r="F380" s="9">
        <v>3</v>
      </c>
      <c r="G380" s="9" t="s">
        <v>21</v>
      </c>
      <c r="H380" s="9" t="s">
        <v>22</v>
      </c>
      <c r="I380" s="9" t="s">
        <v>20</v>
      </c>
      <c r="J380" s="9">
        <v>2</v>
      </c>
      <c r="K380" s="9" t="s">
        <v>26</v>
      </c>
      <c r="L380" s="9" t="s">
        <v>27</v>
      </c>
      <c r="M380" s="9">
        <v>56</v>
      </c>
      <c r="N380" s="9" t="str" cm="1">
        <f t="array" ref="N380">_xlfn.IFS(
M380&lt;=12,"Children",
M380&lt;=19,"Teens",
M380&lt;=29,"Young Adults",
M380&lt;=39,"Adults",
M380&lt;=59,"Middle-Aged",
M380&gt;=60,"Seniors"
)</f>
        <v>Middle-Aged</v>
      </c>
      <c r="O380" s="9" t="s">
        <v>20</v>
      </c>
      <c r="P380" s="9">
        <f t="shared" si="10"/>
        <v>0</v>
      </c>
      <c r="Q380" s="9">
        <v>1</v>
      </c>
      <c r="R380" s="10">
        <f t="shared" si="11"/>
        <v>0</v>
      </c>
    </row>
    <row r="381" spans="1:18" x14ac:dyDescent="0.3">
      <c r="A381" s="9">
        <v>18267</v>
      </c>
      <c r="B381" s="9" t="s">
        <v>37</v>
      </c>
      <c r="C381" s="9" t="s">
        <v>39</v>
      </c>
      <c r="D381" s="10">
        <v>60000</v>
      </c>
      <c r="E381" s="9" t="str" cm="1">
        <f t="array" ref="E381">_xlfn.IFS(D381&lt;= 60000, "Low Income",
D381&lt;=120000,"Medium Income",
D381&gt; 120000,"High Income"
)</f>
        <v>Low Income</v>
      </c>
      <c r="F381" s="9">
        <v>3</v>
      </c>
      <c r="G381" s="9" t="s">
        <v>15</v>
      </c>
      <c r="H381" s="9" t="s">
        <v>23</v>
      </c>
      <c r="I381" s="9" t="s">
        <v>17</v>
      </c>
      <c r="J381" s="9">
        <v>2</v>
      </c>
      <c r="K381" s="9" t="s">
        <v>26</v>
      </c>
      <c r="L381" s="9" t="s">
        <v>27</v>
      </c>
      <c r="M381" s="9">
        <v>43</v>
      </c>
      <c r="N381" s="9" t="str" cm="1">
        <f t="array" ref="N381">_xlfn.IFS(
M381&lt;=12,"Children",
M381&lt;=19,"Teens",
M381&lt;=29,"Young Adults",
M381&lt;=39,"Adults",
M381&lt;=59,"Middle-Aged",
M381&gt;=60,"Seniors"
)</f>
        <v>Middle-Aged</v>
      </c>
      <c r="O381" s="9" t="s">
        <v>20</v>
      </c>
      <c r="P381" s="9">
        <f t="shared" si="10"/>
        <v>0</v>
      </c>
      <c r="Q381" s="9">
        <v>1</v>
      </c>
      <c r="R381" s="10">
        <f t="shared" si="11"/>
        <v>0</v>
      </c>
    </row>
    <row r="382" spans="1:18" x14ac:dyDescent="0.3">
      <c r="A382" s="9">
        <v>13620</v>
      </c>
      <c r="B382" s="9" t="s">
        <v>40</v>
      </c>
      <c r="C382" s="9" t="s">
        <v>39</v>
      </c>
      <c r="D382" s="10">
        <v>70000</v>
      </c>
      <c r="E382" s="9" t="str" cm="1">
        <f t="array" ref="E382">_xlfn.IFS(D382&lt;= 60000, "Low Income",
D382&lt;=120000,"Medium Income",
D382&gt; 120000,"High Income"
)</f>
        <v>Medium Income</v>
      </c>
      <c r="F382" s="9">
        <v>0</v>
      </c>
      <c r="G382" s="9" t="s">
        <v>15</v>
      </c>
      <c r="H382" s="9" t="s">
        <v>23</v>
      </c>
      <c r="I382" s="9" t="s">
        <v>20</v>
      </c>
      <c r="J382" s="9">
        <v>3</v>
      </c>
      <c r="K382" s="9" t="s">
        <v>41</v>
      </c>
      <c r="L382" s="9" t="s">
        <v>27</v>
      </c>
      <c r="M382" s="9">
        <v>30</v>
      </c>
      <c r="N382" s="9" t="str" cm="1">
        <f t="array" ref="N382">_xlfn.IFS(
M382&lt;=12,"Children",
M382&lt;=19,"Teens",
M382&lt;=29,"Young Adults",
M382&lt;=39,"Adults",
M382&lt;=59,"Middle-Aged",
M382&gt;=60,"Seniors"
)</f>
        <v>Adults</v>
      </c>
      <c r="O382" s="9" t="s">
        <v>17</v>
      </c>
      <c r="P382" s="9">
        <f t="shared" si="10"/>
        <v>1</v>
      </c>
      <c r="Q382" s="9">
        <v>1</v>
      </c>
      <c r="R382" s="10">
        <f t="shared" si="11"/>
        <v>70000</v>
      </c>
    </row>
    <row r="383" spans="1:18" x14ac:dyDescent="0.3">
      <c r="A383" s="9">
        <v>22974</v>
      </c>
      <c r="B383" s="9" t="s">
        <v>37</v>
      </c>
      <c r="C383" s="9" t="s">
        <v>38</v>
      </c>
      <c r="D383" s="10">
        <v>30000</v>
      </c>
      <c r="E383" s="9" t="str" cm="1">
        <f t="array" ref="E383">_xlfn.IFS(D383&lt;= 60000, "Low Income",
D383&lt;=120000,"Medium Income",
D383&gt; 120000,"High Income"
)</f>
        <v>Low Income</v>
      </c>
      <c r="F383" s="9">
        <v>2</v>
      </c>
      <c r="G383" s="9" t="s">
        <v>21</v>
      </c>
      <c r="H383" s="9" t="s">
        <v>22</v>
      </c>
      <c r="I383" s="9" t="s">
        <v>17</v>
      </c>
      <c r="J383" s="9">
        <v>2</v>
      </c>
      <c r="K383" s="9" t="s">
        <v>26</v>
      </c>
      <c r="L383" s="9" t="s">
        <v>27</v>
      </c>
      <c r="M383" s="9">
        <v>69</v>
      </c>
      <c r="N383" s="9" t="str" cm="1">
        <f t="array" ref="N383">_xlfn.IFS(
M383&lt;=12,"Children",
M383&lt;=19,"Teens",
M383&lt;=29,"Young Adults",
M383&lt;=39,"Adults",
M383&lt;=59,"Middle-Aged",
M383&gt;=60,"Seniors"
)</f>
        <v>Seniors</v>
      </c>
      <c r="O383" s="9" t="s">
        <v>20</v>
      </c>
      <c r="P383" s="9">
        <f t="shared" si="10"/>
        <v>0</v>
      </c>
      <c r="Q383" s="9">
        <v>1</v>
      </c>
      <c r="R383" s="10">
        <f t="shared" si="11"/>
        <v>0</v>
      </c>
    </row>
    <row r="384" spans="1:18" x14ac:dyDescent="0.3">
      <c r="A384" s="9">
        <v>13586</v>
      </c>
      <c r="B384" s="9" t="s">
        <v>37</v>
      </c>
      <c r="C384" s="9" t="s">
        <v>39</v>
      </c>
      <c r="D384" s="10">
        <v>80000</v>
      </c>
      <c r="E384" s="9" t="str" cm="1">
        <f t="array" ref="E384">_xlfn.IFS(D384&lt;= 60000, "Low Income",
D384&lt;=120000,"Medium Income",
D384&gt; 120000,"High Income"
)</f>
        <v>Medium Income</v>
      </c>
      <c r="F384" s="9">
        <v>4</v>
      </c>
      <c r="G384" s="9" t="s">
        <v>21</v>
      </c>
      <c r="H384" s="9" t="s">
        <v>23</v>
      </c>
      <c r="I384" s="9" t="s">
        <v>17</v>
      </c>
      <c r="J384" s="9">
        <v>2</v>
      </c>
      <c r="K384" s="9" t="s">
        <v>41</v>
      </c>
      <c r="L384" s="9" t="s">
        <v>19</v>
      </c>
      <c r="M384" s="9">
        <v>53</v>
      </c>
      <c r="N384" s="9" t="str" cm="1">
        <f t="array" ref="N384">_xlfn.IFS(
M384&lt;=12,"Children",
M384&lt;=19,"Teens",
M384&lt;=29,"Young Adults",
M384&lt;=39,"Adults",
M384&lt;=59,"Middle-Aged",
M384&gt;=60,"Seniors"
)</f>
        <v>Middle-Aged</v>
      </c>
      <c r="O384" s="9" t="s">
        <v>20</v>
      </c>
      <c r="P384" s="9">
        <f t="shared" si="10"/>
        <v>0</v>
      </c>
      <c r="Q384" s="9">
        <v>1</v>
      </c>
      <c r="R384" s="10">
        <f t="shared" si="11"/>
        <v>0</v>
      </c>
    </row>
    <row r="385" spans="1:18" x14ac:dyDescent="0.3">
      <c r="A385" s="9">
        <v>17978</v>
      </c>
      <c r="B385" s="9" t="s">
        <v>37</v>
      </c>
      <c r="C385" s="9" t="s">
        <v>39</v>
      </c>
      <c r="D385" s="10">
        <v>40000</v>
      </c>
      <c r="E385" s="9" t="str" cm="1">
        <f t="array" ref="E385">_xlfn.IFS(D385&lt;= 60000, "Low Income",
D385&lt;=120000,"Medium Income",
D385&gt; 120000,"High Income"
)</f>
        <v>Low Income</v>
      </c>
      <c r="F385" s="9">
        <v>0</v>
      </c>
      <c r="G385" s="9" t="s">
        <v>34</v>
      </c>
      <c r="H385" s="9" t="s">
        <v>22</v>
      </c>
      <c r="I385" s="9" t="s">
        <v>17</v>
      </c>
      <c r="J385" s="9">
        <v>0</v>
      </c>
      <c r="K385" s="9" t="s">
        <v>18</v>
      </c>
      <c r="L385" s="9" t="s">
        <v>19</v>
      </c>
      <c r="M385" s="9">
        <v>37</v>
      </c>
      <c r="N385" s="9" t="str" cm="1">
        <f t="array" ref="N385">_xlfn.IFS(
M385&lt;=12,"Children",
M385&lt;=19,"Teens",
M385&lt;=29,"Young Adults",
M385&lt;=39,"Adults",
M385&lt;=59,"Middle-Aged",
M385&gt;=60,"Seniors"
)</f>
        <v>Adults</v>
      </c>
      <c r="O385" s="9" t="s">
        <v>17</v>
      </c>
      <c r="P385" s="9">
        <f t="shared" si="10"/>
        <v>1</v>
      </c>
      <c r="Q385" s="9">
        <v>1</v>
      </c>
      <c r="R385" s="10">
        <f t="shared" si="11"/>
        <v>40000</v>
      </c>
    </row>
    <row r="386" spans="1:18" x14ac:dyDescent="0.3">
      <c r="A386" s="9">
        <v>12581</v>
      </c>
      <c r="B386" s="9" t="s">
        <v>40</v>
      </c>
      <c r="C386" s="9" t="s">
        <v>38</v>
      </c>
      <c r="D386" s="10">
        <v>10000</v>
      </c>
      <c r="E386" s="9" t="str" cm="1">
        <f t="array" ref="E386">_xlfn.IFS(D386&lt;= 60000, "Low Income",
D386&lt;=120000,"Medium Income",
D386&gt; 120000,"High Income"
)</f>
        <v>Low Income</v>
      </c>
      <c r="F386" s="9">
        <v>0</v>
      </c>
      <c r="G386" s="9" t="s">
        <v>21</v>
      </c>
      <c r="H386" s="9" t="s">
        <v>28</v>
      </c>
      <c r="I386" s="9" t="s">
        <v>20</v>
      </c>
      <c r="J386" s="9">
        <v>1</v>
      </c>
      <c r="K386" s="9" t="s">
        <v>18</v>
      </c>
      <c r="L386" s="9" t="s">
        <v>27</v>
      </c>
      <c r="M386" s="9">
        <v>28</v>
      </c>
      <c r="N386" s="9" t="str" cm="1">
        <f t="array" ref="N386">_xlfn.IFS(
M386&lt;=12,"Children",
M386&lt;=19,"Teens",
M386&lt;=29,"Young Adults",
M386&lt;=39,"Adults",
M386&lt;=59,"Middle-Aged",
M386&gt;=60,"Seniors"
)</f>
        <v>Young Adults</v>
      </c>
      <c r="O386" s="9" t="s">
        <v>17</v>
      </c>
      <c r="P386" s="9">
        <f t="shared" si="10"/>
        <v>1</v>
      </c>
      <c r="Q386" s="9">
        <v>1</v>
      </c>
      <c r="R386" s="10">
        <f t="shared" si="11"/>
        <v>10000</v>
      </c>
    </row>
    <row r="387" spans="1:18" x14ac:dyDescent="0.3">
      <c r="A387" s="9">
        <v>18018</v>
      </c>
      <c r="B387" s="9" t="s">
        <v>40</v>
      </c>
      <c r="C387" s="9" t="s">
        <v>39</v>
      </c>
      <c r="D387" s="10">
        <v>30000</v>
      </c>
      <c r="E387" s="9" t="str" cm="1">
        <f t="array" ref="E387">_xlfn.IFS(D387&lt;= 60000, "Low Income",
D387&lt;=120000,"Medium Income",
D387&gt; 120000,"High Income"
)</f>
        <v>Low Income</v>
      </c>
      <c r="F387" s="9">
        <v>3</v>
      </c>
      <c r="G387" s="9" t="s">
        <v>21</v>
      </c>
      <c r="H387" s="9" t="s">
        <v>22</v>
      </c>
      <c r="I387" s="9" t="s">
        <v>17</v>
      </c>
      <c r="J387" s="9">
        <v>0</v>
      </c>
      <c r="K387" s="9" t="s">
        <v>18</v>
      </c>
      <c r="L387" s="9" t="s">
        <v>19</v>
      </c>
      <c r="M387" s="9">
        <v>43</v>
      </c>
      <c r="N387" s="9" t="str" cm="1">
        <f t="array" ref="N387">_xlfn.IFS(
M387&lt;=12,"Children",
M387&lt;=19,"Teens",
M387&lt;=29,"Young Adults",
M387&lt;=39,"Adults",
M387&lt;=59,"Middle-Aged",
M387&gt;=60,"Seniors"
)</f>
        <v>Middle-Aged</v>
      </c>
      <c r="O387" s="9" t="s">
        <v>20</v>
      </c>
      <c r="P387" s="9">
        <f t="shared" ref="P387:P450" si="12">IF(O387="No", 0, 1)</f>
        <v>0</v>
      </c>
      <c r="Q387" s="9">
        <v>1</v>
      </c>
      <c r="R387" s="10">
        <f t="shared" ref="R387:R450" si="13">IF(P387=1, D387, 0)</f>
        <v>0</v>
      </c>
    </row>
    <row r="388" spans="1:18" x14ac:dyDescent="0.3">
      <c r="A388" s="9">
        <v>28957</v>
      </c>
      <c r="B388" s="9" t="s">
        <v>40</v>
      </c>
      <c r="C388" s="9" t="s">
        <v>38</v>
      </c>
      <c r="D388" s="10">
        <v>120000</v>
      </c>
      <c r="E388" s="9" t="str" cm="1">
        <f t="array" ref="E388">_xlfn.IFS(D388&lt;= 60000, "Low Income",
D388&lt;=120000,"Medium Income",
D388&gt; 120000,"High Income"
)</f>
        <v>Medium Income</v>
      </c>
      <c r="F388" s="9">
        <v>0</v>
      </c>
      <c r="G388" s="9" t="s">
        <v>32</v>
      </c>
      <c r="H388" s="9" t="s">
        <v>23</v>
      </c>
      <c r="I388" s="9" t="s">
        <v>17</v>
      </c>
      <c r="J388" s="9">
        <v>4</v>
      </c>
      <c r="K388" s="9" t="s">
        <v>41</v>
      </c>
      <c r="L388" s="9" t="s">
        <v>27</v>
      </c>
      <c r="M388" s="9">
        <v>34</v>
      </c>
      <c r="N388" s="9" t="str" cm="1">
        <f t="array" ref="N388">_xlfn.IFS(
M388&lt;=12,"Children",
M388&lt;=19,"Teens",
M388&lt;=29,"Young Adults",
M388&lt;=39,"Adults",
M388&lt;=59,"Middle-Aged",
M388&gt;=60,"Seniors"
)</f>
        <v>Adults</v>
      </c>
      <c r="O388" s="9" t="s">
        <v>17</v>
      </c>
      <c r="P388" s="9">
        <f t="shared" si="12"/>
        <v>1</v>
      </c>
      <c r="Q388" s="9">
        <v>1</v>
      </c>
      <c r="R388" s="10">
        <f t="shared" si="13"/>
        <v>120000</v>
      </c>
    </row>
    <row r="389" spans="1:18" x14ac:dyDescent="0.3">
      <c r="A389" s="9">
        <v>13690</v>
      </c>
      <c r="B389" s="9" t="s">
        <v>40</v>
      </c>
      <c r="C389" s="9" t="s">
        <v>38</v>
      </c>
      <c r="D389" s="10">
        <v>20000</v>
      </c>
      <c r="E389" s="9" t="str" cm="1">
        <f t="array" ref="E389">_xlfn.IFS(D389&lt;= 60000, "Low Income",
D389&lt;=120000,"Medium Income",
D389&gt; 120000,"High Income"
)</f>
        <v>Low Income</v>
      </c>
      <c r="F389" s="9">
        <v>0</v>
      </c>
      <c r="G389" s="9" t="s">
        <v>32</v>
      </c>
      <c r="H389" s="9" t="s">
        <v>28</v>
      </c>
      <c r="I389" s="9" t="s">
        <v>20</v>
      </c>
      <c r="J389" s="9">
        <v>2</v>
      </c>
      <c r="K389" s="9" t="s">
        <v>29</v>
      </c>
      <c r="L389" s="9" t="s">
        <v>19</v>
      </c>
      <c r="M389" s="9">
        <v>34</v>
      </c>
      <c r="N389" s="9" t="str" cm="1">
        <f t="array" ref="N389">_xlfn.IFS(
M389&lt;=12,"Children",
M389&lt;=19,"Teens",
M389&lt;=29,"Young Adults",
M389&lt;=39,"Adults",
M389&lt;=59,"Middle-Aged",
M389&gt;=60,"Seniors"
)</f>
        <v>Adults</v>
      </c>
      <c r="O389" s="9" t="s">
        <v>17</v>
      </c>
      <c r="P389" s="9">
        <f t="shared" si="12"/>
        <v>1</v>
      </c>
      <c r="Q389" s="9">
        <v>1</v>
      </c>
      <c r="R389" s="10">
        <f t="shared" si="13"/>
        <v>20000</v>
      </c>
    </row>
    <row r="390" spans="1:18" x14ac:dyDescent="0.3">
      <c r="A390" s="9">
        <v>12568</v>
      </c>
      <c r="B390" s="9" t="s">
        <v>37</v>
      </c>
      <c r="C390" s="9" t="s">
        <v>38</v>
      </c>
      <c r="D390" s="10">
        <v>30000</v>
      </c>
      <c r="E390" s="9" t="str" cm="1">
        <f t="array" ref="E390">_xlfn.IFS(D390&lt;= 60000, "Low Income",
D390&lt;=120000,"Medium Income",
D390&gt; 120000,"High Income"
)</f>
        <v>Low Income</v>
      </c>
      <c r="F390" s="9">
        <v>1</v>
      </c>
      <c r="G390" s="9" t="s">
        <v>15</v>
      </c>
      <c r="H390" s="9" t="s">
        <v>22</v>
      </c>
      <c r="I390" s="9" t="s">
        <v>17</v>
      </c>
      <c r="J390" s="9">
        <v>0</v>
      </c>
      <c r="K390" s="9" t="s">
        <v>18</v>
      </c>
      <c r="L390" s="9" t="s">
        <v>19</v>
      </c>
      <c r="M390" s="9">
        <v>64</v>
      </c>
      <c r="N390" s="9" t="str" cm="1">
        <f t="array" ref="N390">_xlfn.IFS(
M390&lt;=12,"Children",
M390&lt;=19,"Teens",
M390&lt;=29,"Young Adults",
M390&lt;=39,"Adults",
M390&lt;=59,"Middle-Aged",
M390&gt;=60,"Seniors"
)</f>
        <v>Seniors</v>
      </c>
      <c r="O390" s="9" t="s">
        <v>20</v>
      </c>
      <c r="P390" s="9">
        <f t="shared" si="12"/>
        <v>0</v>
      </c>
      <c r="Q390" s="9">
        <v>1</v>
      </c>
      <c r="R390" s="10">
        <f t="shared" si="13"/>
        <v>0</v>
      </c>
    </row>
    <row r="391" spans="1:18" x14ac:dyDescent="0.3">
      <c r="A391" s="9">
        <v>13122</v>
      </c>
      <c r="B391" s="9" t="s">
        <v>37</v>
      </c>
      <c r="C391" s="9" t="s">
        <v>38</v>
      </c>
      <c r="D391" s="10">
        <v>80000</v>
      </c>
      <c r="E391" s="9" t="str" cm="1">
        <f t="array" ref="E391">_xlfn.IFS(D391&lt;= 60000, "Low Income",
D391&lt;=120000,"Medium Income",
D391&gt; 120000,"High Income"
)</f>
        <v>Medium Income</v>
      </c>
      <c r="F391" s="9">
        <v>0</v>
      </c>
      <c r="G391" s="9" t="s">
        <v>15</v>
      </c>
      <c r="H391" s="9" t="s">
        <v>23</v>
      </c>
      <c r="I391" s="9" t="s">
        <v>17</v>
      </c>
      <c r="J391" s="9">
        <v>1</v>
      </c>
      <c r="K391" s="9" t="s">
        <v>29</v>
      </c>
      <c r="L391" s="9" t="s">
        <v>27</v>
      </c>
      <c r="M391" s="9">
        <v>41</v>
      </c>
      <c r="N391" s="9" t="str" cm="1">
        <f t="array" ref="N391">_xlfn.IFS(
M391&lt;=12,"Children",
M391&lt;=19,"Teens",
M391&lt;=29,"Young Adults",
M391&lt;=39,"Adults",
M391&lt;=59,"Middle-Aged",
M391&gt;=60,"Seniors"
)</f>
        <v>Middle-Aged</v>
      </c>
      <c r="O391" s="9" t="s">
        <v>17</v>
      </c>
      <c r="P391" s="9">
        <f t="shared" si="12"/>
        <v>1</v>
      </c>
      <c r="Q391" s="9">
        <v>1</v>
      </c>
      <c r="R391" s="10">
        <f t="shared" si="13"/>
        <v>80000</v>
      </c>
    </row>
    <row r="392" spans="1:18" x14ac:dyDescent="0.3">
      <c r="A392" s="9">
        <v>21184</v>
      </c>
      <c r="B392" s="9" t="s">
        <v>40</v>
      </c>
      <c r="C392" s="9" t="s">
        <v>39</v>
      </c>
      <c r="D392" s="10">
        <v>70000</v>
      </c>
      <c r="E392" s="9" t="str" cm="1">
        <f t="array" ref="E392">_xlfn.IFS(D392&lt;= 60000, "Low Income",
D392&lt;=120000,"Medium Income",
D392&gt; 120000,"High Income"
)</f>
        <v>Medium Income</v>
      </c>
      <c r="F392" s="9">
        <v>0</v>
      </c>
      <c r="G392" s="9" t="s">
        <v>15</v>
      </c>
      <c r="H392" s="9" t="s">
        <v>23</v>
      </c>
      <c r="I392" s="9" t="s">
        <v>20</v>
      </c>
      <c r="J392" s="9">
        <v>1</v>
      </c>
      <c r="K392" s="9" t="s">
        <v>26</v>
      </c>
      <c r="L392" s="9" t="s">
        <v>27</v>
      </c>
      <c r="M392" s="9">
        <v>38</v>
      </c>
      <c r="N392" s="9" t="str" cm="1">
        <f t="array" ref="N392">_xlfn.IFS(
M392&lt;=12,"Children",
M392&lt;=19,"Teens",
M392&lt;=29,"Young Adults",
M392&lt;=39,"Adults",
M392&lt;=59,"Middle-Aged",
M392&gt;=60,"Seniors"
)</f>
        <v>Adults</v>
      </c>
      <c r="O392" s="9" t="s">
        <v>20</v>
      </c>
      <c r="P392" s="9">
        <f t="shared" si="12"/>
        <v>0</v>
      </c>
      <c r="Q392" s="9">
        <v>1</v>
      </c>
      <c r="R392" s="10">
        <f t="shared" si="13"/>
        <v>0</v>
      </c>
    </row>
    <row r="393" spans="1:18" x14ac:dyDescent="0.3">
      <c r="A393" s="9">
        <v>26150</v>
      </c>
      <c r="B393" s="9" t="s">
        <v>40</v>
      </c>
      <c r="C393" s="9" t="s">
        <v>38</v>
      </c>
      <c r="D393" s="10">
        <v>70000</v>
      </c>
      <c r="E393" s="9" t="str" cm="1">
        <f t="array" ref="E393">_xlfn.IFS(D393&lt;= 60000, "Low Income",
D393&lt;=120000,"Medium Income",
D393&gt; 120000,"High Income"
)</f>
        <v>Medium Income</v>
      </c>
      <c r="F393" s="9">
        <v>0</v>
      </c>
      <c r="G393" s="9" t="s">
        <v>15</v>
      </c>
      <c r="H393" s="9" t="s">
        <v>23</v>
      </c>
      <c r="I393" s="9" t="s">
        <v>20</v>
      </c>
      <c r="J393" s="9">
        <v>1</v>
      </c>
      <c r="K393" s="9" t="s">
        <v>18</v>
      </c>
      <c r="L393" s="9" t="s">
        <v>27</v>
      </c>
      <c r="M393" s="9">
        <v>41</v>
      </c>
      <c r="N393" s="9" t="str" cm="1">
        <f t="array" ref="N393">_xlfn.IFS(
M393&lt;=12,"Children",
M393&lt;=19,"Teens",
M393&lt;=29,"Young Adults",
M393&lt;=39,"Adults",
M393&lt;=59,"Middle-Aged",
M393&gt;=60,"Seniors"
)</f>
        <v>Middle-Aged</v>
      </c>
      <c r="O393" s="9" t="s">
        <v>17</v>
      </c>
      <c r="P393" s="9">
        <f t="shared" si="12"/>
        <v>1</v>
      </c>
      <c r="Q393" s="9">
        <v>1</v>
      </c>
      <c r="R393" s="10">
        <f t="shared" si="13"/>
        <v>70000</v>
      </c>
    </row>
    <row r="394" spans="1:18" x14ac:dyDescent="0.3">
      <c r="A394" s="9">
        <v>24151</v>
      </c>
      <c r="B394" s="9" t="s">
        <v>40</v>
      </c>
      <c r="C394" s="9" t="s">
        <v>39</v>
      </c>
      <c r="D394" s="10">
        <v>20000</v>
      </c>
      <c r="E394" s="9" t="str" cm="1">
        <f t="array" ref="E394">_xlfn.IFS(D394&lt;= 60000, "Low Income",
D394&lt;=120000,"Medium Income",
D394&gt; 120000,"High Income"
)</f>
        <v>Low Income</v>
      </c>
      <c r="F394" s="9">
        <v>1</v>
      </c>
      <c r="G394" s="9" t="s">
        <v>15</v>
      </c>
      <c r="H394" s="9" t="s">
        <v>22</v>
      </c>
      <c r="I394" s="9" t="s">
        <v>20</v>
      </c>
      <c r="J394" s="9">
        <v>0</v>
      </c>
      <c r="K394" s="9" t="s">
        <v>18</v>
      </c>
      <c r="L394" s="9" t="s">
        <v>19</v>
      </c>
      <c r="M394" s="9">
        <v>51</v>
      </c>
      <c r="N394" s="9" t="str" cm="1">
        <f t="array" ref="N394">_xlfn.IFS(
M394&lt;=12,"Children",
M394&lt;=19,"Teens",
M394&lt;=29,"Young Adults",
M394&lt;=39,"Adults",
M394&lt;=59,"Middle-Aged",
M394&gt;=60,"Seniors"
)</f>
        <v>Middle-Aged</v>
      </c>
      <c r="O394" s="9" t="s">
        <v>20</v>
      </c>
      <c r="P394" s="9">
        <f t="shared" si="12"/>
        <v>0</v>
      </c>
      <c r="Q394" s="9">
        <v>1</v>
      </c>
      <c r="R394" s="10">
        <f t="shared" si="13"/>
        <v>0</v>
      </c>
    </row>
    <row r="395" spans="1:18" x14ac:dyDescent="0.3">
      <c r="A395" s="9">
        <v>23962</v>
      </c>
      <c r="B395" s="9" t="s">
        <v>37</v>
      </c>
      <c r="C395" s="9" t="s">
        <v>38</v>
      </c>
      <c r="D395" s="10">
        <v>10000</v>
      </c>
      <c r="E395" s="9" t="str" cm="1">
        <f t="array" ref="E395">_xlfn.IFS(D395&lt;= 60000, "Low Income",
D395&lt;=120000,"Medium Income",
D395&gt; 120000,"High Income"
)</f>
        <v>Low Income</v>
      </c>
      <c r="F395" s="9">
        <v>0</v>
      </c>
      <c r="G395" s="9" t="s">
        <v>32</v>
      </c>
      <c r="H395" s="9" t="s">
        <v>28</v>
      </c>
      <c r="I395" s="9" t="s">
        <v>17</v>
      </c>
      <c r="J395" s="9">
        <v>2</v>
      </c>
      <c r="K395" s="9" t="s">
        <v>29</v>
      </c>
      <c r="L395" s="9" t="s">
        <v>19</v>
      </c>
      <c r="M395" s="9">
        <v>32</v>
      </c>
      <c r="N395" s="9" t="str" cm="1">
        <f t="array" ref="N395">_xlfn.IFS(
M395&lt;=12,"Children",
M395&lt;=19,"Teens",
M395&lt;=29,"Young Adults",
M395&lt;=39,"Adults",
M395&lt;=59,"Middle-Aged",
M395&gt;=60,"Seniors"
)</f>
        <v>Adults</v>
      </c>
      <c r="O395" s="9" t="s">
        <v>20</v>
      </c>
      <c r="P395" s="9">
        <f t="shared" si="12"/>
        <v>0</v>
      </c>
      <c r="Q395" s="9">
        <v>1</v>
      </c>
      <c r="R395" s="10">
        <f t="shared" si="13"/>
        <v>0</v>
      </c>
    </row>
    <row r="396" spans="1:18" x14ac:dyDescent="0.3">
      <c r="A396" s="9">
        <v>17793</v>
      </c>
      <c r="B396" s="9" t="s">
        <v>37</v>
      </c>
      <c r="C396" s="9" t="s">
        <v>38</v>
      </c>
      <c r="D396" s="10">
        <v>40000</v>
      </c>
      <c r="E396" s="9" t="str" cm="1">
        <f t="array" ref="E396">_xlfn.IFS(D396&lt;= 60000, "Low Income",
D396&lt;=120000,"Medium Income",
D396&gt; 120000,"High Income"
)</f>
        <v>Low Income</v>
      </c>
      <c r="F396" s="9">
        <v>0</v>
      </c>
      <c r="G396" s="9" t="s">
        <v>15</v>
      </c>
      <c r="H396" s="9" t="s">
        <v>22</v>
      </c>
      <c r="I396" s="9" t="s">
        <v>17</v>
      </c>
      <c r="J396" s="9">
        <v>0</v>
      </c>
      <c r="K396" s="9" t="s">
        <v>18</v>
      </c>
      <c r="L396" s="9" t="s">
        <v>19</v>
      </c>
      <c r="M396" s="9">
        <v>38</v>
      </c>
      <c r="N396" s="9" t="str" cm="1">
        <f t="array" ref="N396">_xlfn.IFS(
M396&lt;=12,"Children",
M396&lt;=19,"Teens",
M396&lt;=29,"Young Adults",
M396&lt;=39,"Adults",
M396&lt;=59,"Middle-Aged",
M396&gt;=60,"Seniors"
)</f>
        <v>Adults</v>
      </c>
      <c r="O396" s="9" t="s">
        <v>17</v>
      </c>
      <c r="P396" s="9">
        <f t="shared" si="12"/>
        <v>1</v>
      </c>
      <c r="Q396" s="9">
        <v>1</v>
      </c>
      <c r="R396" s="10">
        <f t="shared" si="13"/>
        <v>40000</v>
      </c>
    </row>
    <row r="397" spans="1:18" x14ac:dyDescent="0.3">
      <c r="A397" s="9">
        <v>14926</v>
      </c>
      <c r="B397" s="9" t="s">
        <v>37</v>
      </c>
      <c r="C397" s="9" t="s">
        <v>39</v>
      </c>
      <c r="D397" s="10">
        <v>30000</v>
      </c>
      <c r="E397" s="9" t="str" cm="1">
        <f t="array" ref="E397">_xlfn.IFS(D397&lt;= 60000, "Low Income",
D397&lt;=120000,"Medium Income",
D397&gt; 120000,"High Income"
)</f>
        <v>Low Income</v>
      </c>
      <c r="F397" s="9">
        <v>1</v>
      </c>
      <c r="G397" s="9" t="s">
        <v>15</v>
      </c>
      <c r="H397" s="9" t="s">
        <v>22</v>
      </c>
      <c r="I397" s="9" t="s">
        <v>17</v>
      </c>
      <c r="J397" s="9">
        <v>0</v>
      </c>
      <c r="K397" s="9" t="s">
        <v>18</v>
      </c>
      <c r="L397" s="9" t="s">
        <v>19</v>
      </c>
      <c r="M397" s="9">
        <v>38</v>
      </c>
      <c r="N397" s="9" t="str" cm="1">
        <f t="array" ref="N397">_xlfn.IFS(
M397&lt;=12,"Children",
M397&lt;=19,"Teens",
M397&lt;=29,"Young Adults",
M397&lt;=39,"Adults",
M397&lt;=59,"Middle-Aged",
M397&gt;=60,"Seniors"
)</f>
        <v>Adults</v>
      </c>
      <c r="O397" s="9" t="s">
        <v>17</v>
      </c>
      <c r="P397" s="9">
        <f t="shared" si="12"/>
        <v>1</v>
      </c>
      <c r="Q397" s="9">
        <v>1</v>
      </c>
      <c r="R397" s="10">
        <f t="shared" si="13"/>
        <v>30000</v>
      </c>
    </row>
    <row r="398" spans="1:18" x14ac:dyDescent="0.3">
      <c r="A398" s="9">
        <v>16163</v>
      </c>
      <c r="B398" s="9" t="s">
        <v>40</v>
      </c>
      <c r="C398" s="9" t="s">
        <v>39</v>
      </c>
      <c r="D398" s="10">
        <v>60000</v>
      </c>
      <c r="E398" s="9" t="str" cm="1">
        <f t="array" ref="E398">_xlfn.IFS(D398&lt;= 60000, "Low Income",
D398&lt;=120000,"Medium Income",
D398&gt; 120000,"High Income"
)</f>
        <v>Low Income</v>
      </c>
      <c r="F398" s="9">
        <v>2</v>
      </c>
      <c r="G398" s="9" t="s">
        <v>15</v>
      </c>
      <c r="H398" s="9" t="s">
        <v>23</v>
      </c>
      <c r="I398" s="9" t="s">
        <v>17</v>
      </c>
      <c r="J398" s="9">
        <v>1</v>
      </c>
      <c r="K398" s="9" t="s">
        <v>24</v>
      </c>
      <c r="L398" s="9" t="s">
        <v>27</v>
      </c>
      <c r="M398" s="9">
        <v>38</v>
      </c>
      <c r="N398" s="9" t="str" cm="1">
        <f t="array" ref="N398">_xlfn.IFS(
M398&lt;=12,"Children",
M398&lt;=19,"Teens",
M398&lt;=29,"Young Adults",
M398&lt;=39,"Adults",
M398&lt;=59,"Middle-Aged",
M398&gt;=60,"Seniors"
)</f>
        <v>Adults</v>
      </c>
      <c r="O398" s="9" t="s">
        <v>17</v>
      </c>
      <c r="P398" s="9">
        <f t="shared" si="12"/>
        <v>1</v>
      </c>
      <c r="Q398" s="9">
        <v>1</v>
      </c>
      <c r="R398" s="10">
        <f t="shared" si="13"/>
        <v>60000</v>
      </c>
    </row>
    <row r="399" spans="1:18" x14ac:dyDescent="0.3">
      <c r="A399" s="9">
        <v>21365</v>
      </c>
      <c r="B399" s="9" t="s">
        <v>37</v>
      </c>
      <c r="C399" s="9" t="s">
        <v>38</v>
      </c>
      <c r="D399" s="10">
        <v>10000</v>
      </c>
      <c r="E399" s="9" t="str" cm="1">
        <f t="array" ref="E399">_xlfn.IFS(D399&lt;= 60000, "Low Income",
D399&lt;=120000,"Medium Income",
D399&gt; 120000,"High Income"
)</f>
        <v>Low Income</v>
      </c>
      <c r="F399" s="9">
        <v>2</v>
      </c>
      <c r="G399" s="9" t="s">
        <v>32</v>
      </c>
      <c r="H399" s="9" t="s">
        <v>22</v>
      </c>
      <c r="I399" s="9" t="s">
        <v>17</v>
      </c>
      <c r="J399" s="9">
        <v>2</v>
      </c>
      <c r="K399" s="9" t="s">
        <v>26</v>
      </c>
      <c r="L399" s="9" t="s">
        <v>27</v>
      </c>
      <c r="M399" s="9">
        <v>58</v>
      </c>
      <c r="N399" s="9" t="str" cm="1">
        <f t="array" ref="N399">_xlfn.IFS(
M399&lt;=12,"Children",
M399&lt;=19,"Teens",
M399&lt;=29,"Young Adults",
M399&lt;=39,"Adults",
M399&lt;=59,"Middle-Aged",
M399&gt;=60,"Seniors"
)</f>
        <v>Middle-Aged</v>
      </c>
      <c r="O399" s="9" t="s">
        <v>20</v>
      </c>
      <c r="P399" s="9">
        <f t="shared" si="12"/>
        <v>0</v>
      </c>
      <c r="Q399" s="9">
        <v>1</v>
      </c>
      <c r="R399" s="10">
        <f t="shared" si="13"/>
        <v>0</v>
      </c>
    </row>
    <row r="400" spans="1:18" x14ac:dyDescent="0.3">
      <c r="A400" s="9">
        <v>27771</v>
      </c>
      <c r="B400" s="9" t="s">
        <v>40</v>
      </c>
      <c r="C400" s="9" t="s">
        <v>39</v>
      </c>
      <c r="D400" s="10">
        <v>30000</v>
      </c>
      <c r="E400" s="9" t="str" cm="1">
        <f t="array" ref="E400">_xlfn.IFS(D400&lt;= 60000, "Low Income",
D400&lt;=120000,"Medium Income",
D400&gt; 120000,"High Income"
)</f>
        <v>Low Income</v>
      </c>
      <c r="F400" s="9">
        <v>1</v>
      </c>
      <c r="G400" s="9" t="s">
        <v>15</v>
      </c>
      <c r="H400" s="9" t="s">
        <v>22</v>
      </c>
      <c r="I400" s="9" t="s">
        <v>17</v>
      </c>
      <c r="J400" s="9">
        <v>1</v>
      </c>
      <c r="K400" s="9" t="s">
        <v>29</v>
      </c>
      <c r="L400" s="9" t="s">
        <v>19</v>
      </c>
      <c r="M400" s="9">
        <v>39</v>
      </c>
      <c r="N400" s="9" t="str" cm="1">
        <f t="array" ref="N400">_xlfn.IFS(
M400&lt;=12,"Children",
M400&lt;=19,"Teens",
M400&lt;=29,"Young Adults",
M400&lt;=39,"Adults",
M400&lt;=59,"Middle-Aged",
M400&gt;=60,"Seniors"
)</f>
        <v>Adults</v>
      </c>
      <c r="O400" s="9" t="s">
        <v>17</v>
      </c>
      <c r="P400" s="9">
        <f t="shared" si="12"/>
        <v>1</v>
      </c>
      <c r="Q400" s="9">
        <v>1</v>
      </c>
      <c r="R400" s="10">
        <f t="shared" si="13"/>
        <v>30000</v>
      </c>
    </row>
    <row r="401" spans="1:18" x14ac:dyDescent="0.3">
      <c r="A401" s="9">
        <v>26167</v>
      </c>
      <c r="B401" s="9" t="s">
        <v>40</v>
      </c>
      <c r="C401" s="9" t="s">
        <v>38</v>
      </c>
      <c r="D401" s="10">
        <v>40000</v>
      </c>
      <c r="E401" s="9" t="str" cm="1">
        <f t="array" ref="E401">_xlfn.IFS(D401&lt;= 60000, "Low Income",
D401&lt;=120000,"Medium Income",
D401&gt; 120000,"High Income"
)</f>
        <v>Low Income</v>
      </c>
      <c r="F401" s="9">
        <v>2</v>
      </c>
      <c r="G401" s="9" t="s">
        <v>15</v>
      </c>
      <c r="H401" s="9" t="s">
        <v>31</v>
      </c>
      <c r="I401" s="9" t="s">
        <v>20</v>
      </c>
      <c r="J401" s="9">
        <v>1</v>
      </c>
      <c r="K401" s="9" t="s">
        <v>26</v>
      </c>
      <c r="L401" s="9" t="s">
        <v>27</v>
      </c>
      <c r="M401" s="9">
        <v>53</v>
      </c>
      <c r="N401" s="9" t="str" cm="1">
        <f t="array" ref="N401">_xlfn.IFS(
M401&lt;=12,"Children",
M401&lt;=19,"Teens",
M401&lt;=29,"Young Adults",
M401&lt;=39,"Adults",
M401&lt;=59,"Middle-Aged",
M401&gt;=60,"Seniors"
)</f>
        <v>Middle-Aged</v>
      </c>
      <c r="O401" s="9" t="s">
        <v>17</v>
      </c>
      <c r="P401" s="9">
        <f t="shared" si="12"/>
        <v>1</v>
      </c>
      <c r="Q401" s="9">
        <v>1</v>
      </c>
      <c r="R401" s="10">
        <f t="shared" si="13"/>
        <v>40000</v>
      </c>
    </row>
    <row r="402" spans="1:18" x14ac:dyDescent="0.3">
      <c r="A402" s="9">
        <v>25792</v>
      </c>
      <c r="B402" s="9" t="s">
        <v>40</v>
      </c>
      <c r="C402" s="9" t="s">
        <v>38</v>
      </c>
      <c r="D402" s="10">
        <v>110000</v>
      </c>
      <c r="E402" s="9" t="str" cm="1">
        <f t="array" ref="E402">_xlfn.IFS(D402&lt;= 60000, "Low Income",
D402&lt;=120000,"Medium Income",
D402&gt; 120000,"High Income"
)</f>
        <v>Medium Income</v>
      </c>
      <c r="F402" s="9">
        <v>3</v>
      </c>
      <c r="G402" s="9" t="s">
        <v>15</v>
      </c>
      <c r="H402" s="9" t="s">
        <v>31</v>
      </c>
      <c r="I402" s="9" t="s">
        <v>17</v>
      </c>
      <c r="J402" s="9">
        <v>4</v>
      </c>
      <c r="K402" s="9" t="s">
        <v>41</v>
      </c>
      <c r="L402" s="9" t="s">
        <v>19</v>
      </c>
      <c r="M402" s="9">
        <v>53</v>
      </c>
      <c r="N402" s="9" t="str" cm="1">
        <f t="array" ref="N402">_xlfn.IFS(
M402&lt;=12,"Children",
M402&lt;=19,"Teens",
M402&lt;=29,"Young Adults",
M402&lt;=39,"Adults",
M402&lt;=59,"Middle-Aged",
M402&gt;=60,"Seniors"
)</f>
        <v>Middle-Aged</v>
      </c>
      <c r="O402" s="9" t="s">
        <v>20</v>
      </c>
      <c r="P402" s="9">
        <f t="shared" si="12"/>
        <v>0</v>
      </c>
      <c r="Q402" s="9">
        <v>1</v>
      </c>
      <c r="R402" s="10">
        <f t="shared" si="13"/>
        <v>0</v>
      </c>
    </row>
    <row r="403" spans="1:18" x14ac:dyDescent="0.3">
      <c r="A403" s="9">
        <v>11555</v>
      </c>
      <c r="B403" s="9" t="s">
        <v>37</v>
      </c>
      <c r="C403" s="9" t="s">
        <v>38</v>
      </c>
      <c r="D403" s="10">
        <v>40000</v>
      </c>
      <c r="E403" s="9" t="str" cm="1">
        <f t="array" ref="E403">_xlfn.IFS(D403&lt;= 60000, "Low Income",
D403&lt;=120000,"Medium Income",
D403&gt; 120000,"High Income"
)</f>
        <v>Low Income</v>
      </c>
      <c r="F403" s="9">
        <v>1</v>
      </c>
      <c r="G403" s="9" t="s">
        <v>15</v>
      </c>
      <c r="H403" s="9" t="s">
        <v>22</v>
      </c>
      <c r="I403" s="9" t="s">
        <v>17</v>
      </c>
      <c r="J403" s="9">
        <v>0</v>
      </c>
      <c r="K403" s="9" t="s">
        <v>18</v>
      </c>
      <c r="L403" s="9" t="s">
        <v>19</v>
      </c>
      <c r="M403" s="9">
        <v>80</v>
      </c>
      <c r="N403" s="9" t="str" cm="1">
        <f t="array" ref="N403">_xlfn.IFS(
M403&lt;=12,"Children",
M403&lt;=19,"Teens",
M403&lt;=29,"Young Adults",
M403&lt;=39,"Adults",
M403&lt;=59,"Middle-Aged",
M403&gt;=60,"Seniors"
)</f>
        <v>Seniors</v>
      </c>
      <c r="O403" s="9" t="s">
        <v>20</v>
      </c>
      <c r="P403" s="9">
        <f t="shared" si="12"/>
        <v>0</v>
      </c>
      <c r="Q403" s="9">
        <v>1</v>
      </c>
      <c r="R403" s="10">
        <f t="shared" si="13"/>
        <v>0</v>
      </c>
    </row>
    <row r="404" spans="1:18" x14ac:dyDescent="0.3">
      <c r="A404" s="9">
        <v>22381</v>
      </c>
      <c r="B404" s="9" t="s">
        <v>37</v>
      </c>
      <c r="C404" s="9" t="s">
        <v>39</v>
      </c>
      <c r="D404" s="10">
        <v>10000</v>
      </c>
      <c r="E404" s="9" t="str" cm="1">
        <f t="array" ref="E404">_xlfn.IFS(D404&lt;= 60000, "Low Income",
D404&lt;=120000,"Medium Income",
D404&gt; 120000,"High Income"
)</f>
        <v>Low Income</v>
      </c>
      <c r="F404" s="9">
        <v>1</v>
      </c>
      <c r="G404" s="9" t="s">
        <v>34</v>
      </c>
      <c r="H404" s="9" t="s">
        <v>28</v>
      </c>
      <c r="I404" s="9" t="s">
        <v>17</v>
      </c>
      <c r="J404" s="9">
        <v>0</v>
      </c>
      <c r="K404" s="9" t="s">
        <v>18</v>
      </c>
      <c r="L404" s="9" t="s">
        <v>19</v>
      </c>
      <c r="M404" s="9">
        <v>44</v>
      </c>
      <c r="N404" s="9" t="str" cm="1">
        <f t="array" ref="N404">_xlfn.IFS(
M404&lt;=12,"Children",
M404&lt;=19,"Teens",
M404&lt;=29,"Young Adults",
M404&lt;=39,"Adults",
M404&lt;=59,"Middle-Aged",
M404&gt;=60,"Seniors"
)</f>
        <v>Middle-Aged</v>
      </c>
      <c r="O404" s="9" t="s">
        <v>20</v>
      </c>
      <c r="P404" s="9">
        <f t="shared" si="12"/>
        <v>0</v>
      </c>
      <c r="Q404" s="9">
        <v>1</v>
      </c>
      <c r="R404" s="10">
        <f t="shared" si="13"/>
        <v>0</v>
      </c>
    </row>
    <row r="405" spans="1:18" x14ac:dyDescent="0.3">
      <c r="A405" s="9">
        <v>17882</v>
      </c>
      <c r="B405" s="9" t="s">
        <v>37</v>
      </c>
      <c r="C405" s="9" t="s">
        <v>39</v>
      </c>
      <c r="D405" s="10">
        <v>20000</v>
      </c>
      <c r="E405" s="9" t="str" cm="1">
        <f t="array" ref="E405">_xlfn.IFS(D405&lt;= 60000, "Low Income",
D405&lt;=120000,"Medium Income",
D405&gt; 120000,"High Income"
)</f>
        <v>Low Income</v>
      </c>
      <c r="F405" s="9">
        <v>1</v>
      </c>
      <c r="G405" s="9" t="s">
        <v>34</v>
      </c>
      <c r="H405" s="9" t="s">
        <v>22</v>
      </c>
      <c r="I405" s="9" t="s">
        <v>17</v>
      </c>
      <c r="J405" s="9">
        <v>0</v>
      </c>
      <c r="K405" s="9" t="s">
        <v>18</v>
      </c>
      <c r="L405" s="9" t="s">
        <v>19</v>
      </c>
      <c r="M405" s="9">
        <v>44</v>
      </c>
      <c r="N405" s="9" t="str" cm="1">
        <f t="array" ref="N405">_xlfn.IFS(
M405&lt;=12,"Children",
M405&lt;=19,"Teens",
M405&lt;=29,"Young Adults",
M405&lt;=39,"Adults",
M405&lt;=59,"Middle-Aged",
M405&gt;=60,"Seniors"
)</f>
        <v>Middle-Aged</v>
      </c>
      <c r="O405" s="9" t="s">
        <v>20</v>
      </c>
      <c r="P405" s="9">
        <f t="shared" si="12"/>
        <v>0</v>
      </c>
      <c r="Q405" s="9">
        <v>1</v>
      </c>
      <c r="R405" s="10">
        <f t="shared" si="13"/>
        <v>0</v>
      </c>
    </row>
    <row r="406" spans="1:18" x14ac:dyDescent="0.3">
      <c r="A406" s="9">
        <v>22174</v>
      </c>
      <c r="B406" s="9" t="s">
        <v>37</v>
      </c>
      <c r="C406" s="9" t="s">
        <v>39</v>
      </c>
      <c r="D406" s="10">
        <v>30000</v>
      </c>
      <c r="E406" s="9" t="str" cm="1">
        <f t="array" ref="E406">_xlfn.IFS(D406&lt;= 60000, "Low Income",
D406&lt;=120000,"Medium Income",
D406&gt; 120000,"High Income"
)</f>
        <v>Low Income</v>
      </c>
      <c r="F406" s="9">
        <v>3</v>
      </c>
      <c r="G406" s="9" t="s">
        <v>30</v>
      </c>
      <c r="H406" s="9" t="s">
        <v>16</v>
      </c>
      <c r="I406" s="9" t="s">
        <v>17</v>
      </c>
      <c r="J406" s="9">
        <v>2</v>
      </c>
      <c r="K406" s="9" t="s">
        <v>26</v>
      </c>
      <c r="L406" s="9" t="s">
        <v>27</v>
      </c>
      <c r="M406" s="9">
        <v>54</v>
      </c>
      <c r="N406" s="9" t="str" cm="1">
        <f t="array" ref="N406">_xlfn.IFS(
M406&lt;=12,"Children",
M406&lt;=19,"Teens",
M406&lt;=29,"Young Adults",
M406&lt;=39,"Adults",
M406&lt;=59,"Middle-Aged",
M406&gt;=60,"Seniors"
)</f>
        <v>Middle-Aged</v>
      </c>
      <c r="O406" s="9" t="s">
        <v>17</v>
      </c>
      <c r="P406" s="9">
        <f t="shared" si="12"/>
        <v>1</v>
      </c>
      <c r="Q406" s="9">
        <v>1</v>
      </c>
      <c r="R406" s="10">
        <f t="shared" si="13"/>
        <v>30000</v>
      </c>
    </row>
    <row r="407" spans="1:18" x14ac:dyDescent="0.3">
      <c r="A407" s="9">
        <v>22439</v>
      </c>
      <c r="B407" s="9" t="s">
        <v>37</v>
      </c>
      <c r="C407" s="9" t="s">
        <v>38</v>
      </c>
      <c r="D407" s="10">
        <v>30000</v>
      </c>
      <c r="E407" s="9" t="str" cm="1">
        <f t="array" ref="E407">_xlfn.IFS(D407&lt;= 60000, "Low Income",
D407&lt;=120000,"Medium Income",
D407&gt; 120000,"High Income"
)</f>
        <v>Low Income</v>
      </c>
      <c r="F407" s="9">
        <v>0</v>
      </c>
      <c r="G407" s="9" t="s">
        <v>15</v>
      </c>
      <c r="H407" s="9" t="s">
        <v>22</v>
      </c>
      <c r="I407" s="9" t="s">
        <v>17</v>
      </c>
      <c r="J407" s="9">
        <v>0</v>
      </c>
      <c r="K407" s="9" t="s">
        <v>18</v>
      </c>
      <c r="L407" s="9" t="s">
        <v>19</v>
      </c>
      <c r="M407" s="9">
        <v>37</v>
      </c>
      <c r="N407" s="9" t="str" cm="1">
        <f t="array" ref="N407">_xlfn.IFS(
M407&lt;=12,"Children",
M407&lt;=19,"Teens",
M407&lt;=29,"Young Adults",
M407&lt;=39,"Adults",
M407&lt;=59,"Middle-Aged",
M407&gt;=60,"Seniors"
)</f>
        <v>Adults</v>
      </c>
      <c r="O407" s="9" t="s">
        <v>17</v>
      </c>
      <c r="P407" s="9">
        <f t="shared" si="12"/>
        <v>1</v>
      </c>
      <c r="Q407" s="9">
        <v>1</v>
      </c>
      <c r="R407" s="10">
        <f t="shared" si="13"/>
        <v>30000</v>
      </c>
    </row>
    <row r="408" spans="1:18" x14ac:dyDescent="0.3">
      <c r="A408" s="9">
        <v>18012</v>
      </c>
      <c r="B408" s="9" t="s">
        <v>37</v>
      </c>
      <c r="C408" s="9" t="s">
        <v>38</v>
      </c>
      <c r="D408" s="10">
        <v>40000</v>
      </c>
      <c r="E408" s="9" t="str" cm="1">
        <f t="array" ref="E408">_xlfn.IFS(D408&lt;= 60000, "Low Income",
D408&lt;=120000,"Medium Income",
D408&gt; 120000,"High Income"
)</f>
        <v>Low Income</v>
      </c>
      <c r="F408" s="9">
        <v>1</v>
      </c>
      <c r="G408" s="9" t="s">
        <v>15</v>
      </c>
      <c r="H408" s="9" t="s">
        <v>16</v>
      </c>
      <c r="I408" s="9" t="s">
        <v>17</v>
      </c>
      <c r="J408" s="9">
        <v>0</v>
      </c>
      <c r="K408" s="9" t="s">
        <v>18</v>
      </c>
      <c r="L408" s="9" t="s">
        <v>19</v>
      </c>
      <c r="M408" s="9">
        <v>41</v>
      </c>
      <c r="N408" s="9" t="str" cm="1">
        <f t="array" ref="N408">_xlfn.IFS(
M408&lt;=12,"Children",
M408&lt;=19,"Teens",
M408&lt;=29,"Young Adults",
M408&lt;=39,"Adults",
M408&lt;=59,"Middle-Aged",
M408&gt;=60,"Seniors"
)</f>
        <v>Middle-Aged</v>
      </c>
      <c r="O408" s="9" t="s">
        <v>20</v>
      </c>
      <c r="P408" s="9">
        <f t="shared" si="12"/>
        <v>0</v>
      </c>
      <c r="Q408" s="9">
        <v>1</v>
      </c>
      <c r="R408" s="10">
        <f t="shared" si="13"/>
        <v>0</v>
      </c>
    </row>
    <row r="409" spans="1:18" x14ac:dyDescent="0.3">
      <c r="A409" s="9">
        <v>27582</v>
      </c>
      <c r="B409" s="9" t="s">
        <v>40</v>
      </c>
      <c r="C409" s="9" t="s">
        <v>38</v>
      </c>
      <c r="D409" s="10">
        <v>90000</v>
      </c>
      <c r="E409" s="9" t="str" cm="1">
        <f t="array" ref="E409">_xlfn.IFS(D409&lt;= 60000, "Low Income",
D409&lt;=120000,"Medium Income",
D409&gt; 120000,"High Income"
)</f>
        <v>Medium Income</v>
      </c>
      <c r="F409" s="9">
        <v>2</v>
      </c>
      <c r="G409" s="9" t="s">
        <v>15</v>
      </c>
      <c r="H409" s="9" t="s">
        <v>23</v>
      </c>
      <c r="I409" s="9" t="s">
        <v>20</v>
      </c>
      <c r="J409" s="9">
        <v>0</v>
      </c>
      <c r="K409" s="9" t="s">
        <v>18</v>
      </c>
      <c r="L409" s="9" t="s">
        <v>27</v>
      </c>
      <c r="M409" s="9">
        <v>36</v>
      </c>
      <c r="N409" s="9" t="str" cm="1">
        <f t="array" ref="N409">_xlfn.IFS(
M409&lt;=12,"Children",
M409&lt;=19,"Teens",
M409&lt;=29,"Young Adults",
M409&lt;=39,"Adults",
M409&lt;=59,"Middle-Aged",
M409&gt;=60,"Seniors"
)</f>
        <v>Adults</v>
      </c>
      <c r="O409" s="9" t="s">
        <v>17</v>
      </c>
      <c r="P409" s="9">
        <f t="shared" si="12"/>
        <v>1</v>
      </c>
      <c r="Q409" s="9">
        <v>1</v>
      </c>
      <c r="R409" s="10">
        <f t="shared" si="13"/>
        <v>90000</v>
      </c>
    </row>
    <row r="410" spans="1:18" x14ac:dyDescent="0.3">
      <c r="A410" s="9">
        <v>12744</v>
      </c>
      <c r="B410" s="9" t="s">
        <v>40</v>
      </c>
      <c r="C410" s="9" t="s">
        <v>38</v>
      </c>
      <c r="D410" s="10">
        <v>40000</v>
      </c>
      <c r="E410" s="9" t="str" cm="1">
        <f t="array" ref="E410">_xlfn.IFS(D410&lt;= 60000, "Low Income",
D410&lt;=120000,"Medium Income",
D410&gt; 120000,"High Income"
)</f>
        <v>Low Income</v>
      </c>
      <c r="F410" s="9">
        <v>2</v>
      </c>
      <c r="G410" s="9" t="s">
        <v>21</v>
      </c>
      <c r="H410" s="9" t="s">
        <v>22</v>
      </c>
      <c r="I410" s="9" t="s">
        <v>17</v>
      </c>
      <c r="J410" s="9">
        <v>0</v>
      </c>
      <c r="K410" s="9" t="s">
        <v>18</v>
      </c>
      <c r="L410" s="9" t="s">
        <v>19</v>
      </c>
      <c r="M410" s="9">
        <v>33</v>
      </c>
      <c r="N410" s="9" t="str" cm="1">
        <f t="array" ref="N410">_xlfn.IFS(
M410&lt;=12,"Children",
M410&lt;=19,"Teens",
M410&lt;=29,"Young Adults",
M410&lt;=39,"Adults",
M410&lt;=59,"Middle-Aged",
M410&gt;=60,"Seniors"
)</f>
        <v>Adults</v>
      </c>
      <c r="O410" s="9" t="s">
        <v>20</v>
      </c>
      <c r="P410" s="9">
        <f t="shared" si="12"/>
        <v>0</v>
      </c>
      <c r="Q410" s="9">
        <v>1</v>
      </c>
      <c r="R410" s="10">
        <f t="shared" si="13"/>
        <v>0</v>
      </c>
    </row>
    <row r="411" spans="1:18" x14ac:dyDescent="0.3">
      <c r="A411" s="9">
        <v>22821</v>
      </c>
      <c r="B411" s="9" t="s">
        <v>37</v>
      </c>
      <c r="C411" s="9" t="s">
        <v>38</v>
      </c>
      <c r="D411" s="10">
        <v>130000</v>
      </c>
      <c r="E411" s="9" t="str" cm="1">
        <f t="array" ref="E411">_xlfn.IFS(D411&lt;= 60000, "Low Income",
D411&lt;=120000,"Medium Income",
D411&gt; 120000,"High Income"
)</f>
        <v>High Income</v>
      </c>
      <c r="F411" s="9">
        <v>3</v>
      </c>
      <c r="G411" s="9" t="s">
        <v>21</v>
      </c>
      <c r="H411" s="9" t="s">
        <v>23</v>
      </c>
      <c r="I411" s="9" t="s">
        <v>17</v>
      </c>
      <c r="J411" s="9">
        <v>4</v>
      </c>
      <c r="K411" s="9" t="s">
        <v>18</v>
      </c>
      <c r="L411" s="9" t="s">
        <v>19</v>
      </c>
      <c r="M411" s="9">
        <v>52</v>
      </c>
      <c r="N411" s="9" t="str" cm="1">
        <f t="array" ref="N411">_xlfn.IFS(
M411&lt;=12,"Children",
M411&lt;=19,"Teens",
M411&lt;=29,"Young Adults",
M411&lt;=39,"Adults",
M411&lt;=59,"Middle-Aged",
M411&gt;=60,"Seniors"
)</f>
        <v>Middle-Aged</v>
      </c>
      <c r="O411" s="9" t="s">
        <v>20</v>
      </c>
      <c r="P411" s="9">
        <f t="shared" si="12"/>
        <v>0</v>
      </c>
      <c r="Q411" s="9">
        <v>1</v>
      </c>
      <c r="R411" s="10">
        <f t="shared" si="13"/>
        <v>0</v>
      </c>
    </row>
    <row r="412" spans="1:18" x14ac:dyDescent="0.3">
      <c r="A412" s="9">
        <v>20171</v>
      </c>
      <c r="B412" s="9" t="s">
        <v>37</v>
      </c>
      <c r="C412" s="9" t="s">
        <v>38</v>
      </c>
      <c r="D412" s="10">
        <v>20000</v>
      </c>
      <c r="E412" s="9" t="str" cm="1">
        <f t="array" ref="E412">_xlfn.IFS(D412&lt;= 60000, "Low Income",
D412&lt;=120000,"Medium Income",
D412&gt; 120000,"High Income"
)</f>
        <v>Low Income</v>
      </c>
      <c r="F412" s="9">
        <v>2</v>
      </c>
      <c r="G412" s="9" t="s">
        <v>21</v>
      </c>
      <c r="H412" s="9" t="s">
        <v>28</v>
      </c>
      <c r="I412" s="9" t="s">
        <v>17</v>
      </c>
      <c r="J412" s="9">
        <v>1</v>
      </c>
      <c r="K412" s="9" t="s">
        <v>18</v>
      </c>
      <c r="L412" s="9" t="s">
        <v>19</v>
      </c>
      <c r="M412" s="9">
        <v>46</v>
      </c>
      <c r="N412" s="9" t="str" cm="1">
        <f t="array" ref="N412">_xlfn.IFS(
M412&lt;=12,"Children",
M412&lt;=19,"Teens",
M412&lt;=29,"Young Adults",
M412&lt;=39,"Adults",
M412&lt;=59,"Middle-Aged",
M412&gt;=60,"Seniors"
)</f>
        <v>Middle-Aged</v>
      </c>
      <c r="O412" s="9" t="s">
        <v>17</v>
      </c>
      <c r="P412" s="9">
        <f t="shared" si="12"/>
        <v>1</v>
      </c>
      <c r="Q412" s="9">
        <v>1</v>
      </c>
      <c r="R412" s="10">
        <f t="shared" si="13"/>
        <v>20000</v>
      </c>
    </row>
    <row r="413" spans="1:18" x14ac:dyDescent="0.3">
      <c r="A413" s="9">
        <v>11116</v>
      </c>
      <c r="B413" s="9" t="s">
        <v>37</v>
      </c>
      <c r="C413" s="9" t="s">
        <v>39</v>
      </c>
      <c r="D413" s="10">
        <v>70000</v>
      </c>
      <c r="E413" s="9" t="str" cm="1">
        <f t="array" ref="E413">_xlfn.IFS(D413&lt;= 60000, "Low Income",
D413&lt;=120000,"Medium Income",
D413&gt; 120000,"High Income"
)</f>
        <v>Medium Income</v>
      </c>
      <c r="F413" s="9">
        <v>5</v>
      </c>
      <c r="G413" s="9" t="s">
        <v>21</v>
      </c>
      <c r="H413" s="9" t="s">
        <v>16</v>
      </c>
      <c r="I413" s="9" t="s">
        <v>17</v>
      </c>
      <c r="J413" s="9">
        <v>2</v>
      </c>
      <c r="K413" s="9" t="s">
        <v>26</v>
      </c>
      <c r="L413" s="9" t="s">
        <v>27</v>
      </c>
      <c r="M413" s="9">
        <v>43</v>
      </c>
      <c r="N413" s="9" t="str" cm="1">
        <f t="array" ref="N413">_xlfn.IFS(
M413&lt;=12,"Children",
M413&lt;=19,"Teens",
M413&lt;=29,"Young Adults",
M413&lt;=39,"Adults",
M413&lt;=59,"Middle-Aged",
M413&gt;=60,"Seniors"
)</f>
        <v>Middle-Aged</v>
      </c>
      <c r="O413" s="9" t="s">
        <v>20</v>
      </c>
      <c r="P413" s="9">
        <f t="shared" si="12"/>
        <v>0</v>
      </c>
      <c r="Q413" s="9">
        <v>1</v>
      </c>
      <c r="R413" s="10">
        <f t="shared" si="13"/>
        <v>0</v>
      </c>
    </row>
    <row r="414" spans="1:18" x14ac:dyDescent="0.3">
      <c r="A414" s="9">
        <v>20053</v>
      </c>
      <c r="B414" s="9" t="s">
        <v>40</v>
      </c>
      <c r="C414" s="9" t="s">
        <v>39</v>
      </c>
      <c r="D414" s="10">
        <v>40000</v>
      </c>
      <c r="E414" s="9" t="str" cm="1">
        <f t="array" ref="E414">_xlfn.IFS(D414&lt;= 60000, "Low Income",
D414&lt;=120000,"Medium Income",
D414&gt; 120000,"High Income"
)</f>
        <v>Low Income</v>
      </c>
      <c r="F414" s="9">
        <v>2</v>
      </c>
      <c r="G414" s="9" t="s">
        <v>21</v>
      </c>
      <c r="H414" s="9" t="s">
        <v>22</v>
      </c>
      <c r="I414" s="9" t="s">
        <v>17</v>
      </c>
      <c r="J414" s="9">
        <v>0</v>
      </c>
      <c r="K414" s="9" t="s">
        <v>18</v>
      </c>
      <c r="L414" s="9" t="s">
        <v>19</v>
      </c>
      <c r="M414" s="9">
        <v>34</v>
      </c>
      <c r="N414" s="9" t="str" cm="1">
        <f t="array" ref="N414">_xlfn.IFS(
M414&lt;=12,"Children",
M414&lt;=19,"Teens",
M414&lt;=29,"Young Adults",
M414&lt;=39,"Adults",
M414&lt;=59,"Middle-Aged",
M414&gt;=60,"Seniors"
)</f>
        <v>Adults</v>
      </c>
      <c r="O414" s="9" t="s">
        <v>20</v>
      </c>
      <c r="P414" s="9">
        <f t="shared" si="12"/>
        <v>0</v>
      </c>
      <c r="Q414" s="9">
        <v>1</v>
      </c>
      <c r="R414" s="10">
        <f t="shared" si="13"/>
        <v>0</v>
      </c>
    </row>
    <row r="415" spans="1:18" x14ac:dyDescent="0.3">
      <c r="A415" s="9">
        <v>25266</v>
      </c>
      <c r="B415" s="9" t="s">
        <v>40</v>
      </c>
      <c r="C415" s="9" t="s">
        <v>38</v>
      </c>
      <c r="D415" s="10">
        <v>30000</v>
      </c>
      <c r="E415" s="9" t="str" cm="1">
        <f t="array" ref="E415">_xlfn.IFS(D415&lt;= 60000, "Low Income",
D415&lt;=120000,"Medium Income",
D415&gt; 120000,"High Income"
)</f>
        <v>Low Income</v>
      </c>
      <c r="F415" s="9">
        <v>2</v>
      </c>
      <c r="G415" s="9" t="s">
        <v>21</v>
      </c>
      <c r="H415" s="9" t="s">
        <v>22</v>
      </c>
      <c r="I415" s="9" t="s">
        <v>20</v>
      </c>
      <c r="J415" s="9">
        <v>2</v>
      </c>
      <c r="K415" s="9" t="s">
        <v>26</v>
      </c>
      <c r="L415" s="9" t="s">
        <v>27</v>
      </c>
      <c r="M415" s="9">
        <v>67</v>
      </c>
      <c r="N415" s="9" t="str" cm="1">
        <f t="array" ref="N415">_xlfn.IFS(
M415&lt;=12,"Children",
M415&lt;=19,"Teens",
M415&lt;=29,"Young Adults",
M415&lt;=39,"Adults",
M415&lt;=59,"Middle-Aged",
M415&gt;=60,"Seniors"
)</f>
        <v>Seniors</v>
      </c>
      <c r="O415" s="9" t="s">
        <v>20</v>
      </c>
      <c r="P415" s="9">
        <f t="shared" si="12"/>
        <v>0</v>
      </c>
      <c r="Q415" s="9">
        <v>1</v>
      </c>
      <c r="R415" s="10">
        <f t="shared" si="13"/>
        <v>0</v>
      </c>
    </row>
    <row r="416" spans="1:18" x14ac:dyDescent="0.3">
      <c r="A416" s="9">
        <v>17960</v>
      </c>
      <c r="B416" s="9" t="s">
        <v>37</v>
      </c>
      <c r="C416" s="9" t="s">
        <v>38</v>
      </c>
      <c r="D416" s="10">
        <v>40000</v>
      </c>
      <c r="E416" s="9" t="str" cm="1">
        <f t="array" ref="E416">_xlfn.IFS(D416&lt;= 60000, "Low Income",
D416&lt;=120000,"Medium Income",
D416&gt; 120000,"High Income"
)</f>
        <v>Low Income</v>
      </c>
      <c r="F416" s="9">
        <v>0</v>
      </c>
      <c r="G416" s="9" t="s">
        <v>34</v>
      </c>
      <c r="H416" s="9" t="s">
        <v>22</v>
      </c>
      <c r="I416" s="9" t="s">
        <v>17</v>
      </c>
      <c r="J416" s="9">
        <v>0</v>
      </c>
      <c r="K416" s="9" t="s">
        <v>18</v>
      </c>
      <c r="L416" s="9" t="s">
        <v>19</v>
      </c>
      <c r="M416" s="9">
        <v>35</v>
      </c>
      <c r="N416" s="9" t="str" cm="1">
        <f t="array" ref="N416">_xlfn.IFS(
M416&lt;=12,"Children",
M416&lt;=19,"Teens",
M416&lt;=29,"Young Adults",
M416&lt;=39,"Adults",
M416&lt;=59,"Middle-Aged",
M416&gt;=60,"Seniors"
)</f>
        <v>Adults</v>
      </c>
      <c r="O416" s="9" t="s">
        <v>17</v>
      </c>
      <c r="P416" s="9">
        <f t="shared" si="12"/>
        <v>1</v>
      </c>
      <c r="Q416" s="9">
        <v>1</v>
      </c>
      <c r="R416" s="10">
        <f t="shared" si="13"/>
        <v>40000</v>
      </c>
    </row>
    <row r="417" spans="1:18" x14ac:dyDescent="0.3">
      <c r="A417" s="9">
        <v>13961</v>
      </c>
      <c r="B417" s="9" t="s">
        <v>37</v>
      </c>
      <c r="C417" s="9" t="s">
        <v>38</v>
      </c>
      <c r="D417" s="10">
        <v>80000</v>
      </c>
      <c r="E417" s="9" t="str" cm="1">
        <f t="array" ref="E417">_xlfn.IFS(D417&lt;= 60000, "Low Income",
D417&lt;=120000,"Medium Income",
D417&gt; 120000,"High Income"
)</f>
        <v>Medium Income</v>
      </c>
      <c r="F417" s="9">
        <v>5</v>
      </c>
      <c r="G417" s="9" t="s">
        <v>34</v>
      </c>
      <c r="H417" s="9" t="s">
        <v>31</v>
      </c>
      <c r="I417" s="9" t="s">
        <v>17</v>
      </c>
      <c r="J417" s="9">
        <v>3</v>
      </c>
      <c r="K417" s="9" t="s">
        <v>18</v>
      </c>
      <c r="L417" s="9" t="s">
        <v>27</v>
      </c>
      <c r="M417" s="9">
        <v>40</v>
      </c>
      <c r="N417" s="9" t="str" cm="1">
        <f t="array" ref="N417">_xlfn.IFS(
M417&lt;=12,"Children",
M417&lt;=19,"Teens",
M417&lt;=29,"Young Adults",
M417&lt;=39,"Adults",
M417&lt;=59,"Middle-Aged",
M417&gt;=60,"Seniors"
)</f>
        <v>Middle-Aged</v>
      </c>
      <c r="O417" s="9" t="s">
        <v>20</v>
      </c>
      <c r="P417" s="9">
        <f t="shared" si="12"/>
        <v>0</v>
      </c>
      <c r="Q417" s="9">
        <v>1</v>
      </c>
      <c r="R417" s="10">
        <f t="shared" si="13"/>
        <v>0</v>
      </c>
    </row>
    <row r="418" spans="1:18" x14ac:dyDescent="0.3">
      <c r="A418" s="9">
        <v>11897</v>
      </c>
      <c r="B418" s="9" t="s">
        <v>40</v>
      </c>
      <c r="C418" s="9" t="s">
        <v>39</v>
      </c>
      <c r="D418" s="10">
        <v>60000</v>
      </c>
      <c r="E418" s="9" t="str" cm="1">
        <f t="array" ref="E418">_xlfn.IFS(D418&lt;= 60000, "Low Income",
D418&lt;=120000,"Medium Income",
D418&gt; 120000,"High Income"
)</f>
        <v>Low Income</v>
      </c>
      <c r="F418" s="9">
        <v>2</v>
      </c>
      <c r="G418" s="9" t="s">
        <v>15</v>
      </c>
      <c r="H418" s="9" t="s">
        <v>23</v>
      </c>
      <c r="I418" s="9" t="s">
        <v>20</v>
      </c>
      <c r="J418" s="9">
        <v>1</v>
      </c>
      <c r="K418" s="9" t="s">
        <v>18</v>
      </c>
      <c r="L418" s="9" t="s">
        <v>27</v>
      </c>
      <c r="M418" s="9">
        <v>37</v>
      </c>
      <c r="N418" s="9" t="str" cm="1">
        <f t="array" ref="N418">_xlfn.IFS(
M418&lt;=12,"Children",
M418&lt;=19,"Teens",
M418&lt;=29,"Young Adults",
M418&lt;=39,"Adults",
M418&lt;=59,"Middle-Aged",
M418&gt;=60,"Seniors"
)</f>
        <v>Adults</v>
      </c>
      <c r="O418" s="9" t="s">
        <v>17</v>
      </c>
      <c r="P418" s="9">
        <f t="shared" si="12"/>
        <v>1</v>
      </c>
      <c r="Q418" s="9">
        <v>1</v>
      </c>
      <c r="R418" s="10">
        <f t="shared" si="13"/>
        <v>60000</v>
      </c>
    </row>
    <row r="419" spans="1:18" x14ac:dyDescent="0.3">
      <c r="A419" s="9">
        <v>11139</v>
      </c>
      <c r="B419" s="9" t="s">
        <v>40</v>
      </c>
      <c r="C419" s="9" t="s">
        <v>38</v>
      </c>
      <c r="D419" s="10">
        <v>30000</v>
      </c>
      <c r="E419" s="9" t="str" cm="1">
        <f t="array" ref="E419">_xlfn.IFS(D419&lt;= 60000, "Low Income",
D419&lt;=120000,"Medium Income",
D419&gt; 120000,"High Income"
)</f>
        <v>Low Income</v>
      </c>
      <c r="F419" s="9">
        <v>2</v>
      </c>
      <c r="G419" s="9" t="s">
        <v>21</v>
      </c>
      <c r="H419" s="9" t="s">
        <v>22</v>
      </c>
      <c r="I419" s="9" t="s">
        <v>20</v>
      </c>
      <c r="J419" s="9">
        <v>2</v>
      </c>
      <c r="K419" s="9" t="s">
        <v>26</v>
      </c>
      <c r="L419" s="9" t="s">
        <v>27</v>
      </c>
      <c r="M419" s="9">
        <v>67</v>
      </c>
      <c r="N419" s="9" t="str" cm="1">
        <f t="array" ref="N419">_xlfn.IFS(
M419&lt;=12,"Children",
M419&lt;=19,"Teens",
M419&lt;=29,"Young Adults",
M419&lt;=39,"Adults",
M419&lt;=59,"Middle-Aged",
M419&gt;=60,"Seniors"
)</f>
        <v>Seniors</v>
      </c>
      <c r="O419" s="9" t="s">
        <v>20</v>
      </c>
      <c r="P419" s="9">
        <f t="shared" si="12"/>
        <v>0</v>
      </c>
      <c r="Q419" s="9">
        <v>1</v>
      </c>
      <c r="R419" s="10">
        <f t="shared" si="13"/>
        <v>0</v>
      </c>
    </row>
    <row r="420" spans="1:18" x14ac:dyDescent="0.3">
      <c r="A420" s="9">
        <v>11576</v>
      </c>
      <c r="B420" s="9" t="s">
        <v>37</v>
      </c>
      <c r="C420" s="9" t="s">
        <v>39</v>
      </c>
      <c r="D420" s="10">
        <v>30000</v>
      </c>
      <c r="E420" s="9" t="str" cm="1">
        <f t="array" ref="E420">_xlfn.IFS(D420&lt;= 60000, "Low Income",
D420&lt;=120000,"Medium Income",
D420&gt; 120000,"High Income"
)</f>
        <v>Low Income</v>
      </c>
      <c r="F420" s="9">
        <v>1</v>
      </c>
      <c r="G420" s="9" t="s">
        <v>15</v>
      </c>
      <c r="H420" s="9" t="s">
        <v>16</v>
      </c>
      <c r="I420" s="9" t="s">
        <v>17</v>
      </c>
      <c r="J420" s="9">
        <v>2</v>
      </c>
      <c r="K420" s="9" t="s">
        <v>18</v>
      </c>
      <c r="L420" s="9" t="s">
        <v>19</v>
      </c>
      <c r="M420" s="9">
        <v>41</v>
      </c>
      <c r="N420" s="9" t="str" cm="1">
        <f t="array" ref="N420">_xlfn.IFS(
M420&lt;=12,"Children",
M420&lt;=19,"Teens",
M420&lt;=29,"Young Adults",
M420&lt;=39,"Adults",
M420&lt;=59,"Middle-Aged",
M420&gt;=60,"Seniors"
)</f>
        <v>Middle-Aged</v>
      </c>
      <c r="O420" s="9" t="s">
        <v>17</v>
      </c>
      <c r="P420" s="9">
        <f t="shared" si="12"/>
        <v>1</v>
      </c>
      <c r="Q420" s="9">
        <v>1</v>
      </c>
      <c r="R420" s="10">
        <f t="shared" si="13"/>
        <v>30000</v>
      </c>
    </row>
    <row r="421" spans="1:18" x14ac:dyDescent="0.3">
      <c r="A421" s="9">
        <v>19255</v>
      </c>
      <c r="B421" s="9" t="s">
        <v>40</v>
      </c>
      <c r="C421" s="9" t="s">
        <v>39</v>
      </c>
      <c r="D421" s="10">
        <v>10000</v>
      </c>
      <c r="E421" s="9" t="str" cm="1">
        <f t="array" ref="E421">_xlfn.IFS(D421&lt;= 60000, "Low Income",
D421&lt;=120000,"Medium Income",
D421&gt; 120000,"High Income"
)</f>
        <v>Low Income</v>
      </c>
      <c r="F421" s="9">
        <v>2</v>
      </c>
      <c r="G421" s="9" t="s">
        <v>21</v>
      </c>
      <c r="H421" s="9" t="s">
        <v>28</v>
      </c>
      <c r="I421" s="9" t="s">
        <v>17</v>
      </c>
      <c r="J421" s="9">
        <v>1</v>
      </c>
      <c r="K421" s="9" t="s">
        <v>18</v>
      </c>
      <c r="L421" s="9" t="s">
        <v>19</v>
      </c>
      <c r="M421" s="9">
        <v>51</v>
      </c>
      <c r="N421" s="9" t="str" cm="1">
        <f t="array" ref="N421">_xlfn.IFS(
M421&lt;=12,"Children",
M421&lt;=19,"Teens",
M421&lt;=29,"Young Adults",
M421&lt;=39,"Adults",
M421&lt;=59,"Middle-Aged",
M421&gt;=60,"Seniors"
)</f>
        <v>Middle-Aged</v>
      </c>
      <c r="O421" s="9" t="s">
        <v>17</v>
      </c>
      <c r="P421" s="9">
        <f t="shared" si="12"/>
        <v>1</v>
      </c>
      <c r="Q421" s="9">
        <v>1</v>
      </c>
      <c r="R421" s="10">
        <f t="shared" si="13"/>
        <v>10000</v>
      </c>
    </row>
    <row r="422" spans="1:18" x14ac:dyDescent="0.3">
      <c r="A422" s="9">
        <v>18153</v>
      </c>
      <c r="B422" s="9" t="s">
        <v>37</v>
      </c>
      <c r="C422" s="9" t="s">
        <v>38</v>
      </c>
      <c r="D422" s="10">
        <v>100000</v>
      </c>
      <c r="E422" s="9" t="str" cm="1">
        <f t="array" ref="E422">_xlfn.IFS(D422&lt;= 60000, "Low Income",
D422&lt;=120000,"Medium Income",
D422&gt; 120000,"High Income"
)</f>
        <v>Medium Income</v>
      </c>
      <c r="F422" s="9">
        <v>2</v>
      </c>
      <c r="G422" s="9" t="s">
        <v>15</v>
      </c>
      <c r="H422" s="9" t="s">
        <v>31</v>
      </c>
      <c r="I422" s="9" t="s">
        <v>17</v>
      </c>
      <c r="J422" s="9">
        <v>4</v>
      </c>
      <c r="K422" s="9" t="s">
        <v>41</v>
      </c>
      <c r="L422" s="9" t="s">
        <v>19</v>
      </c>
      <c r="M422" s="9">
        <v>59</v>
      </c>
      <c r="N422" s="9" t="str" cm="1">
        <f t="array" ref="N422">_xlfn.IFS(
M422&lt;=12,"Children",
M422&lt;=19,"Teens",
M422&lt;=29,"Young Adults",
M422&lt;=39,"Adults",
M422&lt;=59,"Middle-Aged",
M422&gt;=60,"Seniors"
)</f>
        <v>Middle-Aged</v>
      </c>
      <c r="O422" s="9" t="s">
        <v>20</v>
      </c>
      <c r="P422" s="9">
        <f t="shared" si="12"/>
        <v>0</v>
      </c>
      <c r="Q422" s="9">
        <v>1</v>
      </c>
      <c r="R422" s="10">
        <f t="shared" si="13"/>
        <v>0</v>
      </c>
    </row>
    <row r="423" spans="1:18" x14ac:dyDescent="0.3">
      <c r="A423" s="9">
        <v>14547</v>
      </c>
      <c r="B423" s="9" t="s">
        <v>37</v>
      </c>
      <c r="C423" s="9" t="s">
        <v>39</v>
      </c>
      <c r="D423" s="10">
        <v>10000</v>
      </c>
      <c r="E423" s="9" t="str" cm="1">
        <f t="array" ref="E423">_xlfn.IFS(D423&lt;= 60000, "Low Income",
D423&lt;=120000,"Medium Income",
D423&gt; 120000,"High Income"
)</f>
        <v>Low Income</v>
      </c>
      <c r="F423" s="9">
        <v>2</v>
      </c>
      <c r="G423" s="9" t="s">
        <v>21</v>
      </c>
      <c r="H423" s="9" t="s">
        <v>28</v>
      </c>
      <c r="I423" s="9" t="s">
        <v>17</v>
      </c>
      <c r="J423" s="9">
        <v>0</v>
      </c>
      <c r="K423" s="9" t="s">
        <v>29</v>
      </c>
      <c r="L423" s="9" t="s">
        <v>19</v>
      </c>
      <c r="M423" s="9">
        <v>51</v>
      </c>
      <c r="N423" s="9" t="str" cm="1">
        <f t="array" ref="N423">_xlfn.IFS(
M423&lt;=12,"Children",
M423&lt;=19,"Teens",
M423&lt;=29,"Young Adults",
M423&lt;=39,"Adults",
M423&lt;=59,"Middle-Aged",
M423&gt;=60,"Seniors"
)</f>
        <v>Middle-Aged</v>
      </c>
      <c r="O423" s="9" t="s">
        <v>20</v>
      </c>
      <c r="P423" s="9">
        <f t="shared" si="12"/>
        <v>0</v>
      </c>
      <c r="Q423" s="9">
        <v>1</v>
      </c>
      <c r="R423" s="10">
        <f t="shared" si="13"/>
        <v>0</v>
      </c>
    </row>
    <row r="424" spans="1:18" x14ac:dyDescent="0.3">
      <c r="A424" s="9">
        <v>24901</v>
      </c>
      <c r="B424" s="9" t="s">
        <v>40</v>
      </c>
      <c r="C424" s="9" t="s">
        <v>39</v>
      </c>
      <c r="D424" s="10">
        <v>110000</v>
      </c>
      <c r="E424" s="9" t="str" cm="1">
        <f t="array" ref="E424">_xlfn.IFS(D424&lt;= 60000, "Low Income",
D424&lt;=120000,"Medium Income",
D424&gt; 120000,"High Income"
)</f>
        <v>Medium Income</v>
      </c>
      <c r="F424" s="9">
        <v>0</v>
      </c>
      <c r="G424" s="9" t="s">
        <v>21</v>
      </c>
      <c r="H424" s="9" t="s">
        <v>31</v>
      </c>
      <c r="I424" s="9" t="s">
        <v>20</v>
      </c>
      <c r="J424" s="9">
        <v>3</v>
      </c>
      <c r="K424" s="9" t="s">
        <v>41</v>
      </c>
      <c r="L424" s="9" t="s">
        <v>27</v>
      </c>
      <c r="M424" s="9">
        <v>32</v>
      </c>
      <c r="N424" s="9" t="str" cm="1">
        <f t="array" ref="N424">_xlfn.IFS(
M424&lt;=12,"Children",
M424&lt;=19,"Teens",
M424&lt;=29,"Young Adults",
M424&lt;=39,"Adults",
M424&lt;=59,"Middle-Aged",
M424&gt;=60,"Seniors"
)</f>
        <v>Adults</v>
      </c>
      <c r="O424" s="9" t="s">
        <v>17</v>
      </c>
      <c r="P424" s="9">
        <f t="shared" si="12"/>
        <v>1</v>
      </c>
      <c r="Q424" s="9">
        <v>1</v>
      </c>
      <c r="R424" s="10">
        <f t="shared" si="13"/>
        <v>110000</v>
      </c>
    </row>
    <row r="425" spans="1:18" x14ac:dyDescent="0.3">
      <c r="A425" s="9">
        <v>27169</v>
      </c>
      <c r="B425" s="9" t="s">
        <v>40</v>
      </c>
      <c r="C425" s="9" t="s">
        <v>39</v>
      </c>
      <c r="D425" s="10">
        <v>30000</v>
      </c>
      <c r="E425" s="9" t="str" cm="1">
        <f t="array" ref="E425">_xlfn.IFS(D425&lt;= 60000, "Low Income",
D425&lt;=120000,"Medium Income",
D425&gt; 120000,"High Income"
)</f>
        <v>Low Income</v>
      </c>
      <c r="F425" s="9">
        <v>0</v>
      </c>
      <c r="G425" s="9" t="s">
        <v>30</v>
      </c>
      <c r="H425" s="9" t="s">
        <v>28</v>
      </c>
      <c r="I425" s="9" t="s">
        <v>17</v>
      </c>
      <c r="J425" s="9">
        <v>1</v>
      </c>
      <c r="K425" s="9" t="s">
        <v>24</v>
      </c>
      <c r="L425" s="9" t="s">
        <v>19</v>
      </c>
      <c r="M425" s="9">
        <v>34</v>
      </c>
      <c r="N425" s="9" t="str" cm="1">
        <f t="array" ref="N425">_xlfn.IFS(
M425&lt;=12,"Children",
M425&lt;=19,"Teens",
M425&lt;=29,"Young Adults",
M425&lt;=39,"Adults",
M425&lt;=59,"Middle-Aged",
M425&gt;=60,"Seniors"
)</f>
        <v>Adults</v>
      </c>
      <c r="O425" s="9" t="s">
        <v>17</v>
      </c>
      <c r="P425" s="9">
        <f t="shared" si="12"/>
        <v>1</v>
      </c>
      <c r="Q425" s="9">
        <v>1</v>
      </c>
      <c r="R425" s="10">
        <f t="shared" si="13"/>
        <v>30000</v>
      </c>
    </row>
    <row r="426" spans="1:18" x14ac:dyDescent="0.3">
      <c r="A426" s="9">
        <v>14805</v>
      </c>
      <c r="B426" s="9" t="s">
        <v>40</v>
      </c>
      <c r="C426" s="9" t="s">
        <v>38</v>
      </c>
      <c r="D426" s="10">
        <v>10000</v>
      </c>
      <c r="E426" s="9" t="str" cm="1">
        <f t="array" ref="E426">_xlfn.IFS(D426&lt;= 60000, "Low Income",
D426&lt;=120000,"Medium Income",
D426&gt; 120000,"High Income"
)</f>
        <v>Low Income</v>
      </c>
      <c r="F426" s="9">
        <v>3</v>
      </c>
      <c r="G426" s="9" t="s">
        <v>32</v>
      </c>
      <c r="H426" s="9" t="s">
        <v>28</v>
      </c>
      <c r="I426" s="9" t="s">
        <v>17</v>
      </c>
      <c r="J426" s="9">
        <v>2</v>
      </c>
      <c r="K426" s="9" t="s">
        <v>18</v>
      </c>
      <c r="L426" s="9" t="s">
        <v>19</v>
      </c>
      <c r="M426" s="9">
        <v>43</v>
      </c>
      <c r="N426" s="9" t="str" cm="1">
        <f t="array" ref="N426">_xlfn.IFS(
M426&lt;=12,"Children",
M426&lt;=19,"Teens",
M426&lt;=29,"Young Adults",
M426&lt;=39,"Adults",
M426&lt;=59,"Middle-Aged",
M426&gt;=60,"Seniors"
)</f>
        <v>Middle-Aged</v>
      </c>
      <c r="O426" s="9" t="s">
        <v>20</v>
      </c>
      <c r="P426" s="9">
        <f t="shared" si="12"/>
        <v>0</v>
      </c>
      <c r="Q426" s="9">
        <v>1</v>
      </c>
      <c r="R426" s="10">
        <f t="shared" si="13"/>
        <v>0</v>
      </c>
    </row>
    <row r="427" spans="1:18" x14ac:dyDescent="0.3">
      <c r="A427" s="9">
        <v>15822</v>
      </c>
      <c r="B427" s="9" t="s">
        <v>37</v>
      </c>
      <c r="C427" s="9" t="s">
        <v>39</v>
      </c>
      <c r="D427" s="10">
        <v>40000</v>
      </c>
      <c r="E427" s="9" t="str" cm="1">
        <f t="array" ref="E427">_xlfn.IFS(D427&lt;= 60000, "Low Income",
D427&lt;=120000,"Medium Income",
D427&gt; 120000,"High Income"
)</f>
        <v>Low Income</v>
      </c>
      <c r="F427" s="9">
        <v>2</v>
      </c>
      <c r="G427" s="9" t="s">
        <v>15</v>
      </c>
      <c r="H427" s="9" t="s">
        <v>31</v>
      </c>
      <c r="I427" s="9" t="s">
        <v>17</v>
      </c>
      <c r="J427" s="9">
        <v>2</v>
      </c>
      <c r="K427" s="9" t="s">
        <v>18</v>
      </c>
      <c r="L427" s="9" t="s">
        <v>27</v>
      </c>
      <c r="M427" s="9">
        <v>67</v>
      </c>
      <c r="N427" s="9" t="str" cm="1">
        <f t="array" ref="N427">_xlfn.IFS(
M427&lt;=12,"Children",
M427&lt;=19,"Teens",
M427&lt;=29,"Young Adults",
M427&lt;=39,"Adults",
M427&lt;=59,"Middle-Aged",
M427&gt;=60,"Seniors"
)</f>
        <v>Seniors</v>
      </c>
      <c r="O427" s="9" t="s">
        <v>20</v>
      </c>
      <c r="P427" s="9">
        <f t="shared" si="12"/>
        <v>0</v>
      </c>
      <c r="Q427" s="9">
        <v>1</v>
      </c>
      <c r="R427" s="10">
        <f t="shared" si="13"/>
        <v>0</v>
      </c>
    </row>
    <row r="428" spans="1:18" x14ac:dyDescent="0.3">
      <c r="A428" s="9">
        <v>19389</v>
      </c>
      <c r="B428" s="9" t="s">
        <v>40</v>
      </c>
      <c r="C428" s="9" t="s">
        <v>39</v>
      </c>
      <c r="D428" s="10">
        <v>30000</v>
      </c>
      <c r="E428" s="9" t="str" cm="1">
        <f t="array" ref="E428">_xlfn.IFS(D428&lt;= 60000, "Low Income",
D428&lt;=120000,"Medium Income",
D428&gt; 120000,"High Income"
)</f>
        <v>Low Income</v>
      </c>
      <c r="F428" s="9">
        <v>0</v>
      </c>
      <c r="G428" s="9" t="s">
        <v>21</v>
      </c>
      <c r="H428" s="9" t="s">
        <v>22</v>
      </c>
      <c r="I428" s="9" t="s">
        <v>20</v>
      </c>
      <c r="J428" s="9">
        <v>1</v>
      </c>
      <c r="K428" s="9" t="s">
        <v>24</v>
      </c>
      <c r="L428" s="9" t="s">
        <v>19</v>
      </c>
      <c r="M428" s="9">
        <v>28</v>
      </c>
      <c r="N428" s="9" t="str" cm="1">
        <f t="array" ref="N428">_xlfn.IFS(
M428&lt;=12,"Children",
M428&lt;=19,"Teens",
M428&lt;=29,"Young Adults",
M428&lt;=39,"Adults",
M428&lt;=59,"Middle-Aged",
M428&gt;=60,"Seniors"
)</f>
        <v>Young Adults</v>
      </c>
      <c r="O428" s="9" t="s">
        <v>20</v>
      </c>
      <c r="P428" s="9">
        <f t="shared" si="12"/>
        <v>0</v>
      </c>
      <c r="Q428" s="9">
        <v>1</v>
      </c>
      <c r="R428" s="10">
        <f t="shared" si="13"/>
        <v>0</v>
      </c>
    </row>
    <row r="429" spans="1:18" x14ac:dyDescent="0.3">
      <c r="A429" s="9">
        <v>17048</v>
      </c>
      <c r="B429" s="9" t="s">
        <v>40</v>
      </c>
      <c r="C429" s="9" t="s">
        <v>38</v>
      </c>
      <c r="D429" s="10">
        <v>90000</v>
      </c>
      <c r="E429" s="9" t="str" cm="1">
        <f t="array" ref="E429">_xlfn.IFS(D429&lt;= 60000, "Low Income",
D429&lt;=120000,"Medium Income",
D429&gt; 120000,"High Income"
)</f>
        <v>Medium Income</v>
      </c>
      <c r="F429" s="9">
        <v>1</v>
      </c>
      <c r="G429" s="9" t="s">
        <v>34</v>
      </c>
      <c r="H429" s="9" t="s">
        <v>31</v>
      </c>
      <c r="I429" s="9" t="s">
        <v>17</v>
      </c>
      <c r="J429" s="9">
        <v>0</v>
      </c>
      <c r="K429" s="9" t="s">
        <v>18</v>
      </c>
      <c r="L429" s="9" t="s">
        <v>27</v>
      </c>
      <c r="M429" s="9">
        <v>36</v>
      </c>
      <c r="N429" s="9" t="str" cm="1">
        <f t="array" ref="N429">_xlfn.IFS(
M429&lt;=12,"Children",
M429&lt;=19,"Teens",
M429&lt;=29,"Young Adults",
M429&lt;=39,"Adults",
M429&lt;=59,"Middle-Aged",
M429&gt;=60,"Seniors"
)</f>
        <v>Adults</v>
      </c>
      <c r="O429" s="9" t="s">
        <v>17</v>
      </c>
      <c r="P429" s="9">
        <f t="shared" si="12"/>
        <v>1</v>
      </c>
      <c r="Q429" s="9">
        <v>1</v>
      </c>
      <c r="R429" s="10">
        <f t="shared" si="13"/>
        <v>90000</v>
      </c>
    </row>
    <row r="430" spans="1:18" x14ac:dyDescent="0.3">
      <c r="A430" s="9">
        <v>22204</v>
      </c>
      <c r="B430" s="9" t="s">
        <v>37</v>
      </c>
      <c r="C430" s="9" t="s">
        <v>39</v>
      </c>
      <c r="D430" s="10">
        <v>110000</v>
      </c>
      <c r="E430" s="9" t="str" cm="1">
        <f t="array" ref="E430">_xlfn.IFS(D430&lt;= 60000, "Low Income",
D430&lt;=120000,"Medium Income",
D430&gt; 120000,"High Income"
)</f>
        <v>Medium Income</v>
      </c>
      <c r="F430" s="9">
        <v>4</v>
      </c>
      <c r="G430" s="9" t="s">
        <v>15</v>
      </c>
      <c r="H430" s="9" t="s">
        <v>31</v>
      </c>
      <c r="I430" s="9" t="s">
        <v>17</v>
      </c>
      <c r="J430" s="9">
        <v>3</v>
      </c>
      <c r="K430" s="9" t="s">
        <v>24</v>
      </c>
      <c r="L430" s="9" t="s">
        <v>27</v>
      </c>
      <c r="M430" s="9">
        <v>48</v>
      </c>
      <c r="N430" s="9" t="str" cm="1">
        <f t="array" ref="N430">_xlfn.IFS(
M430&lt;=12,"Children",
M430&lt;=19,"Teens",
M430&lt;=29,"Young Adults",
M430&lt;=39,"Adults",
M430&lt;=59,"Middle-Aged",
M430&gt;=60,"Seniors"
)</f>
        <v>Middle-Aged</v>
      </c>
      <c r="O430" s="9" t="s">
        <v>20</v>
      </c>
      <c r="P430" s="9">
        <f t="shared" si="12"/>
        <v>0</v>
      </c>
      <c r="Q430" s="9">
        <v>1</v>
      </c>
      <c r="R430" s="10">
        <f t="shared" si="13"/>
        <v>0</v>
      </c>
    </row>
    <row r="431" spans="1:18" x14ac:dyDescent="0.3">
      <c r="A431" s="9">
        <v>12718</v>
      </c>
      <c r="B431" s="9" t="s">
        <v>40</v>
      </c>
      <c r="C431" s="9" t="s">
        <v>38</v>
      </c>
      <c r="D431" s="10">
        <v>30000</v>
      </c>
      <c r="E431" s="9" t="str" cm="1">
        <f t="array" ref="E431">_xlfn.IFS(D431&lt;= 60000, "Low Income",
D431&lt;=120000,"Medium Income",
D431&gt; 120000,"High Income"
)</f>
        <v>Low Income</v>
      </c>
      <c r="F431" s="9">
        <v>0</v>
      </c>
      <c r="G431" s="9" t="s">
        <v>21</v>
      </c>
      <c r="H431" s="9" t="s">
        <v>22</v>
      </c>
      <c r="I431" s="9" t="s">
        <v>17</v>
      </c>
      <c r="J431" s="9">
        <v>1</v>
      </c>
      <c r="K431" s="9" t="s">
        <v>24</v>
      </c>
      <c r="L431" s="9" t="s">
        <v>19</v>
      </c>
      <c r="M431" s="9">
        <v>31</v>
      </c>
      <c r="N431" s="9" t="str" cm="1">
        <f t="array" ref="N431">_xlfn.IFS(
M431&lt;=12,"Children",
M431&lt;=19,"Teens",
M431&lt;=29,"Young Adults",
M431&lt;=39,"Adults",
M431&lt;=59,"Middle-Aged",
M431&gt;=60,"Seniors"
)</f>
        <v>Adults</v>
      </c>
      <c r="O431" s="9" t="s">
        <v>20</v>
      </c>
      <c r="P431" s="9">
        <f t="shared" si="12"/>
        <v>0</v>
      </c>
      <c r="Q431" s="9">
        <v>1</v>
      </c>
      <c r="R431" s="10">
        <f t="shared" si="13"/>
        <v>0</v>
      </c>
    </row>
    <row r="432" spans="1:18" x14ac:dyDescent="0.3">
      <c r="A432" s="9">
        <v>15019</v>
      </c>
      <c r="B432" s="9" t="s">
        <v>40</v>
      </c>
      <c r="C432" s="9" t="s">
        <v>38</v>
      </c>
      <c r="D432" s="10">
        <v>30000</v>
      </c>
      <c r="E432" s="9" t="str" cm="1">
        <f t="array" ref="E432">_xlfn.IFS(D432&lt;= 60000, "Low Income",
D432&lt;=120000,"Medium Income",
D432&gt; 120000,"High Income"
)</f>
        <v>Low Income</v>
      </c>
      <c r="F432" s="9">
        <v>3</v>
      </c>
      <c r="G432" s="9" t="s">
        <v>30</v>
      </c>
      <c r="H432" s="9" t="s">
        <v>16</v>
      </c>
      <c r="I432" s="9" t="s">
        <v>17</v>
      </c>
      <c r="J432" s="9">
        <v>2</v>
      </c>
      <c r="K432" s="9" t="s">
        <v>26</v>
      </c>
      <c r="L432" s="9" t="s">
        <v>27</v>
      </c>
      <c r="M432" s="9">
        <v>55</v>
      </c>
      <c r="N432" s="9" t="str" cm="1">
        <f t="array" ref="N432">_xlfn.IFS(
M432&lt;=12,"Children",
M432&lt;=19,"Teens",
M432&lt;=29,"Young Adults",
M432&lt;=39,"Adults",
M432&lt;=59,"Middle-Aged",
M432&gt;=60,"Seniors"
)</f>
        <v>Middle-Aged</v>
      </c>
      <c r="O432" s="9" t="s">
        <v>20</v>
      </c>
      <c r="P432" s="9">
        <f t="shared" si="12"/>
        <v>0</v>
      </c>
      <c r="Q432" s="9">
        <v>1</v>
      </c>
      <c r="R432" s="10">
        <f t="shared" si="13"/>
        <v>0</v>
      </c>
    </row>
    <row r="433" spans="1:18" x14ac:dyDescent="0.3">
      <c r="A433" s="9">
        <v>28488</v>
      </c>
      <c r="B433" s="9" t="s">
        <v>40</v>
      </c>
      <c r="C433" s="9" t="s">
        <v>39</v>
      </c>
      <c r="D433" s="10">
        <v>20000</v>
      </c>
      <c r="E433" s="9" t="str" cm="1">
        <f t="array" ref="E433">_xlfn.IFS(D433&lt;= 60000, "Low Income",
D433&lt;=120000,"Medium Income",
D433&gt; 120000,"High Income"
)</f>
        <v>Low Income</v>
      </c>
      <c r="F433" s="9">
        <v>0</v>
      </c>
      <c r="G433" s="9" t="s">
        <v>21</v>
      </c>
      <c r="H433" s="9" t="s">
        <v>28</v>
      </c>
      <c r="I433" s="9" t="s">
        <v>17</v>
      </c>
      <c r="J433" s="9">
        <v>0</v>
      </c>
      <c r="K433" s="9" t="s">
        <v>18</v>
      </c>
      <c r="L433" s="9" t="s">
        <v>27</v>
      </c>
      <c r="M433" s="9">
        <v>28</v>
      </c>
      <c r="N433" s="9" t="str" cm="1">
        <f t="array" ref="N433">_xlfn.IFS(
M433&lt;=12,"Children",
M433&lt;=19,"Teens",
M433&lt;=29,"Young Adults",
M433&lt;=39,"Adults",
M433&lt;=59,"Middle-Aged",
M433&gt;=60,"Seniors"
)</f>
        <v>Young Adults</v>
      </c>
      <c r="O433" s="9" t="s">
        <v>17</v>
      </c>
      <c r="P433" s="9">
        <f t="shared" si="12"/>
        <v>1</v>
      </c>
      <c r="Q433" s="9">
        <v>1</v>
      </c>
      <c r="R433" s="10">
        <f t="shared" si="13"/>
        <v>20000</v>
      </c>
    </row>
    <row r="434" spans="1:18" x14ac:dyDescent="0.3">
      <c r="A434" s="9">
        <v>21891</v>
      </c>
      <c r="B434" s="9" t="s">
        <v>37</v>
      </c>
      <c r="C434" s="9" t="s">
        <v>38</v>
      </c>
      <c r="D434" s="10">
        <v>110000</v>
      </c>
      <c r="E434" s="9" t="str" cm="1">
        <f t="array" ref="E434">_xlfn.IFS(D434&lt;= 60000, "Low Income",
D434&lt;=120000,"Medium Income",
D434&gt; 120000,"High Income"
)</f>
        <v>Medium Income</v>
      </c>
      <c r="F434" s="9">
        <v>0</v>
      </c>
      <c r="G434" s="9" t="s">
        <v>30</v>
      </c>
      <c r="H434" s="9" t="s">
        <v>31</v>
      </c>
      <c r="I434" s="9" t="s">
        <v>17</v>
      </c>
      <c r="J434" s="9">
        <v>3</v>
      </c>
      <c r="K434" s="9" t="s">
        <v>41</v>
      </c>
      <c r="L434" s="9" t="s">
        <v>27</v>
      </c>
      <c r="M434" s="9">
        <v>34</v>
      </c>
      <c r="N434" s="9" t="str" cm="1">
        <f t="array" ref="N434">_xlfn.IFS(
M434&lt;=12,"Children",
M434&lt;=19,"Teens",
M434&lt;=29,"Young Adults",
M434&lt;=39,"Adults",
M434&lt;=59,"Middle-Aged",
M434&gt;=60,"Seniors"
)</f>
        <v>Adults</v>
      </c>
      <c r="O434" s="9" t="s">
        <v>17</v>
      </c>
      <c r="P434" s="9">
        <f t="shared" si="12"/>
        <v>1</v>
      </c>
      <c r="Q434" s="9">
        <v>1</v>
      </c>
      <c r="R434" s="10">
        <f t="shared" si="13"/>
        <v>110000</v>
      </c>
    </row>
    <row r="435" spans="1:18" x14ac:dyDescent="0.3">
      <c r="A435" s="9">
        <v>27814</v>
      </c>
      <c r="B435" s="9" t="s">
        <v>40</v>
      </c>
      <c r="C435" s="9" t="s">
        <v>38</v>
      </c>
      <c r="D435" s="10">
        <v>30000</v>
      </c>
      <c r="E435" s="9" t="str" cm="1">
        <f t="array" ref="E435">_xlfn.IFS(D435&lt;= 60000, "Low Income",
D435&lt;=120000,"Medium Income",
D435&gt; 120000,"High Income"
)</f>
        <v>Low Income</v>
      </c>
      <c r="F435" s="9">
        <v>3</v>
      </c>
      <c r="G435" s="9" t="s">
        <v>21</v>
      </c>
      <c r="H435" s="9" t="s">
        <v>22</v>
      </c>
      <c r="I435" s="9" t="s">
        <v>20</v>
      </c>
      <c r="J435" s="9">
        <v>1</v>
      </c>
      <c r="K435" s="9" t="s">
        <v>18</v>
      </c>
      <c r="L435" s="9" t="s">
        <v>19</v>
      </c>
      <c r="M435" s="9">
        <v>26</v>
      </c>
      <c r="N435" s="9" t="str" cm="1">
        <f t="array" ref="N435">_xlfn.IFS(
M435&lt;=12,"Children",
M435&lt;=19,"Teens",
M435&lt;=29,"Young Adults",
M435&lt;=39,"Adults",
M435&lt;=59,"Middle-Aged",
M435&gt;=60,"Seniors"
)</f>
        <v>Young Adults</v>
      </c>
      <c r="O435" s="9" t="s">
        <v>20</v>
      </c>
      <c r="P435" s="9">
        <f t="shared" si="12"/>
        <v>0</v>
      </c>
      <c r="Q435" s="9">
        <v>1</v>
      </c>
      <c r="R435" s="10">
        <f t="shared" si="13"/>
        <v>0</v>
      </c>
    </row>
    <row r="436" spans="1:18" x14ac:dyDescent="0.3">
      <c r="A436" s="9">
        <v>22175</v>
      </c>
      <c r="B436" s="9" t="s">
        <v>37</v>
      </c>
      <c r="C436" s="9" t="s">
        <v>38</v>
      </c>
      <c r="D436" s="10">
        <v>30000</v>
      </c>
      <c r="E436" s="9" t="str" cm="1">
        <f t="array" ref="E436">_xlfn.IFS(D436&lt;= 60000, "Low Income",
D436&lt;=120000,"Medium Income",
D436&gt; 120000,"High Income"
)</f>
        <v>Low Income</v>
      </c>
      <c r="F436" s="9">
        <v>3</v>
      </c>
      <c r="G436" s="9" t="s">
        <v>30</v>
      </c>
      <c r="H436" s="9" t="s">
        <v>16</v>
      </c>
      <c r="I436" s="9" t="s">
        <v>17</v>
      </c>
      <c r="J436" s="9">
        <v>2</v>
      </c>
      <c r="K436" s="9" t="s">
        <v>26</v>
      </c>
      <c r="L436" s="9" t="s">
        <v>27</v>
      </c>
      <c r="M436" s="9">
        <v>53</v>
      </c>
      <c r="N436" s="9" t="str" cm="1">
        <f t="array" ref="N436">_xlfn.IFS(
M436&lt;=12,"Children",
M436&lt;=19,"Teens",
M436&lt;=29,"Young Adults",
M436&lt;=39,"Adults",
M436&lt;=59,"Middle-Aged",
M436&gt;=60,"Seniors"
)</f>
        <v>Middle-Aged</v>
      </c>
      <c r="O436" s="9" t="s">
        <v>17</v>
      </c>
      <c r="P436" s="9">
        <f t="shared" si="12"/>
        <v>1</v>
      </c>
      <c r="Q436" s="9">
        <v>1</v>
      </c>
      <c r="R436" s="10">
        <f t="shared" si="13"/>
        <v>30000</v>
      </c>
    </row>
    <row r="437" spans="1:18" x14ac:dyDescent="0.3">
      <c r="A437" s="9">
        <v>29447</v>
      </c>
      <c r="B437" s="9" t="s">
        <v>40</v>
      </c>
      <c r="C437" s="9" t="s">
        <v>38</v>
      </c>
      <c r="D437" s="10">
        <v>10000</v>
      </c>
      <c r="E437" s="9" t="str" cm="1">
        <f t="array" ref="E437">_xlfn.IFS(D437&lt;= 60000, "Low Income",
D437&lt;=120000,"Medium Income",
D437&gt; 120000,"High Income"
)</f>
        <v>Low Income</v>
      </c>
      <c r="F437" s="9">
        <v>2</v>
      </c>
      <c r="G437" s="9" t="s">
        <v>15</v>
      </c>
      <c r="H437" s="9" t="s">
        <v>22</v>
      </c>
      <c r="I437" s="9" t="s">
        <v>20</v>
      </c>
      <c r="J437" s="9">
        <v>1</v>
      </c>
      <c r="K437" s="9" t="s">
        <v>24</v>
      </c>
      <c r="L437" s="9" t="s">
        <v>19</v>
      </c>
      <c r="M437" s="9">
        <v>68</v>
      </c>
      <c r="N437" s="9" t="str" cm="1">
        <f t="array" ref="N437">_xlfn.IFS(
M437&lt;=12,"Children",
M437&lt;=19,"Teens",
M437&lt;=29,"Young Adults",
M437&lt;=39,"Adults",
M437&lt;=59,"Middle-Aged",
M437&gt;=60,"Seniors"
)</f>
        <v>Seniors</v>
      </c>
      <c r="O437" s="9" t="s">
        <v>20</v>
      </c>
      <c r="P437" s="9">
        <f t="shared" si="12"/>
        <v>0</v>
      </c>
      <c r="Q437" s="9">
        <v>1</v>
      </c>
      <c r="R437" s="10">
        <f t="shared" si="13"/>
        <v>0</v>
      </c>
    </row>
    <row r="438" spans="1:18" x14ac:dyDescent="0.3">
      <c r="A438" s="9">
        <v>19784</v>
      </c>
      <c r="B438" s="9" t="s">
        <v>37</v>
      </c>
      <c r="C438" s="9" t="s">
        <v>38</v>
      </c>
      <c r="D438" s="10">
        <v>80000</v>
      </c>
      <c r="E438" s="9" t="str" cm="1">
        <f t="array" ref="E438">_xlfn.IFS(D438&lt;= 60000, "Low Income",
D438&lt;=120000,"Medium Income",
D438&gt; 120000,"High Income"
)</f>
        <v>Medium Income</v>
      </c>
      <c r="F438" s="9">
        <v>2</v>
      </c>
      <c r="G438" s="9" t="s">
        <v>30</v>
      </c>
      <c r="H438" s="9" t="s">
        <v>16</v>
      </c>
      <c r="I438" s="9" t="s">
        <v>17</v>
      </c>
      <c r="J438" s="9">
        <v>2</v>
      </c>
      <c r="K438" s="9" t="s">
        <v>26</v>
      </c>
      <c r="L438" s="9" t="s">
        <v>27</v>
      </c>
      <c r="M438" s="9">
        <v>50</v>
      </c>
      <c r="N438" s="9" t="str" cm="1">
        <f t="array" ref="N438">_xlfn.IFS(
M438&lt;=12,"Children",
M438&lt;=19,"Teens",
M438&lt;=29,"Young Adults",
M438&lt;=39,"Adults",
M438&lt;=59,"Middle-Aged",
M438&gt;=60,"Seniors"
)</f>
        <v>Middle-Aged</v>
      </c>
      <c r="O438" s="9" t="s">
        <v>17</v>
      </c>
      <c r="P438" s="9">
        <f t="shared" si="12"/>
        <v>1</v>
      </c>
      <c r="Q438" s="9">
        <v>1</v>
      </c>
      <c r="R438" s="10">
        <f t="shared" si="13"/>
        <v>80000</v>
      </c>
    </row>
    <row r="439" spans="1:18" x14ac:dyDescent="0.3">
      <c r="A439" s="9">
        <v>27824</v>
      </c>
      <c r="B439" s="9" t="s">
        <v>40</v>
      </c>
      <c r="C439" s="9" t="s">
        <v>38</v>
      </c>
      <c r="D439" s="10">
        <v>30000</v>
      </c>
      <c r="E439" s="9" t="str" cm="1">
        <f t="array" ref="E439">_xlfn.IFS(D439&lt;= 60000, "Low Income",
D439&lt;=120000,"Medium Income",
D439&gt; 120000,"High Income"
)</f>
        <v>Low Income</v>
      </c>
      <c r="F439" s="9">
        <v>3</v>
      </c>
      <c r="G439" s="9" t="s">
        <v>21</v>
      </c>
      <c r="H439" s="9" t="s">
        <v>22</v>
      </c>
      <c r="I439" s="9" t="s">
        <v>17</v>
      </c>
      <c r="J439" s="9">
        <v>2</v>
      </c>
      <c r="K439" s="9" t="s">
        <v>18</v>
      </c>
      <c r="L439" s="9" t="s">
        <v>19</v>
      </c>
      <c r="M439" s="9">
        <v>28</v>
      </c>
      <c r="N439" s="9" t="str" cm="1">
        <f t="array" ref="N439">_xlfn.IFS(
M439&lt;=12,"Children",
M439&lt;=19,"Teens",
M439&lt;=29,"Young Adults",
M439&lt;=39,"Adults",
M439&lt;=59,"Middle-Aged",
M439&gt;=60,"Seniors"
)</f>
        <v>Young Adults</v>
      </c>
      <c r="O439" s="9" t="s">
        <v>17</v>
      </c>
      <c r="P439" s="9">
        <f t="shared" si="12"/>
        <v>1</v>
      </c>
      <c r="Q439" s="9">
        <v>1</v>
      </c>
      <c r="R439" s="10">
        <f t="shared" si="13"/>
        <v>30000</v>
      </c>
    </row>
    <row r="440" spans="1:18" x14ac:dyDescent="0.3">
      <c r="A440" s="9">
        <v>24093</v>
      </c>
      <c r="B440" s="9" t="s">
        <v>40</v>
      </c>
      <c r="C440" s="9" t="s">
        <v>38</v>
      </c>
      <c r="D440" s="10">
        <v>80000</v>
      </c>
      <c r="E440" s="9" t="str" cm="1">
        <f t="array" ref="E440">_xlfn.IFS(D440&lt;= 60000, "Low Income",
D440&lt;=120000,"Medium Income",
D440&gt; 120000,"High Income"
)</f>
        <v>Medium Income</v>
      </c>
      <c r="F440" s="9">
        <v>0</v>
      </c>
      <c r="G440" s="9" t="s">
        <v>34</v>
      </c>
      <c r="H440" s="9" t="s">
        <v>16</v>
      </c>
      <c r="I440" s="9" t="s">
        <v>20</v>
      </c>
      <c r="J440" s="9">
        <v>0</v>
      </c>
      <c r="K440" s="9" t="s">
        <v>18</v>
      </c>
      <c r="L440" s="9" t="s">
        <v>19</v>
      </c>
      <c r="M440" s="9">
        <v>40</v>
      </c>
      <c r="N440" s="9" t="str" cm="1">
        <f t="array" ref="N440">_xlfn.IFS(
M440&lt;=12,"Children",
M440&lt;=19,"Teens",
M440&lt;=29,"Young Adults",
M440&lt;=39,"Adults",
M440&lt;=59,"Middle-Aged",
M440&gt;=60,"Seniors"
)</f>
        <v>Middle-Aged</v>
      </c>
      <c r="O440" s="9" t="s">
        <v>17</v>
      </c>
      <c r="P440" s="9">
        <f t="shared" si="12"/>
        <v>1</v>
      </c>
      <c r="Q440" s="9">
        <v>1</v>
      </c>
      <c r="R440" s="10">
        <f t="shared" si="13"/>
        <v>80000</v>
      </c>
    </row>
    <row r="441" spans="1:18" x14ac:dyDescent="0.3">
      <c r="A441" s="9">
        <v>19618</v>
      </c>
      <c r="B441" s="9" t="s">
        <v>37</v>
      </c>
      <c r="C441" s="9" t="s">
        <v>39</v>
      </c>
      <c r="D441" s="10">
        <v>70000</v>
      </c>
      <c r="E441" s="9" t="str" cm="1">
        <f t="array" ref="E441">_xlfn.IFS(D441&lt;= 60000, "Low Income",
D441&lt;=120000,"Medium Income",
D441&gt; 120000,"High Income"
)</f>
        <v>Medium Income</v>
      </c>
      <c r="F441" s="9">
        <v>5</v>
      </c>
      <c r="G441" s="9" t="s">
        <v>21</v>
      </c>
      <c r="H441" s="9" t="s">
        <v>16</v>
      </c>
      <c r="I441" s="9" t="s">
        <v>17</v>
      </c>
      <c r="J441" s="9">
        <v>2</v>
      </c>
      <c r="K441" s="9" t="s">
        <v>18</v>
      </c>
      <c r="L441" s="9" t="s">
        <v>27</v>
      </c>
      <c r="M441" s="9">
        <v>44</v>
      </c>
      <c r="N441" s="9" t="str" cm="1">
        <f t="array" ref="N441">_xlfn.IFS(
M441&lt;=12,"Children",
M441&lt;=19,"Teens",
M441&lt;=29,"Young Adults",
M441&lt;=39,"Adults",
M441&lt;=59,"Middle-Aged",
M441&gt;=60,"Seniors"
)</f>
        <v>Middle-Aged</v>
      </c>
      <c r="O441" s="9" t="s">
        <v>20</v>
      </c>
      <c r="P441" s="9">
        <f t="shared" si="12"/>
        <v>0</v>
      </c>
      <c r="Q441" s="9">
        <v>1</v>
      </c>
      <c r="R441" s="10">
        <f t="shared" si="13"/>
        <v>0</v>
      </c>
    </row>
    <row r="442" spans="1:18" x14ac:dyDescent="0.3">
      <c r="A442" s="9">
        <v>21561</v>
      </c>
      <c r="B442" s="9" t="s">
        <v>40</v>
      </c>
      <c r="C442" s="9" t="s">
        <v>39</v>
      </c>
      <c r="D442" s="10">
        <v>90000</v>
      </c>
      <c r="E442" s="9" t="str" cm="1">
        <f t="array" ref="E442">_xlfn.IFS(D442&lt;= 60000, "Low Income",
D442&lt;=120000,"Medium Income",
D442&gt; 120000,"High Income"
)</f>
        <v>Medium Income</v>
      </c>
      <c r="F442" s="9">
        <v>0</v>
      </c>
      <c r="G442" s="9" t="s">
        <v>15</v>
      </c>
      <c r="H442" s="9" t="s">
        <v>23</v>
      </c>
      <c r="I442" s="9" t="s">
        <v>20</v>
      </c>
      <c r="J442" s="9">
        <v>3</v>
      </c>
      <c r="K442" s="9" t="s">
        <v>41</v>
      </c>
      <c r="L442" s="9" t="s">
        <v>27</v>
      </c>
      <c r="M442" s="9">
        <v>34</v>
      </c>
      <c r="N442" s="9" t="str" cm="1">
        <f t="array" ref="N442">_xlfn.IFS(
M442&lt;=12,"Children",
M442&lt;=19,"Teens",
M442&lt;=29,"Young Adults",
M442&lt;=39,"Adults",
M442&lt;=59,"Middle-Aged",
M442&gt;=60,"Seniors"
)</f>
        <v>Adults</v>
      </c>
      <c r="O442" s="9" t="s">
        <v>17</v>
      </c>
      <c r="P442" s="9">
        <f t="shared" si="12"/>
        <v>1</v>
      </c>
      <c r="Q442" s="9">
        <v>1</v>
      </c>
      <c r="R442" s="10">
        <f t="shared" si="13"/>
        <v>90000</v>
      </c>
    </row>
    <row r="443" spans="1:18" x14ac:dyDescent="0.3">
      <c r="A443" s="9">
        <v>11061</v>
      </c>
      <c r="B443" s="9" t="s">
        <v>37</v>
      </c>
      <c r="C443" s="9" t="s">
        <v>39</v>
      </c>
      <c r="D443" s="10">
        <v>70000</v>
      </c>
      <c r="E443" s="9" t="str" cm="1">
        <f t="array" ref="E443">_xlfn.IFS(D443&lt;= 60000, "Low Income",
D443&lt;=120000,"Medium Income",
D443&gt; 120000,"High Income"
)</f>
        <v>Medium Income</v>
      </c>
      <c r="F443" s="9">
        <v>2</v>
      </c>
      <c r="G443" s="9" t="s">
        <v>21</v>
      </c>
      <c r="H443" s="9" t="s">
        <v>16</v>
      </c>
      <c r="I443" s="9" t="s">
        <v>17</v>
      </c>
      <c r="J443" s="9">
        <v>2</v>
      </c>
      <c r="K443" s="9" t="s">
        <v>26</v>
      </c>
      <c r="L443" s="9" t="s">
        <v>27</v>
      </c>
      <c r="M443" s="9">
        <v>52</v>
      </c>
      <c r="N443" s="9" t="str" cm="1">
        <f t="array" ref="N443">_xlfn.IFS(
M443&lt;=12,"Children",
M443&lt;=19,"Teens",
M443&lt;=29,"Young Adults",
M443&lt;=39,"Adults",
M443&lt;=59,"Middle-Aged",
M443&gt;=60,"Seniors"
)</f>
        <v>Middle-Aged</v>
      </c>
      <c r="O443" s="9" t="s">
        <v>17</v>
      </c>
      <c r="P443" s="9">
        <f t="shared" si="12"/>
        <v>1</v>
      </c>
      <c r="Q443" s="9">
        <v>1</v>
      </c>
      <c r="R443" s="10">
        <f t="shared" si="13"/>
        <v>70000</v>
      </c>
    </row>
    <row r="444" spans="1:18" x14ac:dyDescent="0.3">
      <c r="A444" s="9">
        <v>26651</v>
      </c>
      <c r="B444" s="9" t="s">
        <v>40</v>
      </c>
      <c r="C444" s="9" t="s">
        <v>39</v>
      </c>
      <c r="D444" s="10">
        <v>80000</v>
      </c>
      <c r="E444" s="9" t="str" cm="1">
        <f t="array" ref="E444">_xlfn.IFS(D444&lt;= 60000, "Low Income",
D444&lt;=120000,"Medium Income",
D444&gt; 120000,"High Income"
)</f>
        <v>Medium Income</v>
      </c>
      <c r="F444" s="9">
        <v>4</v>
      </c>
      <c r="G444" s="9" t="s">
        <v>34</v>
      </c>
      <c r="H444" s="9" t="s">
        <v>31</v>
      </c>
      <c r="I444" s="9" t="s">
        <v>17</v>
      </c>
      <c r="J444" s="9">
        <v>0</v>
      </c>
      <c r="K444" s="9" t="s">
        <v>18</v>
      </c>
      <c r="L444" s="9" t="s">
        <v>27</v>
      </c>
      <c r="M444" s="9">
        <v>36</v>
      </c>
      <c r="N444" s="9" t="str" cm="1">
        <f t="array" ref="N444">_xlfn.IFS(
M444&lt;=12,"Children",
M444&lt;=19,"Teens",
M444&lt;=29,"Young Adults",
M444&lt;=39,"Adults",
M444&lt;=59,"Middle-Aged",
M444&gt;=60,"Seniors"
)</f>
        <v>Adults</v>
      </c>
      <c r="O444" s="9" t="s">
        <v>17</v>
      </c>
      <c r="P444" s="9">
        <f t="shared" si="12"/>
        <v>1</v>
      </c>
      <c r="Q444" s="9">
        <v>1</v>
      </c>
      <c r="R444" s="10">
        <f t="shared" si="13"/>
        <v>80000</v>
      </c>
    </row>
    <row r="445" spans="1:18" x14ac:dyDescent="0.3">
      <c r="A445" s="9">
        <v>21108</v>
      </c>
      <c r="B445" s="9" t="s">
        <v>37</v>
      </c>
      <c r="C445" s="9" t="s">
        <v>38</v>
      </c>
      <c r="D445" s="10">
        <v>40000</v>
      </c>
      <c r="E445" s="9" t="str" cm="1">
        <f t="array" ref="E445">_xlfn.IFS(D445&lt;= 60000, "Low Income",
D445&lt;=120000,"Medium Income",
D445&gt; 120000,"High Income"
)</f>
        <v>Low Income</v>
      </c>
      <c r="F445" s="9">
        <v>1</v>
      </c>
      <c r="G445" s="9" t="s">
        <v>15</v>
      </c>
      <c r="H445" s="9" t="s">
        <v>16</v>
      </c>
      <c r="I445" s="9" t="s">
        <v>17</v>
      </c>
      <c r="J445" s="9">
        <v>1</v>
      </c>
      <c r="K445" s="9" t="s">
        <v>18</v>
      </c>
      <c r="L445" s="9" t="s">
        <v>19</v>
      </c>
      <c r="M445" s="9">
        <v>43</v>
      </c>
      <c r="N445" s="9" t="str" cm="1">
        <f t="array" ref="N445">_xlfn.IFS(
M445&lt;=12,"Children",
M445&lt;=19,"Teens",
M445&lt;=29,"Young Adults",
M445&lt;=39,"Adults",
M445&lt;=59,"Middle-Aged",
M445&gt;=60,"Seniors"
)</f>
        <v>Middle-Aged</v>
      </c>
      <c r="O445" s="9" t="s">
        <v>17</v>
      </c>
      <c r="P445" s="9">
        <f t="shared" si="12"/>
        <v>1</v>
      </c>
      <c r="Q445" s="9">
        <v>1</v>
      </c>
      <c r="R445" s="10">
        <f t="shared" si="13"/>
        <v>40000</v>
      </c>
    </row>
    <row r="446" spans="1:18" x14ac:dyDescent="0.3">
      <c r="A446" s="9">
        <v>12731</v>
      </c>
      <c r="B446" s="9" t="s">
        <v>40</v>
      </c>
      <c r="C446" s="9" t="s">
        <v>39</v>
      </c>
      <c r="D446" s="10">
        <v>30000</v>
      </c>
      <c r="E446" s="9" t="str" cm="1">
        <f t="array" ref="E446">_xlfn.IFS(D446&lt;= 60000, "Low Income",
D446&lt;=120000,"Medium Income",
D446&gt; 120000,"High Income"
)</f>
        <v>Low Income</v>
      </c>
      <c r="F446" s="9">
        <v>0</v>
      </c>
      <c r="G446" s="9" t="s">
        <v>30</v>
      </c>
      <c r="H446" s="9" t="s">
        <v>28</v>
      </c>
      <c r="I446" s="9" t="s">
        <v>20</v>
      </c>
      <c r="J446" s="9">
        <v>1</v>
      </c>
      <c r="K446" s="9" t="s">
        <v>29</v>
      </c>
      <c r="L446" s="9" t="s">
        <v>19</v>
      </c>
      <c r="M446" s="9">
        <v>32</v>
      </c>
      <c r="N446" s="9" t="str" cm="1">
        <f t="array" ref="N446">_xlfn.IFS(
M446&lt;=12,"Children",
M446&lt;=19,"Teens",
M446&lt;=29,"Young Adults",
M446&lt;=39,"Adults",
M446&lt;=59,"Middle-Aged",
M446&gt;=60,"Seniors"
)</f>
        <v>Adults</v>
      </c>
      <c r="O446" s="9" t="s">
        <v>20</v>
      </c>
      <c r="P446" s="9">
        <f t="shared" si="12"/>
        <v>0</v>
      </c>
      <c r="Q446" s="9">
        <v>1</v>
      </c>
      <c r="R446" s="10">
        <f t="shared" si="13"/>
        <v>0</v>
      </c>
    </row>
    <row r="447" spans="1:18" x14ac:dyDescent="0.3">
      <c r="A447" s="9">
        <v>25307</v>
      </c>
      <c r="B447" s="9" t="s">
        <v>37</v>
      </c>
      <c r="C447" s="9" t="s">
        <v>38</v>
      </c>
      <c r="D447" s="10">
        <v>40000</v>
      </c>
      <c r="E447" s="9" t="str" cm="1">
        <f t="array" ref="E447">_xlfn.IFS(D447&lt;= 60000, "Low Income",
D447&lt;=120000,"Medium Income",
D447&gt; 120000,"High Income"
)</f>
        <v>Low Income</v>
      </c>
      <c r="F447" s="9">
        <v>1</v>
      </c>
      <c r="G447" s="9" t="s">
        <v>15</v>
      </c>
      <c r="H447" s="9" t="s">
        <v>16</v>
      </c>
      <c r="I447" s="9" t="s">
        <v>17</v>
      </c>
      <c r="J447" s="9">
        <v>1</v>
      </c>
      <c r="K447" s="9" t="s">
        <v>29</v>
      </c>
      <c r="L447" s="9" t="s">
        <v>19</v>
      </c>
      <c r="M447" s="9">
        <v>32</v>
      </c>
      <c r="N447" s="9" t="str" cm="1">
        <f t="array" ref="N447">_xlfn.IFS(
M447&lt;=12,"Children",
M447&lt;=19,"Teens",
M447&lt;=29,"Young Adults",
M447&lt;=39,"Adults",
M447&lt;=59,"Middle-Aged",
M447&gt;=60,"Seniors"
)</f>
        <v>Adults</v>
      </c>
      <c r="O447" s="9" t="s">
        <v>17</v>
      </c>
      <c r="P447" s="9">
        <f t="shared" si="12"/>
        <v>1</v>
      </c>
      <c r="Q447" s="9">
        <v>1</v>
      </c>
      <c r="R447" s="10">
        <f t="shared" si="13"/>
        <v>40000</v>
      </c>
    </row>
    <row r="448" spans="1:18" x14ac:dyDescent="0.3">
      <c r="A448" s="9">
        <v>14278</v>
      </c>
      <c r="B448" s="9" t="s">
        <v>37</v>
      </c>
      <c r="C448" s="9" t="s">
        <v>38</v>
      </c>
      <c r="D448" s="10">
        <v>130000</v>
      </c>
      <c r="E448" s="9" t="str" cm="1">
        <f t="array" ref="E448">_xlfn.IFS(D448&lt;= 60000, "Low Income",
D448&lt;=120000,"Medium Income",
D448&gt; 120000,"High Income"
)</f>
        <v>High Income</v>
      </c>
      <c r="F448" s="9">
        <v>0</v>
      </c>
      <c r="G448" s="9" t="s">
        <v>34</v>
      </c>
      <c r="H448" s="9" t="s">
        <v>31</v>
      </c>
      <c r="I448" s="9" t="s">
        <v>17</v>
      </c>
      <c r="J448" s="9">
        <v>1</v>
      </c>
      <c r="K448" s="9" t="s">
        <v>41</v>
      </c>
      <c r="L448" s="9" t="s">
        <v>27</v>
      </c>
      <c r="M448" s="9">
        <v>48</v>
      </c>
      <c r="N448" s="9" t="str" cm="1">
        <f t="array" ref="N448">_xlfn.IFS(
M448&lt;=12,"Children",
M448&lt;=19,"Teens",
M448&lt;=29,"Young Adults",
M448&lt;=39,"Adults",
M448&lt;=59,"Middle-Aged",
M448&gt;=60,"Seniors"
)</f>
        <v>Middle-Aged</v>
      </c>
      <c r="O448" s="9" t="s">
        <v>20</v>
      </c>
      <c r="P448" s="9">
        <f t="shared" si="12"/>
        <v>0</v>
      </c>
      <c r="Q448" s="9">
        <v>1</v>
      </c>
      <c r="R448" s="10">
        <f t="shared" si="13"/>
        <v>0</v>
      </c>
    </row>
    <row r="449" spans="1:18" x14ac:dyDescent="0.3">
      <c r="A449" s="9">
        <v>20711</v>
      </c>
      <c r="B449" s="9" t="s">
        <v>37</v>
      </c>
      <c r="C449" s="9" t="s">
        <v>38</v>
      </c>
      <c r="D449" s="10">
        <v>40000</v>
      </c>
      <c r="E449" s="9" t="str" cm="1">
        <f t="array" ref="E449">_xlfn.IFS(D449&lt;= 60000, "Low Income",
D449&lt;=120000,"Medium Income",
D449&gt; 120000,"High Income"
)</f>
        <v>Low Income</v>
      </c>
      <c r="F449" s="9">
        <v>1</v>
      </c>
      <c r="G449" s="9" t="s">
        <v>15</v>
      </c>
      <c r="H449" s="9" t="s">
        <v>16</v>
      </c>
      <c r="I449" s="9" t="s">
        <v>17</v>
      </c>
      <c r="J449" s="9">
        <v>0</v>
      </c>
      <c r="K449" s="9" t="s">
        <v>29</v>
      </c>
      <c r="L449" s="9" t="s">
        <v>19</v>
      </c>
      <c r="M449" s="9">
        <v>32</v>
      </c>
      <c r="N449" s="9" t="str" cm="1">
        <f t="array" ref="N449">_xlfn.IFS(
M449&lt;=12,"Children",
M449&lt;=19,"Teens",
M449&lt;=29,"Young Adults",
M449&lt;=39,"Adults",
M449&lt;=59,"Middle-Aged",
M449&gt;=60,"Seniors"
)</f>
        <v>Adults</v>
      </c>
      <c r="O449" s="9" t="s">
        <v>17</v>
      </c>
      <c r="P449" s="9">
        <f t="shared" si="12"/>
        <v>1</v>
      </c>
      <c r="Q449" s="9">
        <v>1</v>
      </c>
      <c r="R449" s="10">
        <f t="shared" si="13"/>
        <v>40000</v>
      </c>
    </row>
    <row r="450" spans="1:18" x14ac:dyDescent="0.3">
      <c r="A450" s="9">
        <v>11383</v>
      </c>
      <c r="B450" s="9" t="s">
        <v>37</v>
      </c>
      <c r="C450" s="9" t="s">
        <v>38</v>
      </c>
      <c r="D450" s="10">
        <v>30000</v>
      </c>
      <c r="E450" s="9" t="str" cm="1">
        <f t="array" ref="E450">_xlfn.IFS(D450&lt;= 60000, "Low Income",
D450&lt;=120000,"Medium Income",
D450&gt; 120000,"High Income"
)</f>
        <v>Low Income</v>
      </c>
      <c r="F450" s="9">
        <v>3</v>
      </c>
      <c r="G450" s="9" t="s">
        <v>34</v>
      </c>
      <c r="H450" s="9" t="s">
        <v>22</v>
      </c>
      <c r="I450" s="9" t="s">
        <v>17</v>
      </c>
      <c r="J450" s="9">
        <v>0</v>
      </c>
      <c r="K450" s="9" t="s">
        <v>18</v>
      </c>
      <c r="L450" s="9" t="s">
        <v>19</v>
      </c>
      <c r="M450" s="9">
        <v>46</v>
      </c>
      <c r="N450" s="9" t="str" cm="1">
        <f t="array" ref="N450">_xlfn.IFS(
M450&lt;=12,"Children",
M450&lt;=19,"Teens",
M450&lt;=29,"Young Adults",
M450&lt;=39,"Adults",
M450&lt;=59,"Middle-Aged",
M450&gt;=60,"Seniors"
)</f>
        <v>Middle-Aged</v>
      </c>
      <c r="O450" s="9" t="s">
        <v>20</v>
      </c>
      <c r="P450" s="9">
        <f t="shared" si="12"/>
        <v>0</v>
      </c>
      <c r="Q450" s="9">
        <v>1</v>
      </c>
      <c r="R450" s="10">
        <f t="shared" si="13"/>
        <v>0</v>
      </c>
    </row>
    <row r="451" spans="1:18" x14ac:dyDescent="0.3">
      <c r="A451" s="9">
        <v>12497</v>
      </c>
      <c r="B451" s="9" t="s">
        <v>37</v>
      </c>
      <c r="C451" s="9" t="s">
        <v>38</v>
      </c>
      <c r="D451" s="10">
        <v>40000</v>
      </c>
      <c r="E451" s="9" t="str" cm="1">
        <f t="array" ref="E451">_xlfn.IFS(D451&lt;= 60000, "Low Income",
D451&lt;=120000,"Medium Income",
D451&gt; 120000,"High Income"
)</f>
        <v>Low Income</v>
      </c>
      <c r="F451" s="9">
        <v>1</v>
      </c>
      <c r="G451" s="9" t="s">
        <v>15</v>
      </c>
      <c r="H451" s="9" t="s">
        <v>16</v>
      </c>
      <c r="I451" s="9" t="s">
        <v>17</v>
      </c>
      <c r="J451" s="9">
        <v>0</v>
      </c>
      <c r="K451" s="9" t="s">
        <v>18</v>
      </c>
      <c r="L451" s="9" t="s">
        <v>19</v>
      </c>
      <c r="M451" s="9">
        <v>42</v>
      </c>
      <c r="N451" s="9" t="str" cm="1">
        <f t="array" ref="N451">_xlfn.IFS(
M451&lt;=12,"Children",
M451&lt;=19,"Teens",
M451&lt;=29,"Young Adults",
M451&lt;=39,"Adults",
M451&lt;=59,"Middle-Aged",
M451&gt;=60,"Seniors"
)</f>
        <v>Middle-Aged</v>
      </c>
      <c r="O451" s="9" t="s">
        <v>20</v>
      </c>
      <c r="P451" s="9">
        <f t="shared" ref="P451:P514" si="14">IF(O451="No", 0, 1)</f>
        <v>0</v>
      </c>
      <c r="Q451" s="9">
        <v>1</v>
      </c>
      <c r="R451" s="10">
        <f t="shared" ref="R451:R514" si="15">IF(P451=1, D451, 0)</f>
        <v>0</v>
      </c>
    </row>
    <row r="452" spans="1:18" x14ac:dyDescent="0.3">
      <c r="A452" s="9">
        <v>16559</v>
      </c>
      <c r="B452" s="9" t="s">
        <v>40</v>
      </c>
      <c r="C452" s="9" t="s">
        <v>38</v>
      </c>
      <c r="D452" s="10">
        <v>10000</v>
      </c>
      <c r="E452" s="9" t="str" cm="1">
        <f t="array" ref="E452">_xlfn.IFS(D452&lt;= 60000, "Low Income",
D452&lt;=120000,"Medium Income",
D452&gt; 120000,"High Income"
)</f>
        <v>Low Income</v>
      </c>
      <c r="F452" s="9">
        <v>2</v>
      </c>
      <c r="G452" s="9" t="s">
        <v>30</v>
      </c>
      <c r="H452" s="9" t="s">
        <v>28</v>
      </c>
      <c r="I452" s="9" t="s">
        <v>17</v>
      </c>
      <c r="J452" s="9">
        <v>0</v>
      </c>
      <c r="K452" s="9" t="s">
        <v>18</v>
      </c>
      <c r="L452" s="9" t="s">
        <v>19</v>
      </c>
      <c r="M452" s="9">
        <v>36</v>
      </c>
      <c r="N452" s="9" t="str" cm="1">
        <f t="array" ref="N452">_xlfn.IFS(
M452&lt;=12,"Children",
M452&lt;=19,"Teens",
M452&lt;=29,"Young Adults",
M452&lt;=39,"Adults",
M452&lt;=59,"Middle-Aged",
M452&gt;=60,"Seniors"
)</f>
        <v>Adults</v>
      </c>
      <c r="O452" s="9" t="s">
        <v>17</v>
      </c>
      <c r="P452" s="9">
        <f t="shared" si="14"/>
        <v>1</v>
      </c>
      <c r="Q452" s="9">
        <v>1</v>
      </c>
      <c r="R452" s="10">
        <f t="shared" si="15"/>
        <v>10000</v>
      </c>
    </row>
    <row r="453" spans="1:18" x14ac:dyDescent="0.3">
      <c r="A453" s="9">
        <v>11585</v>
      </c>
      <c r="B453" s="9" t="s">
        <v>37</v>
      </c>
      <c r="C453" s="9" t="s">
        <v>38</v>
      </c>
      <c r="D453" s="10">
        <v>40000</v>
      </c>
      <c r="E453" s="9" t="str" cm="1">
        <f t="array" ref="E453">_xlfn.IFS(D453&lt;= 60000, "Low Income",
D453&lt;=120000,"Medium Income",
D453&gt; 120000,"High Income"
)</f>
        <v>Low Income</v>
      </c>
      <c r="F453" s="9">
        <v>1</v>
      </c>
      <c r="G453" s="9" t="s">
        <v>15</v>
      </c>
      <c r="H453" s="9" t="s">
        <v>16</v>
      </c>
      <c r="I453" s="9" t="s">
        <v>17</v>
      </c>
      <c r="J453" s="9">
        <v>0</v>
      </c>
      <c r="K453" s="9" t="s">
        <v>18</v>
      </c>
      <c r="L453" s="9" t="s">
        <v>19</v>
      </c>
      <c r="M453" s="9">
        <v>41</v>
      </c>
      <c r="N453" s="9" t="str" cm="1">
        <f t="array" ref="N453">_xlfn.IFS(
M453&lt;=12,"Children",
M453&lt;=19,"Teens",
M453&lt;=29,"Young Adults",
M453&lt;=39,"Adults",
M453&lt;=59,"Middle-Aged",
M453&gt;=60,"Seniors"
)</f>
        <v>Middle-Aged</v>
      </c>
      <c r="O453" s="9" t="s">
        <v>20</v>
      </c>
      <c r="P453" s="9">
        <f t="shared" si="14"/>
        <v>0</v>
      </c>
      <c r="Q453" s="9">
        <v>1</v>
      </c>
      <c r="R453" s="10">
        <f t="shared" si="15"/>
        <v>0</v>
      </c>
    </row>
    <row r="454" spans="1:18" x14ac:dyDescent="0.3">
      <c r="A454" s="9">
        <v>20277</v>
      </c>
      <c r="B454" s="9" t="s">
        <v>37</v>
      </c>
      <c r="C454" s="9" t="s">
        <v>38</v>
      </c>
      <c r="D454" s="10">
        <v>30000</v>
      </c>
      <c r="E454" s="9" t="str" cm="1">
        <f t="array" ref="E454">_xlfn.IFS(D454&lt;= 60000, "Low Income",
D454&lt;=120000,"Medium Income",
D454&gt; 120000,"High Income"
)</f>
        <v>Low Income</v>
      </c>
      <c r="F454" s="9">
        <v>2</v>
      </c>
      <c r="G454" s="9" t="s">
        <v>21</v>
      </c>
      <c r="H454" s="9" t="s">
        <v>22</v>
      </c>
      <c r="I454" s="9" t="s">
        <v>20</v>
      </c>
      <c r="J454" s="9">
        <v>2</v>
      </c>
      <c r="K454" s="9" t="s">
        <v>18</v>
      </c>
      <c r="L454" s="9" t="s">
        <v>27</v>
      </c>
      <c r="M454" s="9">
        <v>69</v>
      </c>
      <c r="N454" s="9" t="str" cm="1">
        <f t="array" ref="N454">_xlfn.IFS(
M454&lt;=12,"Children",
M454&lt;=19,"Teens",
M454&lt;=29,"Young Adults",
M454&lt;=39,"Adults",
M454&lt;=59,"Middle-Aged",
M454&gt;=60,"Seniors"
)</f>
        <v>Seniors</v>
      </c>
      <c r="O454" s="9" t="s">
        <v>20</v>
      </c>
      <c r="P454" s="9">
        <f t="shared" si="14"/>
        <v>0</v>
      </c>
      <c r="Q454" s="9">
        <v>1</v>
      </c>
      <c r="R454" s="10">
        <f t="shared" si="15"/>
        <v>0</v>
      </c>
    </row>
    <row r="455" spans="1:18" x14ac:dyDescent="0.3">
      <c r="A455" s="9">
        <v>26765</v>
      </c>
      <c r="B455" s="9" t="s">
        <v>40</v>
      </c>
      <c r="C455" s="9" t="s">
        <v>38</v>
      </c>
      <c r="D455" s="10">
        <v>70000</v>
      </c>
      <c r="E455" s="9" t="str" cm="1">
        <f t="array" ref="E455">_xlfn.IFS(D455&lt;= 60000, "Low Income",
D455&lt;=120000,"Medium Income",
D455&gt; 120000,"High Income"
)</f>
        <v>Medium Income</v>
      </c>
      <c r="F455" s="9">
        <v>5</v>
      </c>
      <c r="G455" s="9" t="s">
        <v>21</v>
      </c>
      <c r="H455" s="9" t="s">
        <v>16</v>
      </c>
      <c r="I455" s="9" t="s">
        <v>17</v>
      </c>
      <c r="J455" s="9">
        <v>2</v>
      </c>
      <c r="K455" s="9" t="s">
        <v>26</v>
      </c>
      <c r="L455" s="9" t="s">
        <v>27</v>
      </c>
      <c r="M455" s="9">
        <v>45</v>
      </c>
      <c r="N455" s="9" t="str" cm="1">
        <f t="array" ref="N455">_xlfn.IFS(
M455&lt;=12,"Children",
M455&lt;=19,"Teens",
M455&lt;=29,"Young Adults",
M455&lt;=39,"Adults",
M455&lt;=59,"Middle-Aged",
M455&gt;=60,"Seniors"
)</f>
        <v>Middle-Aged</v>
      </c>
      <c r="O455" s="9" t="s">
        <v>20</v>
      </c>
      <c r="P455" s="9">
        <f t="shared" si="14"/>
        <v>0</v>
      </c>
      <c r="Q455" s="9">
        <v>1</v>
      </c>
      <c r="R455" s="10">
        <f t="shared" si="15"/>
        <v>0</v>
      </c>
    </row>
    <row r="456" spans="1:18" x14ac:dyDescent="0.3">
      <c r="A456" s="9">
        <v>12389</v>
      </c>
      <c r="B456" s="9" t="s">
        <v>40</v>
      </c>
      <c r="C456" s="9" t="s">
        <v>39</v>
      </c>
      <c r="D456" s="10">
        <v>30000</v>
      </c>
      <c r="E456" s="9" t="str" cm="1">
        <f t="array" ref="E456">_xlfn.IFS(D456&lt;= 60000, "Low Income",
D456&lt;=120000,"Medium Income",
D456&gt; 120000,"High Income"
)</f>
        <v>Low Income</v>
      </c>
      <c r="F456" s="9">
        <v>0</v>
      </c>
      <c r="G456" s="9" t="s">
        <v>30</v>
      </c>
      <c r="H456" s="9" t="s">
        <v>28</v>
      </c>
      <c r="I456" s="9" t="s">
        <v>20</v>
      </c>
      <c r="J456" s="9">
        <v>1</v>
      </c>
      <c r="K456" s="9" t="s">
        <v>24</v>
      </c>
      <c r="L456" s="9" t="s">
        <v>19</v>
      </c>
      <c r="M456" s="9">
        <v>34</v>
      </c>
      <c r="N456" s="9" t="str" cm="1">
        <f t="array" ref="N456">_xlfn.IFS(
M456&lt;=12,"Children",
M456&lt;=19,"Teens",
M456&lt;=29,"Young Adults",
M456&lt;=39,"Adults",
M456&lt;=59,"Middle-Aged",
M456&gt;=60,"Seniors"
)</f>
        <v>Adults</v>
      </c>
      <c r="O456" s="9" t="s">
        <v>20</v>
      </c>
      <c r="P456" s="9">
        <f t="shared" si="14"/>
        <v>0</v>
      </c>
      <c r="Q456" s="9">
        <v>1</v>
      </c>
      <c r="R456" s="10">
        <f t="shared" si="15"/>
        <v>0</v>
      </c>
    </row>
    <row r="457" spans="1:18" x14ac:dyDescent="0.3">
      <c r="A457" s="9">
        <v>13585</v>
      </c>
      <c r="B457" s="9" t="s">
        <v>37</v>
      </c>
      <c r="C457" s="9" t="s">
        <v>38</v>
      </c>
      <c r="D457" s="10">
        <v>80000</v>
      </c>
      <c r="E457" s="9" t="str" cm="1">
        <f t="array" ref="E457">_xlfn.IFS(D457&lt;= 60000, "Low Income",
D457&lt;=120000,"Medium Income",
D457&gt; 120000,"High Income"
)</f>
        <v>Medium Income</v>
      </c>
      <c r="F457" s="9">
        <v>4</v>
      </c>
      <c r="G457" s="9" t="s">
        <v>21</v>
      </c>
      <c r="H457" s="9" t="s">
        <v>23</v>
      </c>
      <c r="I457" s="9" t="s">
        <v>20</v>
      </c>
      <c r="J457" s="9">
        <v>1</v>
      </c>
      <c r="K457" s="9" t="s">
        <v>24</v>
      </c>
      <c r="L457" s="9" t="s">
        <v>19</v>
      </c>
      <c r="M457" s="9">
        <v>53</v>
      </c>
      <c r="N457" s="9" t="str" cm="1">
        <f t="array" ref="N457">_xlfn.IFS(
M457&lt;=12,"Children",
M457&lt;=19,"Teens",
M457&lt;=29,"Young Adults",
M457&lt;=39,"Adults",
M457&lt;=59,"Middle-Aged",
M457&gt;=60,"Seniors"
)</f>
        <v>Middle-Aged</v>
      </c>
      <c r="O457" s="9" t="s">
        <v>17</v>
      </c>
      <c r="P457" s="9">
        <f t="shared" si="14"/>
        <v>1</v>
      </c>
      <c r="Q457" s="9">
        <v>1</v>
      </c>
      <c r="R457" s="10">
        <f t="shared" si="15"/>
        <v>80000</v>
      </c>
    </row>
    <row r="458" spans="1:18" x14ac:dyDescent="0.3">
      <c r="A458" s="9">
        <v>26385</v>
      </c>
      <c r="B458" s="9" t="s">
        <v>40</v>
      </c>
      <c r="C458" s="9" t="s">
        <v>39</v>
      </c>
      <c r="D458" s="10">
        <v>120000</v>
      </c>
      <c r="E458" s="9" t="str" cm="1">
        <f t="array" ref="E458">_xlfn.IFS(D458&lt;= 60000, "Low Income",
D458&lt;=120000,"Medium Income",
D458&gt; 120000,"High Income"
)</f>
        <v>Medium Income</v>
      </c>
      <c r="F458" s="9">
        <v>3</v>
      </c>
      <c r="G458" s="9" t="s">
        <v>30</v>
      </c>
      <c r="H458" s="9" t="s">
        <v>23</v>
      </c>
      <c r="I458" s="9" t="s">
        <v>20</v>
      </c>
      <c r="J458" s="9">
        <v>4</v>
      </c>
      <c r="K458" s="9" t="s">
        <v>26</v>
      </c>
      <c r="L458" s="9" t="s">
        <v>19</v>
      </c>
      <c r="M458" s="9">
        <v>50</v>
      </c>
      <c r="N458" s="9" t="str" cm="1">
        <f t="array" ref="N458">_xlfn.IFS(
M458&lt;=12,"Children",
M458&lt;=19,"Teens",
M458&lt;=29,"Young Adults",
M458&lt;=39,"Adults",
M458&lt;=59,"Middle-Aged",
M458&gt;=60,"Seniors"
)</f>
        <v>Middle-Aged</v>
      </c>
      <c r="O458" s="9" t="s">
        <v>20</v>
      </c>
      <c r="P458" s="9">
        <f t="shared" si="14"/>
        <v>0</v>
      </c>
      <c r="Q458" s="9">
        <v>1</v>
      </c>
      <c r="R458" s="10">
        <f t="shared" si="15"/>
        <v>0</v>
      </c>
    </row>
    <row r="459" spans="1:18" x14ac:dyDescent="0.3">
      <c r="A459" s="9">
        <v>12236</v>
      </c>
      <c r="B459" s="9" t="s">
        <v>37</v>
      </c>
      <c r="C459" s="9" t="s">
        <v>38</v>
      </c>
      <c r="D459" s="10">
        <v>20000</v>
      </c>
      <c r="E459" s="9" t="str" cm="1">
        <f t="array" ref="E459">_xlfn.IFS(D459&lt;= 60000, "Low Income",
D459&lt;=120000,"Medium Income",
D459&gt; 120000,"High Income"
)</f>
        <v>Low Income</v>
      </c>
      <c r="F459" s="9">
        <v>1</v>
      </c>
      <c r="G459" s="9" t="s">
        <v>21</v>
      </c>
      <c r="H459" s="9" t="s">
        <v>28</v>
      </c>
      <c r="I459" s="9" t="s">
        <v>17</v>
      </c>
      <c r="J459" s="9">
        <v>0</v>
      </c>
      <c r="K459" s="9" t="s">
        <v>18</v>
      </c>
      <c r="L459" s="9" t="s">
        <v>19</v>
      </c>
      <c r="M459" s="9">
        <v>65</v>
      </c>
      <c r="N459" s="9" t="str" cm="1">
        <f t="array" ref="N459">_xlfn.IFS(
M459&lt;=12,"Children",
M459&lt;=19,"Teens",
M459&lt;=29,"Young Adults",
M459&lt;=39,"Adults",
M459&lt;=59,"Middle-Aged",
M459&gt;=60,"Seniors"
)</f>
        <v>Seniors</v>
      </c>
      <c r="O459" s="9" t="s">
        <v>20</v>
      </c>
      <c r="P459" s="9">
        <f t="shared" si="14"/>
        <v>0</v>
      </c>
      <c r="Q459" s="9">
        <v>1</v>
      </c>
      <c r="R459" s="10">
        <f t="shared" si="15"/>
        <v>0</v>
      </c>
    </row>
    <row r="460" spans="1:18" x14ac:dyDescent="0.3">
      <c r="A460" s="9">
        <v>21560</v>
      </c>
      <c r="B460" s="9" t="s">
        <v>37</v>
      </c>
      <c r="C460" s="9" t="s">
        <v>39</v>
      </c>
      <c r="D460" s="10">
        <v>120000</v>
      </c>
      <c r="E460" s="9" t="str" cm="1">
        <f t="array" ref="E460">_xlfn.IFS(D460&lt;= 60000, "Low Income",
D460&lt;=120000,"Medium Income",
D460&gt; 120000,"High Income"
)</f>
        <v>Medium Income</v>
      </c>
      <c r="F460" s="9">
        <v>0</v>
      </c>
      <c r="G460" s="9" t="s">
        <v>32</v>
      </c>
      <c r="H460" s="9" t="s">
        <v>23</v>
      </c>
      <c r="I460" s="9" t="s">
        <v>17</v>
      </c>
      <c r="J460" s="9">
        <v>4</v>
      </c>
      <c r="K460" s="9" t="s">
        <v>41</v>
      </c>
      <c r="L460" s="9" t="s">
        <v>27</v>
      </c>
      <c r="M460" s="9">
        <v>32</v>
      </c>
      <c r="N460" s="9" t="str" cm="1">
        <f t="array" ref="N460">_xlfn.IFS(
M460&lt;=12,"Children",
M460&lt;=19,"Teens",
M460&lt;=29,"Young Adults",
M460&lt;=39,"Adults",
M460&lt;=59,"Middle-Aged",
M460&gt;=60,"Seniors"
)</f>
        <v>Adults</v>
      </c>
      <c r="O460" s="9" t="s">
        <v>17</v>
      </c>
      <c r="P460" s="9">
        <f t="shared" si="14"/>
        <v>1</v>
      </c>
      <c r="Q460" s="9">
        <v>1</v>
      </c>
      <c r="R460" s="10">
        <f t="shared" si="15"/>
        <v>120000</v>
      </c>
    </row>
    <row r="461" spans="1:18" x14ac:dyDescent="0.3">
      <c r="A461" s="9">
        <v>21554</v>
      </c>
      <c r="B461" s="9" t="s">
        <v>40</v>
      </c>
      <c r="C461" s="9" t="s">
        <v>38</v>
      </c>
      <c r="D461" s="10">
        <v>80000</v>
      </c>
      <c r="E461" s="9" t="str" cm="1">
        <f t="array" ref="E461">_xlfn.IFS(D461&lt;= 60000, "Low Income",
D461&lt;=120000,"Medium Income",
D461&gt; 120000,"High Income"
)</f>
        <v>Medium Income</v>
      </c>
      <c r="F461" s="9">
        <v>0</v>
      </c>
      <c r="G461" s="9" t="s">
        <v>15</v>
      </c>
      <c r="H461" s="9" t="s">
        <v>23</v>
      </c>
      <c r="I461" s="9" t="s">
        <v>20</v>
      </c>
      <c r="J461" s="9">
        <v>3</v>
      </c>
      <c r="K461" s="9" t="s">
        <v>41</v>
      </c>
      <c r="L461" s="9" t="s">
        <v>27</v>
      </c>
      <c r="M461" s="9">
        <v>33</v>
      </c>
      <c r="N461" s="9" t="str" cm="1">
        <f t="array" ref="N461">_xlfn.IFS(
M461&lt;=12,"Children",
M461&lt;=19,"Teens",
M461&lt;=29,"Young Adults",
M461&lt;=39,"Adults",
M461&lt;=59,"Middle-Aged",
M461&gt;=60,"Seniors"
)</f>
        <v>Adults</v>
      </c>
      <c r="O461" s="9" t="s">
        <v>20</v>
      </c>
      <c r="P461" s="9">
        <f t="shared" si="14"/>
        <v>0</v>
      </c>
      <c r="Q461" s="9">
        <v>1</v>
      </c>
      <c r="R461" s="10">
        <f t="shared" si="15"/>
        <v>0</v>
      </c>
    </row>
    <row r="462" spans="1:18" x14ac:dyDescent="0.3">
      <c r="A462" s="9">
        <v>13662</v>
      </c>
      <c r="B462" s="9" t="s">
        <v>40</v>
      </c>
      <c r="C462" s="9" t="s">
        <v>39</v>
      </c>
      <c r="D462" s="10">
        <v>20000</v>
      </c>
      <c r="E462" s="9" t="str" cm="1">
        <f t="array" ref="E462">_xlfn.IFS(D462&lt;= 60000, "Low Income",
D462&lt;=120000,"Medium Income",
D462&gt; 120000,"High Income"
)</f>
        <v>Low Income</v>
      </c>
      <c r="F462" s="9">
        <v>0</v>
      </c>
      <c r="G462" s="9" t="s">
        <v>32</v>
      </c>
      <c r="H462" s="9" t="s">
        <v>28</v>
      </c>
      <c r="I462" s="9" t="s">
        <v>17</v>
      </c>
      <c r="J462" s="9">
        <v>2</v>
      </c>
      <c r="K462" s="9" t="s">
        <v>29</v>
      </c>
      <c r="L462" s="9" t="s">
        <v>19</v>
      </c>
      <c r="M462" s="9">
        <v>31</v>
      </c>
      <c r="N462" s="9" t="str" cm="1">
        <f t="array" ref="N462">_xlfn.IFS(
M462&lt;=12,"Children",
M462&lt;=19,"Teens",
M462&lt;=29,"Young Adults",
M462&lt;=39,"Adults",
M462&lt;=59,"Middle-Aged",
M462&gt;=60,"Seniors"
)</f>
        <v>Adults</v>
      </c>
      <c r="O462" s="9" t="s">
        <v>17</v>
      </c>
      <c r="P462" s="9">
        <f t="shared" si="14"/>
        <v>1</v>
      </c>
      <c r="Q462" s="9">
        <v>1</v>
      </c>
      <c r="R462" s="10">
        <f t="shared" si="15"/>
        <v>20000</v>
      </c>
    </row>
    <row r="463" spans="1:18" x14ac:dyDescent="0.3">
      <c r="A463" s="9">
        <v>13089</v>
      </c>
      <c r="B463" s="9" t="s">
        <v>37</v>
      </c>
      <c r="C463" s="9" t="s">
        <v>38</v>
      </c>
      <c r="D463" s="10">
        <v>120000</v>
      </c>
      <c r="E463" s="9" t="str" cm="1">
        <f t="array" ref="E463">_xlfn.IFS(D463&lt;= 60000, "Low Income",
D463&lt;=120000,"Medium Income",
D463&gt; 120000,"High Income"
)</f>
        <v>Medium Income</v>
      </c>
      <c r="F463" s="9">
        <v>1</v>
      </c>
      <c r="G463" s="9" t="s">
        <v>15</v>
      </c>
      <c r="H463" s="9" t="s">
        <v>31</v>
      </c>
      <c r="I463" s="9" t="s">
        <v>17</v>
      </c>
      <c r="J463" s="9">
        <v>2</v>
      </c>
      <c r="K463" s="9" t="s">
        <v>18</v>
      </c>
      <c r="L463" s="9" t="s">
        <v>27</v>
      </c>
      <c r="M463" s="9">
        <v>46</v>
      </c>
      <c r="N463" s="9" t="str" cm="1">
        <f t="array" ref="N463">_xlfn.IFS(
M463&lt;=12,"Children",
M463&lt;=19,"Teens",
M463&lt;=29,"Young Adults",
M463&lt;=39,"Adults",
M463&lt;=59,"Middle-Aged",
M463&gt;=60,"Seniors"
)</f>
        <v>Middle-Aged</v>
      </c>
      <c r="O463" s="9" t="s">
        <v>17</v>
      </c>
      <c r="P463" s="9">
        <f t="shared" si="14"/>
        <v>1</v>
      </c>
      <c r="Q463" s="9">
        <v>1</v>
      </c>
      <c r="R463" s="10">
        <f t="shared" si="15"/>
        <v>120000</v>
      </c>
    </row>
    <row r="464" spans="1:18" x14ac:dyDescent="0.3">
      <c r="A464" s="9">
        <v>14791</v>
      </c>
      <c r="B464" s="9" t="s">
        <v>37</v>
      </c>
      <c r="C464" s="9" t="s">
        <v>38</v>
      </c>
      <c r="D464" s="10">
        <v>40000</v>
      </c>
      <c r="E464" s="9" t="str" cm="1">
        <f t="array" ref="E464">_xlfn.IFS(D464&lt;= 60000, "Low Income",
D464&lt;=120000,"Medium Income",
D464&gt; 120000,"High Income"
)</f>
        <v>Low Income</v>
      </c>
      <c r="F464" s="9">
        <v>0</v>
      </c>
      <c r="G464" s="9" t="s">
        <v>15</v>
      </c>
      <c r="H464" s="9" t="s">
        <v>22</v>
      </c>
      <c r="I464" s="9" t="s">
        <v>17</v>
      </c>
      <c r="J464" s="9">
        <v>0</v>
      </c>
      <c r="K464" s="9" t="s">
        <v>18</v>
      </c>
      <c r="L464" s="9" t="s">
        <v>19</v>
      </c>
      <c r="M464" s="9">
        <v>39</v>
      </c>
      <c r="N464" s="9" t="str" cm="1">
        <f t="array" ref="N464">_xlfn.IFS(
M464&lt;=12,"Children",
M464&lt;=19,"Teens",
M464&lt;=29,"Young Adults",
M464&lt;=39,"Adults",
M464&lt;=59,"Middle-Aged",
M464&gt;=60,"Seniors"
)</f>
        <v>Adults</v>
      </c>
      <c r="O464" s="9" t="s">
        <v>17</v>
      </c>
      <c r="P464" s="9">
        <f t="shared" si="14"/>
        <v>1</v>
      </c>
      <c r="Q464" s="9">
        <v>1</v>
      </c>
      <c r="R464" s="10">
        <f t="shared" si="15"/>
        <v>40000</v>
      </c>
    </row>
    <row r="465" spans="1:18" x14ac:dyDescent="0.3">
      <c r="A465" s="9">
        <v>19331</v>
      </c>
      <c r="B465" s="9" t="s">
        <v>40</v>
      </c>
      <c r="C465" s="9" t="s">
        <v>39</v>
      </c>
      <c r="D465" s="10">
        <v>20000</v>
      </c>
      <c r="E465" s="9" t="str" cm="1">
        <f t="array" ref="E465">_xlfn.IFS(D465&lt;= 60000, "Low Income",
D465&lt;=120000,"Medium Income",
D465&gt; 120000,"High Income"
)</f>
        <v>Low Income</v>
      </c>
      <c r="F465" s="9">
        <v>2</v>
      </c>
      <c r="G465" s="9" t="s">
        <v>30</v>
      </c>
      <c r="H465" s="9" t="s">
        <v>28</v>
      </c>
      <c r="I465" s="9" t="s">
        <v>17</v>
      </c>
      <c r="J465" s="9">
        <v>1</v>
      </c>
      <c r="K465" s="9" t="s">
        <v>18</v>
      </c>
      <c r="L465" s="9" t="s">
        <v>19</v>
      </c>
      <c r="M465" s="9">
        <v>40</v>
      </c>
      <c r="N465" s="9" t="str" cm="1">
        <f t="array" ref="N465">_xlfn.IFS(
M465&lt;=12,"Children",
M465&lt;=19,"Teens",
M465&lt;=29,"Young Adults",
M465&lt;=39,"Adults",
M465&lt;=59,"Middle-Aged",
M465&gt;=60,"Seniors"
)</f>
        <v>Middle-Aged</v>
      </c>
      <c r="O465" s="9" t="s">
        <v>20</v>
      </c>
      <c r="P465" s="9">
        <f t="shared" si="14"/>
        <v>0</v>
      </c>
      <c r="Q465" s="9">
        <v>1</v>
      </c>
      <c r="R465" s="10">
        <f t="shared" si="15"/>
        <v>0</v>
      </c>
    </row>
    <row r="466" spans="1:18" x14ac:dyDescent="0.3">
      <c r="A466" s="9">
        <v>17754</v>
      </c>
      <c r="B466" s="9" t="s">
        <v>40</v>
      </c>
      <c r="C466" s="9" t="s">
        <v>38</v>
      </c>
      <c r="D466" s="10">
        <v>30000</v>
      </c>
      <c r="E466" s="9" t="str" cm="1">
        <f t="array" ref="E466">_xlfn.IFS(D466&lt;= 60000, "Low Income",
D466&lt;=120000,"Medium Income",
D466&gt; 120000,"High Income"
)</f>
        <v>Low Income</v>
      </c>
      <c r="F466" s="9">
        <v>3</v>
      </c>
      <c r="G466" s="9" t="s">
        <v>15</v>
      </c>
      <c r="H466" s="9" t="s">
        <v>22</v>
      </c>
      <c r="I466" s="9" t="s">
        <v>17</v>
      </c>
      <c r="J466" s="9">
        <v>0</v>
      </c>
      <c r="K466" s="9" t="s">
        <v>18</v>
      </c>
      <c r="L466" s="9" t="s">
        <v>19</v>
      </c>
      <c r="M466" s="9">
        <v>46</v>
      </c>
      <c r="N466" s="9" t="str" cm="1">
        <f t="array" ref="N466">_xlfn.IFS(
M466&lt;=12,"Children",
M466&lt;=19,"Teens",
M466&lt;=29,"Young Adults",
M466&lt;=39,"Adults",
M466&lt;=59,"Middle-Aged",
M466&gt;=60,"Seniors"
)</f>
        <v>Middle-Aged</v>
      </c>
      <c r="O466" s="9" t="s">
        <v>17</v>
      </c>
      <c r="P466" s="9">
        <f t="shared" si="14"/>
        <v>1</v>
      </c>
      <c r="Q466" s="9">
        <v>1</v>
      </c>
      <c r="R466" s="10">
        <f t="shared" si="15"/>
        <v>30000</v>
      </c>
    </row>
    <row r="467" spans="1:18" x14ac:dyDescent="0.3">
      <c r="A467" s="9">
        <v>11149</v>
      </c>
      <c r="B467" s="9" t="s">
        <v>37</v>
      </c>
      <c r="C467" s="9" t="s">
        <v>39</v>
      </c>
      <c r="D467" s="10">
        <v>40000</v>
      </c>
      <c r="E467" s="9" t="str" cm="1">
        <f t="array" ref="E467">_xlfn.IFS(D467&lt;= 60000, "Low Income",
D467&lt;=120000,"Medium Income",
D467&gt; 120000,"High Income"
)</f>
        <v>Low Income</v>
      </c>
      <c r="F467" s="9">
        <v>2</v>
      </c>
      <c r="G467" s="9" t="s">
        <v>15</v>
      </c>
      <c r="H467" s="9" t="s">
        <v>31</v>
      </c>
      <c r="I467" s="9" t="s">
        <v>17</v>
      </c>
      <c r="J467" s="9">
        <v>2</v>
      </c>
      <c r="K467" s="9" t="s">
        <v>18</v>
      </c>
      <c r="L467" s="9" t="s">
        <v>27</v>
      </c>
      <c r="M467" s="9">
        <v>65</v>
      </c>
      <c r="N467" s="9" t="str" cm="1">
        <f t="array" ref="N467">_xlfn.IFS(
M467&lt;=12,"Children",
M467&lt;=19,"Teens",
M467&lt;=29,"Young Adults",
M467&lt;=39,"Adults",
M467&lt;=59,"Middle-Aged",
M467&gt;=60,"Seniors"
)</f>
        <v>Seniors</v>
      </c>
      <c r="O467" s="9" t="s">
        <v>20</v>
      </c>
      <c r="P467" s="9">
        <f t="shared" si="14"/>
        <v>0</v>
      </c>
      <c r="Q467" s="9">
        <v>1</v>
      </c>
      <c r="R467" s="10">
        <f t="shared" si="15"/>
        <v>0</v>
      </c>
    </row>
    <row r="468" spans="1:18" x14ac:dyDescent="0.3">
      <c r="A468" s="9">
        <v>16549</v>
      </c>
      <c r="B468" s="9" t="s">
        <v>40</v>
      </c>
      <c r="C468" s="9" t="s">
        <v>38</v>
      </c>
      <c r="D468" s="10">
        <v>30000</v>
      </c>
      <c r="E468" s="9" t="str" cm="1">
        <f t="array" ref="E468">_xlfn.IFS(D468&lt;= 60000, "Low Income",
D468&lt;=120000,"Medium Income",
D468&gt; 120000,"High Income"
)</f>
        <v>Low Income</v>
      </c>
      <c r="F468" s="9">
        <v>3</v>
      </c>
      <c r="G468" s="9" t="s">
        <v>15</v>
      </c>
      <c r="H468" s="9" t="s">
        <v>22</v>
      </c>
      <c r="I468" s="9" t="s">
        <v>17</v>
      </c>
      <c r="J468" s="9">
        <v>0</v>
      </c>
      <c r="K468" s="9" t="s">
        <v>18</v>
      </c>
      <c r="L468" s="9" t="s">
        <v>19</v>
      </c>
      <c r="M468" s="9">
        <v>47</v>
      </c>
      <c r="N468" s="9" t="str" cm="1">
        <f t="array" ref="N468">_xlfn.IFS(
M468&lt;=12,"Children",
M468&lt;=19,"Teens",
M468&lt;=29,"Young Adults",
M468&lt;=39,"Adults",
M468&lt;=59,"Middle-Aged",
M468&gt;=60,"Seniors"
)</f>
        <v>Middle-Aged</v>
      </c>
      <c r="O468" s="9" t="s">
        <v>17</v>
      </c>
      <c r="P468" s="9">
        <f t="shared" si="14"/>
        <v>1</v>
      </c>
      <c r="Q468" s="9">
        <v>1</v>
      </c>
      <c r="R468" s="10">
        <f t="shared" si="15"/>
        <v>30000</v>
      </c>
    </row>
    <row r="469" spans="1:18" x14ac:dyDescent="0.3">
      <c r="A469" s="9">
        <v>24305</v>
      </c>
      <c r="B469" s="9" t="s">
        <v>40</v>
      </c>
      <c r="C469" s="9" t="s">
        <v>39</v>
      </c>
      <c r="D469" s="10">
        <v>100000</v>
      </c>
      <c r="E469" s="9" t="str" cm="1">
        <f t="array" ref="E469">_xlfn.IFS(D469&lt;= 60000, "Low Income",
D469&lt;=120000,"Medium Income",
D469&gt; 120000,"High Income"
)</f>
        <v>Medium Income</v>
      </c>
      <c r="F469" s="9">
        <v>1</v>
      </c>
      <c r="G469" s="9" t="s">
        <v>15</v>
      </c>
      <c r="H469" s="9" t="s">
        <v>31</v>
      </c>
      <c r="I469" s="9" t="s">
        <v>20</v>
      </c>
      <c r="J469" s="9">
        <v>3</v>
      </c>
      <c r="K469" s="9" t="s">
        <v>18</v>
      </c>
      <c r="L469" s="9" t="s">
        <v>27</v>
      </c>
      <c r="M469" s="9">
        <v>46</v>
      </c>
      <c r="N469" s="9" t="str" cm="1">
        <f t="array" ref="N469">_xlfn.IFS(
M469&lt;=12,"Children",
M469&lt;=19,"Teens",
M469&lt;=29,"Young Adults",
M469&lt;=39,"Adults",
M469&lt;=59,"Middle-Aged",
M469&gt;=60,"Seniors"
)</f>
        <v>Middle-Aged</v>
      </c>
      <c r="O469" s="9" t="s">
        <v>17</v>
      </c>
      <c r="P469" s="9">
        <f t="shared" si="14"/>
        <v>1</v>
      </c>
      <c r="Q469" s="9">
        <v>1</v>
      </c>
      <c r="R469" s="10">
        <f t="shared" si="15"/>
        <v>100000</v>
      </c>
    </row>
    <row r="470" spans="1:18" x14ac:dyDescent="0.3">
      <c r="A470" s="9">
        <v>18253</v>
      </c>
      <c r="B470" s="9" t="s">
        <v>37</v>
      </c>
      <c r="C470" s="9" t="s">
        <v>38</v>
      </c>
      <c r="D470" s="10">
        <v>80000</v>
      </c>
      <c r="E470" s="9" t="str" cm="1">
        <f t="array" ref="E470">_xlfn.IFS(D470&lt;= 60000, "Low Income",
D470&lt;=120000,"Medium Income",
D470&gt; 120000,"High Income"
)</f>
        <v>Medium Income</v>
      </c>
      <c r="F470" s="9">
        <v>5</v>
      </c>
      <c r="G470" s="9" t="s">
        <v>34</v>
      </c>
      <c r="H470" s="9" t="s">
        <v>31</v>
      </c>
      <c r="I470" s="9" t="s">
        <v>17</v>
      </c>
      <c r="J470" s="9">
        <v>3</v>
      </c>
      <c r="K470" s="9" t="s">
        <v>18</v>
      </c>
      <c r="L470" s="9" t="s">
        <v>27</v>
      </c>
      <c r="M470" s="9">
        <v>40</v>
      </c>
      <c r="N470" s="9" t="str" cm="1">
        <f t="array" ref="N470">_xlfn.IFS(
M470&lt;=12,"Children",
M470&lt;=19,"Teens",
M470&lt;=29,"Young Adults",
M470&lt;=39,"Adults",
M470&lt;=59,"Middle-Aged",
M470&gt;=60,"Seniors"
)</f>
        <v>Middle-Aged</v>
      </c>
      <c r="O470" s="9" t="s">
        <v>20</v>
      </c>
      <c r="P470" s="9">
        <f t="shared" si="14"/>
        <v>0</v>
      </c>
      <c r="Q470" s="9">
        <v>1</v>
      </c>
      <c r="R470" s="10">
        <f t="shared" si="15"/>
        <v>0</v>
      </c>
    </row>
    <row r="471" spans="1:18" x14ac:dyDescent="0.3">
      <c r="A471" s="9">
        <v>20147</v>
      </c>
      <c r="B471" s="9" t="s">
        <v>37</v>
      </c>
      <c r="C471" s="9" t="s">
        <v>38</v>
      </c>
      <c r="D471" s="10">
        <v>30000</v>
      </c>
      <c r="E471" s="9" t="str" cm="1">
        <f t="array" ref="E471">_xlfn.IFS(D471&lt;= 60000, "Low Income",
D471&lt;=120000,"Medium Income",
D471&gt; 120000,"High Income"
)</f>
        <v>Low Income</v>
      </c>
      <c r="F471" s="9">
        <v>1</v>
      </c>
      <c r="G471" s="9" t="s">
        <v>15</v>
      </c>
      <c r="H471" s="9" t="s">
        <v>22</v>
      </c>
      <c r="I471" s="9" t="s">
        <v>17</v>
      </c>
      <c r="J471" s="9">
        <v>0</v>
      </c>
      <c r="K471" s="9" t="s">
        <v>18</v>
      </c>
      <c r="L471" s="9" t="s">
        <v>19</v>
      </c>
      <c r="M471" s="9">
        <v>65</v>
      </c>
      <c r="N471" s="9" t="str" cm="1">
        <f t="array" ref="N471">_xlfn.IFS(
M471&lt;=12,"Children",
M471&lt;=19,"Teens",
M471&lt;=29,"Young Adults",
M471&lt;=39,"Adults",
M471&lt;=59,"Middle-Aged",
M471&gt;=60,"Seniors"
)</f>
        <v>Seniors</v>
      </c>
      <c r="O471" s="9" t="s">
        <v>20</v>
      </c>
      <c r="P471" s="9">
        <f t="shared" si="14"/>
        <v>0</v>
      </c>
      <c r="Q471" s="9">
        <v>1</v>
      </c>
      <c r="R471" s="10">
        <f t="shared" si="15"/>
        <v>0</v>
      </c>
    </row>
    <row r="472" spans="1:18" x14ac:dyDescent="0.3">
      <c r="A472" s="9">
        <v>15612</v>
      </c>
      <c r="B472" s="9" t="s">
        <v>40</v>
      </c>
      <c r="C472" s="9" t="s">
        <v>39</v>
      </c>
      <c r="D472" s="10">
        <v>30000</v>
      </c>
      <c r="E472" s="9" t="str" cm="1">
        <f t="array" ref="E472">_xlfn.IFS(D472&lt;= 60000, "Low Income",
D472&lt;=120000,"Medium Income",
D472&gt; 120000,"High Income"
)</f>
        <v>Low Income</v>
      </c>
      <c r="F472" s="9">
        <v>0</v>
      </c>
      <c r="G472" s="9" t="s">
        <v>30</v>
      </c>
      <c r="H472" s="9" t="s">
        <v>28</v>
      </c>
      <c r="I472" s="9" t="s">
        <v>20</v>
      </c>
      <c r="J472" s="9">
        <v>1</v>
      </c>
      <c r="K472" s="9" t="s">
        <v>29</v>
      </c>
      <c r="L472" s="9" t="s">
        <v>19</v>
      </c>
      <c r="M472" s="9">
        <v>28</v>
      </c>
      <c r="N472" s="9" t="str" cm="1">
        <f t="array" ref="N472">_xlfn.IFS(
M472&lt;=12,"Children",
M472&lt;=19,"Teens",
M472&lt;=29,"Young Adults",
M472&lt;=39,"Adults",
M472&lt;=59,"Middle-Aged",
M472&gt;=60,"Seniors"
)</f>
        <v>Young Adults</v>
      </c>
      <c r="O472" s="9" t="s">
        <v>20</v>
      </c>
      <c r="P472" s="9">
        <f t="shared" si="14"/>
        <v>0</v>
      </c>
      <c r="Q472" s="9">
        <v>1</v>
      </c>
      <c r="R472" s="10">
        <f t="shared" si="15"/>
        <v>0</v>
      </c>
    </row>
    <row r="473" spans="1:18" x14ac:dyDescent="0.3">
      <c r="A473" s="9">
        <v>28323</v>
      </c>
      <c r="B473" s="9" t="s">
        <v>40</v>
      </c>
      <c r="C473" s="9" t="s">
        <v>39</v>
      </c>
      <c r="D473" s="10">
        <v>70000</v>
      </c>
      <c r="E473" s="9" t="str" cm="1">
        <f t="array" ref="E473">_xlfn.IFS(D473&lt;= 60000, "Low Income",
D473&lt;=120000,"Medium Income",
D473&gt; 120000,"High Income"
)</f>
        <v>Medium Income</v>
      </c>
      <c r="F473" s="9">
        <v>0</v>
      </c>
      <c r="G473" s="9" t="s">
        <v>15</v>
      </c>
      <c r="H473" s="9" t="s">
        <v>23</v>
      </c>
      <c r="I473" s="9" t="s">
        <v>20</v>
      </c>
      <c r="J473" s="9">
        <v>2</v>
      </c>
      <c r="K473" s="9" t="s">
        <v>26</v>
      </c>
      <c r="L473" s="9" t="s">
        <v>27</v>
      </c>
      <c r="M473" s="9">
        <v>43</v>
      </c>
      <c r="N473" s="9" t="str" cm="1">
        <f t="array" ref="N473">_xlfn.IFS(
M473&lt;=12,"Children",
M473&lt;=19,"Teens",
M473&lt;=29,"Young Adults",
M473&lt;=39,"Adults",
M473&lt;=59,"Middle-Aged",
M473&gt;=60,"Seniors"
)</f>
        <v>Middle-Aged</v>
      </c>
      <c r="O473" s="9" t="s">
        <v>17</v>
      </c>
      <c r="P473" s="9">
        <f t="shared" si="14"/>
        <v>1</v>
      </c>
      <c r="Q473" s="9">
        <v>1</v>
      </c>
      <c r="R473" s="10">
        <f t="shared" si="15"/>
        <v>70000</v>
      </c>
    </row>
    <row r="474" spans="1:18" x14ac:dyDescent="0.3">
      <c r="A474" s="9">
        <v>22634</v>
      </c>
      <c r="B474" s="9" t="s">
        <v>40</v>
      </c>
      <c r="C474" s="9" t="s">
        <v>38</v>
      </c>
      <c r="D474" s="10">
        <v>40000</v>
      </c>
      <c r="E474" s="9" t="str" cm="1">
        <f t="array" ref="E474">_xlfn.IFS(D474&lt;= 60000, "Low Income",
D474&lt;=120000,"Medium Income",
D474&gt; 120000,"High Income"
)</f>
        <v>Low Income</v>
      </c>
      <c r="F474" s="9">
        <v>0</v>
      </c>
      <c r="G474" s="9" t="s">
        <v>34</v>
      </c>
      <c r="H474" s="9" t="s">
        <v>22</v>
      </c>
      <c r="I474" s="9" t="s">
        <v>17</v>
      </c>
      <c r="J474" s="9">
        <v>0</v>
      </c>
      <c r="K474" s="9" t="s">
        <v>18</v>
      </c>
      <c r="L474" s="9" t="s">
        <v>19</v>
      </c>
      <c r="M474" s="9">
        <v>38</v>
      </c>
      <c r="N474" s="9" t="str" cm="1">
        <f t="array" ref="N474">_xlfn.IFS(
M474&lt;=12,"Children",
M474&lt;=19,"Teens",
M474&lt;=29,"Young Adults",
M474&lt;=39,"Adults",
M474&lt;=59,"Middle-Aged",
M474&gt;=60,"Seniors"
)</f>
        <v>Adults</v>
      </c>
      <c r="O474" s="9" t="s">
        <v>17</v>
      </c>
      <c r="P474" s="9">
        <f t="shared" si="14"/>
        <v>1</v>
      </c>
      <c r="Q474" s="9">
        <v>1</v>
      </c>
      <c r="R474" s="10">
        <f t="shared" si="15"/>
        <v>40000</v>
      </c>
    </row>
    <row r="475" spans="1:18" x14ac:dyDescent="0.3">
      <c r="A475" s="9">
        <v>15665</v>
      </c>
      <c r="B475" s="9" t="s">
        <v>37</v>
      </c>
      <c r="C475" s="9" t="s">
        <v>38</v>
      </c>
      <c r="D475" s="10">
        <v>30000</v>
      </c>
      <c r="E475" s="9" t="str" cm="1">
        <f t="array" ref="E475">_xlfn.IFS(D475&lt;= 60000, "Low Income",
D475&lt;=120000,"Medium Income",
D475&gt; 120000,"High Income"
)</f>
        <v>Low Income</v>
      </c>
      <c r="F475" s="9">
        <v>0</v>
      </c>
      <c r="G475" s="9" t="s">
        <v>15</v>
      </c>
      <c r="H475" s="9" t="s">
        <v>22</v>
      </c>
      <c r="I475" s="9" t="s">
        <v>17</v>
      </c>
      <c r="J475" s="9">
        <v>0</v>
      </c>
      <c r="K475" s="9" t="s">
        <v>18</v>
      </c>
      <c r="L475" s="9" t="s">
        <v>19</v>
      </c>
      <c r="M475" s="9">
        <v>47</v>
      </c>
      <c r="N475" s="9" t="str" cm="1">
        <f t="array" ref="N475">_xlfn.IFS(
M475&lt;=12,"Children",
M475&lt;=19,"Teens",
M475&lt;=29,"Young Adults",
M475&lt;=39,"Adults",
M475&lt;=59,"Middle-Aged",
M475&gt;=60,"Seniors"
)</f>
        <v>Middle-Aged</v>
      </c>
      <c r="O475" s="9" t="s">
        <v>17</v>
      </c>
      <c r="P475" s="9">
        <f t="shared" si="14"/>
        <v>1</v>
      </c>
      <c r="Q475" s="9">
        <v>1</v>
      </c>
      <c r="R475" s="10">
        <f t="shared" si="15"/>
        <v>30000</v>
      </c>
    </row>
    <row r="476" spans="1:18" x14ac:dyDescent="0.3">
      <c r="A476" s="9">
        <v>27585</v>
      </c>
      <c r="B476" s="9" t="s">
        <v>37</v>
      </c>
      <c r="C476" s="9" t="s">
        <v>38</v>
      </c>
      <c r="D476" s="10">
        <v>90000</v>
      </c>
      <c r="E476" s="9" t="str" cm="1">
        <f t="array" ref="E476">_xlfn.IFS(D476&lt;= 60000, "Low Income",
D476&lt;=120000,"Medium Income",
D476&gt; 120000,"High Income"
)</f>
        <v>Medium Income</v>
      </c>
      <c r="F476" s="9">
        <v>2</v>
      </c>
      <c r="G476" s="9" t="s">
        <v>15</v>
      </c>
      <c r="H476" s="9" t="s">
        <v>23</v>
      </c>
      <c r="I476" s="9" t="s">
        <v>20</v>
      </c>
      <c r="J476" s="9">
        <v>0</v>
      </c>
      <c r="K476" s="9" t="s">
        <v>18</v>
      </c>
      <c r="L476" s="9" t="s">
        <v>27</v>
      </c>
      <c r="M476" s="9">
        <v>36</v>
      </c>
      <c r="N476" s="9" t="str" cm="1">
        <f t="array" ref="N476">_xlfn.IFS(
M476&lt;=12,"Children",
M476&lt;=19,"Teens",
M476&lt;=29,"Young Adults",
M476&lt;=39,"Adults",
M476&lt;=59,"Middle-Aged",
M476&gt;=60,"Seniors"
)</f>
        <v>Adults</v>
      </c>
      <c r="O476" s="9" t="s">
        <v>17</v>
      </c>
      <c r="P476" s="9">
        <f t="shared" si="14"/>
        <v>1</v>
      </c>
      <c r="Q476" s="9">
        <v>1</v>
      </c>
      <c r="R476" s="10">
        <f t="shared" si="15"/>
        <v>90000</v>
      </c>
    </row>
    <row r="477" spans="1:18" x14ac:dyDescent="0.3">
      <c r="A477" s="9">
        <v>19748</v>
      </c>
      <c r="B477" s="9" t="s">
        <v>37</v>
      </c>
      <c r="C477" s="9" t="s">
        <v>39</v>
      </c>
      <c r="D477" s="10">
        <v>20000</v>
      </c>
      <c r="E477" s="9" t="str" cm="1">
        <f t="array" ref="E477">_xlfn.IFS(D477&lt;= 60000, "Low Income",
D477&lt;=120000,"Medium Income",
D477&gt; 120000,"High Income"
)</f>
        <v>Low Income</v>
      </c>
      <c r="F477" s="9">
        <v>4</v>
      </c>
      <c r="G477" s="9" t="s">
        <v>30</v>
      </c>
      <c r="H477" s="9" t="s">
        <v>16</v>
      </c>
      <c r="I477" s="9" t="s">
        <v>20</v>
      </c>
      <c r="J477" s="9">
        <v>2</v>
      </c>
      <c r="K477" s="9" t="s">
        <v>29</v>
      </c>
      <c r="L477" s="9" t="s">
        <v>27</v>
      </c>
      <c r="M477" s="9">
        <v>60</v>
      </c>
      <c r="N477" s="9" t="str" cm="1">
        <f t="array" ref="N477">_xlfn.IFS(
M477&lt;=12,"Children",
M477&lt;=19,"Teens",
M477&lt;=29,"Young Adults",
M477&lt;=39,"Adults",
M477&lt;=59,"Middle-Aged",
M477&gt;=60,"Seniors"
)</f>
        <v>Seniors</v>
      </c>
      <c r="O477" s="9" t="s">
        <v>20</v>
      </c>
      <c r="P477" s="9">
        <f t="shared" si="14"/>
        <v>0</v>
      </c>
      <c r="Q477" s="9">
        <v>1</v>
      </c>
      <c r="R477" s="10">
        <f t="shared" si="15"/>
        <v>0</v>
      </c>
    </row>
    <row r="478" spans="1:18" x14ac:dyDescent="0.3">
      <c r="A478" s="9">
        <v>21974</v>
      </c>
      <c r="B478" s="9" t="s">
        <v>40</v>
      </c>
      <c r="C478" s="9" t="s">
        <v>38</v>
      </c>
      <c r="D478" s="10">
        <v>70000</v>
      </c>
      <c r="E478" s="9" t="str" cm="1">
        <f t="array" ref="E478">_xlfn.IFS(D478&lt;= 60000, "Low Income",
D478&lt;=120000,"Medium Income",
D478&gt; 120000,"High Income"
)</f>
        <v>Medium Income</v>
      </c>
      <c r="F478" s="9">
        <v>0</v>
      </c>
      <c r="G478" s="9" t="s">
        <v>15</v>
      </c>
      <c r="H478" s="9" t="s">
        <v>23</v>
      </c>
      <c r="I478" s="9" t="s">
        <v>17</v>
      </c>
      <c r="J478" s="9">
        <v>1</v>
      </c>
      <c r="K478" s="9" t="s">
        <v>26</v>
      </c>
      <c r="L478" s="9" t="s">
        <v>27</v>
      </c>
      <c r="M478" s="9">
        <v>42</v>
      </c>
      <c r="N478" s="9" t="str" cm="1">
        <f t="array" ref="N478">_xlfn.IFS(
M478&lt;=12,"Children",
M478&lt;=19,"Teens",
M478&lt;=29,"Young Adults",
M478&lt;=39,"Adults",
M478&lt;=59,"Middle-Aged",
M478&gt;=60,"Seniors"
)</f>
        <v>Middle-Aged</v>
      </c>
      <c r="O478" s="9" t="s">
        <v>17</v>
      </c>
      <c r="P478" s="9">
        <f t="shared" si="14"/>
        <v>1</v>
      </c>
      <c r="Q478" s="9">
        <v>1</v>
      </c>
      <c r="R478" s="10">
        <f t="shared" si="15"/>
        <v>70000</v>
      </c>
    </row>
    <row r="479" spans="1:18" x14ac:dyDescent="0.3">
      <c r="A479" s="9">
        <v>14032</v>
      </c>
      <c r="B479" s="9" t="s">
        <v>37</v>
      </c>
      <c r="C479" s="9" t="s">
        <v>39</v>
      </c>
      <c r="D479" s="10">
        <v>70000</v>
      </c>
      <c r="E479" s="9" t="str" cm="1">
        <f t="array" ref="E479">_xlfn.IFS(D479&lt;= 60000, "Low Income",
D479&lt;=120000,"Medium Income",
D479&gt; 120000,"High Income"
)</f>
        <v>Medium Income</v>
      </c>
      <c r="F479" s="9">
        <v>2</v>
      </c>
      <c r="G479" s="9" t="s">
        <v>30</v>
      </c>
      <c r="H479" s="9" t="s">
        <v>16</v>
      </c>
      <c r="I479" s="9" t="s">
        <v>20</v>
      </c>
      <c r="J479" s="9">
        <v>2</v>
      </c>
      <c r="K479" s="9" t="s">
        <v>29</v>
      </c>
      <c r="L479" s="9" t="s">
        <v>27</v>
      </c>
      <c r="M479" s="9">
        <v>50</v>
      </c>
      <c r="N479" s="9" t="str" cm="1">
        <f t="array" ref="N479">_xlfn.IFS(
M479&lt;=12,"Children",
M479&lt;=19,"Teens",
M479&lt;=29,"Young Adults",
M479&lt;=39,"Adults",
M479&lt;=59,"Middle-Aged",
M479&gt;=60,"Seniors"
)</f>
        <v>Middle-Aged</v>
      </c>
      <c r="O479" s="9" t="s">
        <v>17</v>
      </c>
      <c r="P479" s="9">
        <f t="shared" si="14"/>
        <v>1</v>
      </c>
      <c r="Q479" s="9">
        <v>1</v>
      </c>
      <c r="R479" s="10">
        <f t="shared" si="15"/>
        <v>70000</v>
      </c>
    </row>
    <row r="480" spans="1:18" x14ac:dyDescent="0.3">
      <c r="A480" s="9">
        <v>22610</v>
      </c>
      <c r="B480" s="9" t="s">
        <v>37</v>
      </c>
      <c r="C480" s="9" t="s">
        <v>39</v>
      </c>
      <c r="D480" s="10">
        <v>30000</v>
      </c>
      <c r="E480" s="9" t="str" cm="1">
        <f t="array" ref="E480">_xlfn.IFS(D480&lt;= 60000, "Low Income",
D480&lt;=120000,"Medium Income",
D480&gt; 120000,"High Income"
)</f>
        <v>Low Income</v>
      </c>
      <c r="F480" s="9">
        <v>0</v>
      </c>
      <c r="G480" s="9" t="s">
        <v>15</v>
      </c>
      <c r="H480" s="9" t="s">
        <v>22</v>
      </c>
      <c r="I480" s="9" t="s">
        <v>17</v>
      </c>
      <c r="J480" s="9">
        <v>0</v>
      </c>
      <c r="K480" s="9" t="s">
        <v>18</v>
      </c>
      <c r="L480" s="9" t="s">
        <v>19</v>
      </c>
      <c r="M480" s="9">
        <v>35</v>
      </c>
      <c r="N480" s="9" t="str" cm="1">
        <f t="array" ref="N480">_xlfn.IFS(
M480&lt;=12,"Children",
M480&lt;=19,"Teens",
M480&lt;=29,"Young Adults",
M480&lt;=39,"Adults",
M480&lt;=59,"Middle-Aged",
M480&gt;=60,"Seniors"
)</f>
        <v>Adults</v>
      </c>
      <c r="O480" s="9" t="s">
        <v>17</v>
      </c>
      <c r="P480" s="9">
        <f t="shared" si="14"/>
        <v>1</v>
      </c>
      <c r="Q480" s="9">
        <v>1</v>
      </c>
      <c r="R480" s="10">
        <f t="shared" si="15"/>
        <v>30000</v>
      </c>
    </row>
    <row r="481" spans="1:18" x14ac:dyDescent="0.3">
      <c r="A481" s="9">
        <v>26984</v>
      </c>
      <c r="B481" s="9" t="s">
        <v>37</v>
      </c>
      <c r="C481" s="9" t="s">
        <v>39</v>
      </c>
      <c r="D481" s="10">
        <v>40000</v>
      </c>
      <c r="E481" s="9" t="str" cm="1">
        <f t="array" ref="E481">_xlfn.IFS(D481&lt;= 60000, "Low Income",
D481&lt;=120000,"Medium Income",
D481&gt; 120000,"High Income"
)</f>
        <v>Low Income</v>
      </c>
      <c r="F481" s="9">
        <v>1</v>
      </c>
      <c r="G481" s="9" t="s">
        <v>15</v>
      </c>
      <c r="H481" s="9" t="s">
        <v>16</v>
      </c>
      <c r="I481" s="9" t="s">
        <v>17</v>
      </c>
      <c r="J481" s="9">
        <v>1</v>
      </c>
      <c r="K481" s="9" t="s">
        <v>18</v>
      </c>
      <c r="L481" s="9" t="s">
        <v>19</v>
      </c>
      <c r="M481" s="9">
        <v>32</v>
      </c>
      <c r="N481" s="9" t="str" cm="1">
        <f t="array" ref="N481">_xlfn.IFS(
M481&lt;=12,"Children",
M481&lt;=19,"Teens",
M481&lt;=29,"Young Adults",
M481&lt;=39,"Adults",
M481&lt;=59,"Middle-Aged",
M481&gt;=60,"Seniors"
)</f>
        <v>Adults</v>
      </c>
      <c r="O481" s="9" t="s">
        <v>17</v>
      </c>
      <c r="P481" s="9">
        <f t="shared" si="14"/>
        <v>1</v>
      </c>
      <c r="Q481" s="9">
        <v>1</v>
      </c>
      <c r="R481" s="10">
        <f t="shared" si="15"/>
        <v>40000</v>
      </c>
    </row>
    <row r="482" spans="1:18" x14ac:dyDescent="0.3">
      <c r="A482" s="9">
        <v>18294</v>
      </c>
      <c r="B482" s="9" t="s">
        <v>37</v>
      </c>
      <c r="C482" s="9" t="s">
        <v>38</v>
      </c>
      <c r="D482" s="10">
        <v>90000</v>
      </c>
      <c r="E482" s="9" t="str" cm="1">
        <f t="array" ref="E482">_xlfn.IFS(D482&lt;= 60000, "Low Income",
D482&lt;=120000,"Medium Income",
D482&gt; 120000,"High Income"
)</f>
        <v>Medium Income</v>
      </c>
      <c r="F482" s="9">
        <v>1</v>
      </c>
      <c r="G482" s="9" t="s">
        <v>15</v>
      </c>
      <c r="H482" s="9" t="s">
        <v>23</v>
      </c>
      <c r="I482" s="9" t="s">
        <v>17</v>
      </c>
      <c r="J482" s="9">
        <v>1</v>
      </c>
      <c r="K482" s="9" t="s">
        <v>26</v>
      </c>
      <c r="L482" s="9" t="s">
        <v>27</v>
      </c>
      <c r="M482" s="9">
        <v>46</v>
      </c>
      <c r="N482" s="9" t="str" cm="1">
        <f t="array" ref="N482">_xlfn.IFS(
M482&lt;=12,"Children",
M482&lt;=19,"Teens",
M482&lt;=29,"Young Adults",
M482&lt;=39,"Adults",
M482&lt;=59,"Middle-Aged",
M482&gt;=60,"Seniors"
)</f>
        <v>Middle-Aged</v>
      </c>
      <c r="O482" s="9" t="s">
        <v>20</v>
      </c>
      <c r="P482" s="9">
        <f t="shared" si="14"/>
        <v>0</v>
      </c>
      <c r="Q482" s="9">
        <v>1</v>
      </c>
      <c r="R482" s="10">
        <f t="shared" si="15"/>
        <v>0</v>
      </c>
    </row>
    <row r="483" spans="1:18" x14ac:dyDescent="0.3">
      <c r="A483" s="9">
        <v>28564</v>
      </c>
      <c r="B483" s="9" t="s">
        <v>40</v>
      </c>
      <c r="C483" s="9" t="s">
        <v>38</v>
      </c>
      <c r="D483" s="10">
        <v>40000</v>
      </c>
      <c r="E483" s="9" t="str" cm="1">
        <f t="array" ref="E483">_xlfn.IFS(D483&lt;= 60000, "Low Income",
D483&lt;=120000,"Medium Income",
D483&gt; 120000,"High Income"
)</f>
        <v>Low Income</v>
      </c>
      <c r="F483" s="9">
        <v>2</v>
      </c>
      <c r="G483" s="9" t="s">
        <v>21</v>
      </c>
      <c r="H483" s="9" t="s">
        <v>22</v>
      </c>
      <c r="I483" s="9" t="s">
        <v>17</v>
      </c>
      <c r="J483" s="9">
        <v>0</v>
      </c>
      <c r="K483" s="9" t="s">
        <v>29</v>
      </c>
      <c r="L483" s="9" t="s">
        <v>19</v>
      </c>
      <c r="M483" s="9">
        <v>33</v>
      </c>
      <c r="N483" s="9" t="str" cm="1">
        <f t="array" ref="N483">_xlfn.IFS(
M483&lt;=12,"Children",
M483&lt;=19,"Teens",
M483&lt;=29,"Young Adults",
M483&lt;=39,"Adults",
M483&lt;=59,"Middle-Aged",
M483&gt;=60,"Seniors"
)</f>
        <v>Adults</v>
      </c>
      <c r="O483" s="9" t="s">
        <v>17</v>
      </c>
      <c r="P483" s="9">
        <f t="shared" si="14"/>
        <v>1</v>
      </c>
      <c r="Q483" s="9">
        <v>1</v>
      </c>
      <c r="R483" s="10">
        <f t="shared" si="15"/>
        <v>40000</v>
      </c>
    </row>
    <row r="484" spans="1:18" x14ac:dyDescent="0.3">
      <c r="A484" s="9">
        <v>28521</v>
      </c>
      <c r="B484" s="9" t="s">
        <v>40</v>
      </c>
      <c r="C484" s="9" t="s">
        <v>39</v>
      </c>
      <c r="D484" s="10">
        <v>40000</v>
      </c>
      <c r="E484" s="9" t="str" cm="1">
        <f t="array" ref="E484">_xlfn.IFS(D484&lt;= 60000, "Low Income",
D484&lt;=120000,"Medium Income",
D484&gt; 120000,"High Income"
)</f>
        <v>Low Income</v>
      </c>
      <c r="F484" s="9">
        <v>0</v>
      </c>
      <c r="G484" s="9" t="s">
        <v>34</v>
      </c>
      <c r="H484" s="9" t="s">
        <v>22</v>
      </c>
      <c r="I484" s="9" t="s">
        <v>20</v>
      </c>
      <c r="J484" s="9">
        <v>0</v>
      </c>
      <c r="K484" s="9" t="s">
        <v>18</v>
      </c>
      <c r="L484" s="9" t="s">
        <v>19</v>
      </c>
      <c r="M484" s="9">
        <v>36</v>
      </c>
      <c r="N484" s="9" t="str" cm="1">
        <f t="array" ref="N484">_xlfn.IFS(
M484&lt;=12,"Children",
M484&lt;=19,"Teens",
M484&lt;=29,"Young Adults",
M484&lt;=39,"Adults",
M484&lt;=59,"Middle-Aged",
M484&gt;=60,"Seniors"
)</f>
        <v>Adults</v>
      </c>
      <c r="O484" s="9" t="s">
        <v>17</v>
      </c>
      <c r="P484" s="9">
        <f t="shared" si="14"/>
        <v>1</v>
      </c>
      <c r="Q484" s="9">
        <v>1</v>
      </c>
      <c r="R484" s="10">
        <f t="shared" si="15"/>
        <v>40000</v>
      </c>
    </row>
    <row r="485" spans="1:18" x14ac:dyDescent="0.3">
      <c r="A485" s="9">
        <v>15450</v>
      </c>
      <c r="B485" s="9" t="s">
        <v>37</v>
      </c>
      <c r="C485" s="9" t="s">
        <v>39</v>
      </c>
      <c r="D485" s="10">
        <v>10000</v>
      </c>
      <c r="E485" s="9" t="str" cm="1">
        <f t="array" ref="E485">_xlfn.IFS(D485&lt;= 60000, "Low Income",
D485&lt;=120000,"Medium Income",
D485&gt; 120000,"High Income"
)</f>
        <v>Low Income</v>
      </c>
      <c r="F485" s="9">
        <v>1</v>
      </c>
      <c r="G485" s="9" t="s">
        <v>34</v>
      </c>
      <c r="H485" s="9" t="s">
        <v>22</v>
      </c>
      <c r="I485" s="9" t="s">
        <v>17</v>
      </c>
      <c r="J485" s="9">
        <v>0</v>
      </c>
      <c r="K485" s="9" t="s">
        <v>18</v>
      </c>
      <c r="L485" s="9" t="s">
        <v>19</v>
      </c>
      <c r="M485" s="9">
        <v>70</v>
      </c>
      <c r="N485" s="9" t="str" cm="1">
        <f t="array" ref="N485">_xlfn.IFS(
M485&lt;=12,"Children",
M485&lt;=19,"Teens",
M485&lt;=29,"Young Adults",
M485&lt;=39,"Adults",
M485&lt;=59,"Middle-Aged",
M485&gt;=60,"Seniors"
)</f>
        <v>Seniors</v>
      </c>
      <c r="O485" s="9" t="s">
        <v>20</v>
      </c>
      <c r="P485" s="9">
        <f t="shared" si="14"/>
        <v>0</v>
      </c>
      <c r="Q485" s="9">
        <v>1</v>
      </c>
      <c r="R485" s="10">
        <f t="shared" si="15"/>
        <v>0</v>
      </c>
    </row>
    <row r="486" spans="1:18" x14ac:dyDescent="0.3">
      <c r="A486" s="9">
        <v>25681</v>
      </c>
      <c r="B486" s="9" t="s">
        <v>40</v>
      </c>
      <c r="C486" s="9" t="s">
        <v>38</v>
      </c>
      <c r="D486" s="10">
        <v>30000</v>
      </c>
      <c r="E486" s="9" t="str" cm="1">
        <f t="array" ref="E486">_xlfn.IFS(D486&lt;= 60000, "Low Income",
D486&lt;=120000,"Medium Income",
D486&gt; 120000,"High Income"
)</f>
        <v>Low Income</v>
      </c>
      <c r="F486" s="9">
        <v>0</v>
      </c>
      <c r="G486" s="9" t="s">
        <v>21</v>
      </c>
      <c r="H486" s="9" t="s">
        <v>22</v>
      </c>
      <c r="I486" s="9" t="s">
        <v>20</v>
      </c>
      <c r="J486" s="9">
        <v>1</v>
      </c>
      <c r="K486" s="9" t="s">
        <v>24</v>
      </c>
      <c r="L486" s="9" t="s">
        <v>19</v>
      </c>
      <c r="M486" s="9">
        <v>31</v>
      </c>
      <c r="N486" s="9" t="str" cm="1">
        <f t="array" ref="N486">_xlfn.IFS(
M486&lt;=12,"Children",
M486&lt;=19,"Teens",
M486&lt;=29,"Young Adults",
M486&lt;=39,"Adults",
M486&lt;=59,"Middle-Aged",
M486&gt;=60,"Seniors"
)</f>
        <v>Adults</v>
      </c>
      <c r="O486" s="9" t="s">
        <v>17</v>
      </c>
      <c r="P486" s="9">
        <f t="shared" si="14"/>
        <v>1</v>
      </c>
      <c r="Q486" s="9">
        <v>1</v>
      </c>
      <c r="R486" s="10">
        <f t="shared" si="15"/>
        <v>30000</v>
      </c>
    </row>
    <row r="487" spans="1:18" x14ac:dyDescent="0.3">
      <c r="A487" s="9">
        <v>19491</v>
      </c>
      <c r="B487" s="9" t="s">
        <v>40</v>
      </c>
      <c r="C487" s="9" t="s">
        <v>39</v>
      </c>
      <c r="D487" s="10">
        <v>30000</v>
      </c>
      <c r="E487" s="9" t="str" cm="1">
        <f t="array" ref="E487">_xlfn.IFS(D487&lt;= 60000, "Low Income",
D487&lt;=120000,"Medium Income",
D487&gt; 120000,"High Income"
)</f>
        <v>Low Income</v>
      </c>
      <c r="F487" s="9">
        <v>2</v>
      </c>
      <c r="G487" s="9" t="s">
        <v>21</v>
      </c>
      <c r="H487" s="9" t="s">
        <v>22</v>
      </c>
      <c r="I487" s="9" t="s">
        <v>17</v>
      </c>
      <c r="J487" s="9">
        <v>2</v>
      </c>
      <c r="K487" s="9" t="s">
        <v>18</v>
      </c>
      <c r="L487" s="9" t="s">
        <v>19</v>
      </c>
      <c r="M487" s="9">
        <v>42</v>
      </c>
      <c r="N487" s="9" t="str" cm="1">
        <f t="array" ref="N487">_xlfn.IFS(
M487&lt;=12,"Children",
M487&lt;=19,"Teens",
M487&lt;=29,"Young Adults",
M487&lt;=39,"Adults",
M487&lt;=59,"Middle-Aged",
M487&gt;=60,"Seniors"
)</f>
        <v>Middle-Aged</v>
      </c>
      <c r="O487" s="9" t="s">
        <v>20</v>
      </c>
      <c r="P487" s="9">
        <f t="shared" si="14"/>
        <v>0</v>
      </c>
      <c r="Q487" s="9">
        <v>1</v>
      </c>
      <c r="R487" s="10">
        <f t="shared" si="15"/>
        <v>0</v>
      </c>
    </row>
    <row r="488" spans="1:18" x14ac:dyDescent="0.3">
      <c r="A488" s="9">
        <v>26415</v>
      </c>
      <c r="B488" s="9" t="s">
        <v>37</v>
      </c>
      <c r="C488" s="9" t="s">
        <v>38</v>
      </c>
      <c r="D488" s="10">
        <v>90000</v>
      </c>
      <c r="E488" s="9" t="str" cm="1">
        <f t="array" ref="E488">_xlfn.IFS(D488&lt;= 60000, "Low Income",
D488&lt;=120000,"Medium Income",
D488&gt; 120000,"High Income"
)</f>
        <v>Medium Income</v>
      </c>
      <c r="F488" s="9">
        <v>4</v>
      </c>
      <c r="G488" s="9" t="s">
        <v>32</v>
      </c>
      <c r="H488" s="9" t="s">
        <v>16</v>
      </c>
      <c r="I488" s="9" t="s">
        <v>17</v>
      </c>
      <c r="J488" s="9">
        <v>4</v>
      </c>
      <c r="K488" s="9" t="s">
        <v>41</v>
      </c>
      <c r="L488" s="9" t="s">
        <v>19</v>
      </c>
      <c r="M488" s="9">
        <v>58</v>
      </c>
      <c r="N488" s="9" t="str" cm="1">
        <f t="array" ref="N488">_xlfn.IFS(
M488&lt;=12,"Children",
M488&lt;=19,"Teens",
M488&lt;=29,"Young Adults",
M488&lt;=39,"Adults",
M488&lt;=59,"Middle-Aged",
M488&gt;=60,"Seniors"
)</f>
        <v>Middle-Aged</v>
      </c>
      <c r="O488" s="9" t="s">
        <v>20</v>
      </c>
      <c r="P488" s="9">
        <f t="shared" si="14"/>
        <v>0</v>
      </c>
      <c r="Q488" s="9">
        <v>1</v>
      </c>
      <c r="R488" s="10">
        <f t="shared" si="15"/>
        <v>0</v>
      </c>
    </row>
    <row r="489" spans="1:18" x14ac:dyDescent="0.3">
      <c r="A489" s="9">
        <v>12821</v>
      </c>
      <c r="B489" s="9" t="s">
        <v>37</v>
      </c>
      <c r="C489" s="9" t="s">
        <v>39</v>
      </c>
      <c r="D489" s="10">
        <v>40000</v>
      </c>
      <c r="E489" s="9" t="str" cm="1">
        <f t="array" ref="E489">_xlfn.IFS(D489&lt;= 60000, "Low Income",
D489&lt;=120000,"Medium Income",
D489&gt; 120000,"High Income"
)</f>
        <v>Low Income</v>
      </c>
      <c r="F489" s="9">
        <v>0</v>
      </c>
      <c r="G489" s="9" t="s">
        <v>15</v>
      </c>
      <c r="H489" s="9" t="s">
        <v>22</v>
      </c>
      <c r="I489" s="9" t="s">
        <v>17</v>
      </c>
      <c r="J489" s="9">
        <v>0</v>
      </c>
      <c r="K489" s="9" t="s">
        <v>18</v>
      </c>
      <c r="L489" s="9" t="s">
        <v>19</v>
      </c>
      <c r="M489" s="9">
        <v>39</v>
      </c>
      <c r="N489" s="9" t="str" cm="1">
        <f t="array" ref="N489">_xlfn.IFS(
M489&lt;=12,"Children",
M489&lt;=19,"Teens",
M489&lt;=29,"Young Adults",
M489&lt;=39,"Adults",
M489&lt;=59,"Middle-Aged",
M489&gt;=60,"Seniors"
)</f>
        <v>Adults</v>
      </c>
      <c r="O489" s="9" t="s">
        <v>20</v>
      </c>
      <c r="P489" s="9">
        <f t="shared" si="14"/>
        <v>0</v>
      </c>
      <c r="Q489" s="9">
        <v>1</v>
      </c>
      <c r="R489" s="10">
        <f t="shared" si="15"/>
        <v>0</v>
      </c>
    </row>
    <row r="490" spans="1:18" x14ac:dyDescent="0.3">
      <c r="A490" s="9">
        <v>15629</v>
      </c>
      <c r="B490" s="9" t="s">
        <v>40</v>
      </c>
      <c r="C490" s="9" t="s">
        <v>38</v>
      </c>
      <c r="D490" s="10">
        <v>10000</v>
      </c>
      <c r="E490" s="9" t="str" cm="1">
        <f t="array" ref="E490">_xlfn.IFS(D490&lt;= 60000, "Low Income",
D490&lt;=120000,"Medium Income",
D490&gt; 120000,"High Income"
)</f>
        <v>Low Income</v>
      </c>
      <c r="F490" s="9">
        <v>0</v>
      </c>
      <c r="G490" s="9" t="s">
        <v>32</v>
      </c>
      <c r="H490" s="9" t="s">
        <v>28</v>
      </c>
      <c r="I490" s="9" t="s">
        <v>17</v>
      </c>
      <c r="J490" s="9">
        <v>2</v>
      </c>
      <c r="K490" s="9" t="s">
        <v>29</v>
      </c>
      <c r="L490" s="9" t="s">
        <v>19</v>
      </c>
      <c r="M490" s="9">
        <v>34</v>
      </c>
      <c r="N490" s="9" t="str" cm="1">
        <f t="array" ref="N490">_xlfn.IFS(
M490&lt;=12,"Children",
M490&lt;=19,"Teens",
M490&lt;=29,"Young Adults",
M490&lt;=39,"Adults",
M490&lt;=59,"Middle-Aged",
M490&gt;=60,"Seniors"
)</f>
        <v>Adults</v>
      </c>
      <c r="O490" s="9" t="s">
        <v>20</v>
      </c>
      <c r="P490" s="9">
        <f t="shared" si="14"/>
        <v>0</v>
      </c>
      <c r="Q490" s="9">
        <v>1</v>
      </c>
      <c r="R490" s="10">
        <f t="shared" si="15"/>
        <v>0</v>
      </c>
    </row>
    <row r="491" spans="1:18" x14ac:dyDescent="0.3">
      <c r="A491" s="9">
        <v>27835</v>
      </c>
      <c r="B491" s="9" t="s">
        <v>37</v>
      </c>
      <c r="C491" s="9" t="s">
        <v>39</v>
      </c>
      <c r="D491" s="10">
        <v>20000</v>
      </c>
      <c r="E491" s="9" t="str" cm="1">
        <f t="array" ref="E491">_xlfn.IFS(D491&lt;= 60000, "Low Income",
D491&lt;=120000,"Medium Income",
D491&gt; 120000,"High Income"
)</f>
        <v>Low Income</v>
      </c>
      <c r="F491" s="9">
        <v>0</v>
      </c>
      <c r="G491" s="9" t="s">
        <v>32</v>
      </c>
      <c r="H491" s="9" t="s">
        <v>28</v>
      </c>
      <c r="I491" s="9" t="s">
        <v>17</v>
      </c>
      <c r="J491" s="9">
        <v>2</v>
      </c>
      <c r="K491" s="9" t="s">
        <v>18</v>
      </c>
      <c r="L491" s="9" t="s">
        <v>19</v>
      </c>
      <c r="M491" s="9">
        <v>32</v>
      </c>
      <c r="N491" s="9" t="str" cm="1">
        <f t="array" ref="N491">_xlfn.IFS(
M491&lt;=12,"Children",
M491&lt;=19,"Teens",
M491&lt;=29,"Young Adults",
M491&lt;=39,"Adults",
M491&lt;=59,"Middle-Aged",
M491&gt;=60,"Seniors"
)</f>
        <v>Adults</v>
      </c>
      <c r="O491" s="9" t="s">
        <v>20</v>
      </c>
      <c r="P491" s="9">
        <f t="shared" si="14"/>
        <v>0</v>
      </c>
      <c r="Q491" s="9">
        <v>1</v>
      </c>
      <c r="R491" s="10">
        <f t="shared" si="15"/>
        <v>0</v>
      </c>
    </row>
    <row r="492" spans="1:18" x14ac:dyDescent="0.3">
      <c r="A492" s="9">
        <v>11738</v>
      </c>
      <c r="B492" s="9" t="s">
        <v>37</v>
      </c>
      <c r="C492" s="9" t="s">
        <v>39</v>
      </c>
      <c r="D492" s="10">
        <v>60000</v>
      </c>
      <c r="E492" s="9" t="str" cm="1">
        <f t="array" ref="E492">_xlfn.IFS(D492&lt;= 60000, "Low Income",
D492&lt;=120000,"Medium Income",
D492&gt; 120000,"High Income"
)</f>
        <v>Low Income</v>
      </c>
      <c r="F492" s="9">
        <v>4</v>
      </c>
      <c r="G492" s="9" t="s">
        <v>15</v>
      </c>
      <c r="H492" s="9" t="s">
        <v>23</v>
      </c>
      <c r="I492" s="9" t="s">
        <v>17</v>
      </c>
      <c r="J492" s="9">
        <v>0</v>
      </c>
      <c r="K492" s="9" t="s">
        <v>24</v>
      </c>
      <c r="L492" s="9" t="s">
        <v>35</v>
      </c>
      <c r="M492" s="9">
        <v>46</v>
      </c>
      <c r="N492" s="9" t="str" cm="1">
        <f t="array" ref="N492">_xlfn.IFS(
M492&lt;=12,"Children",
M492&lt;=19,"Teens",
M492&lt;=29,"Young Adults",
M492&lt;=39,"Adults",
M492&lt;=59,"Middle-Aged",
M492&gt;=60,"Seniors"
)</f>
        <v>Middle-Aged</v>
      </c>
      <c r="O492" s="9" t="s">
        <v>20</v>
      </c>
      <c r="P492" s="9">
        <f t="shared" si="14"/>
        <v>0</v>
      </c>
      <c r="Q492" s="9">
        <v>1</v>
      </c>
      <c r="R492" s="10">
        <f t="shared" si="15"/>
        <v>0</v>
      </c>
    </row>
    <row r="493" spans="1:18" x14ac:dyDescent="0.3">
      <c r="A493" s="9">
        <v>25065</v>
      </c>
      <c r="B493" s="9" t="s">
        <v>37</v>
      </c>
      <c r="C493" s="9" t="s">
        <v>39</v>
      </c>
      <c r="D493" s="10">
        <v>70000</v>
      </c>
      <c r="E493" s="9" t="str" cm="1">
        <f t="array" ref="E493">_xlfn.IFS(D493&lt;= 60000, "Low Income",
D493&lt;=120000,"Medium Income",
D493&gt; 120000,"High Income"
)</f>
        <v>Medium Income</v>
      </c>
      <c r="F493" s="9">
        <v>2</v>
      </c>
      <c r="G493" s="9" t="s">
        <v>32</v>
      </c>
      <c r="H493" s="9" t="s">
        <v>16</v>
      </c>
      <c r="I493" s="9" t="s">
        <v>17</v>
      </c>
      <c r="J493" s="9">
        <v>2</v>
      </c>
      <c r="K493" s="9" t="s">
        <v>26</v>
      </c>
      <c r="L493" s="9" t="s">
        <v>35</v>
      </c>
      <c r="M493" s="9">
        <v>48</v>
      </c>
      <c r="N493" s="9" t="str" cm="1">
        <f t="array" ref="N493">_xlfn.IFS(
M493&lt;=12,"Children",
M493&lt;=19,"Teens",
M493&lt;=29,"Young Adults",
M493&lt;=39,"Adults",
M493&lt;=59,"Middle-Aged",
M493&gt;=60,"Seniors"
)</f>
        <v>Middle-Aged</v>
      </c>
      <c r="O493" s="9" t="s">
        <v>20</v>
      </c>
      <c r="P493" s="9">
        <f t="shared" si="14"/>
        <v>0</v>
      </c>
      <c r="Q493" s="9">
        <v>1</v>
      </c>
      <c r="R493" s="10">
        <f t="shared" si="15"/>
        <v>0</v>
      </c>
    </row>
    <row r="494" spans="1:18" x14ac:dyDescent="0.3">
      <c r="A494" s="9">
        <v>26238</v>
      </c>
      <c r="B494" s="9" t="s">
        <v>40</v>
      </c>
      <c r="C494" s="9" t="s">
        <v>38</v>
      </c>
      <c r="D494" s="10">
        <v>40000</v>
      </c>
      <c r="E494" s="9" t="str" cm="1">
        <f t="array" ref="E494">_xlfn.IFS(D494&lt;= 60000, "Low Income",
D494&lt;=120000,"Medium Income",
D494&gt; 120000,"High Income"
)</f>
        <v>Low Income</v>
      </c>
      <c r="F494" s="9">
        <v>3</v>
      </c>
      <c r="G494" s="9" t="s">
        <v>21</v>
      </c>
      <c r="H494" s="9" t="s">
        <v>22</v>
      </c>
      <c r="I494" s="9" t="s">
        <v>17</v>
      </c>
      <c r="J494" s="9">
        <v>1</v>
      </c>
      <c r="K494" s="9" t="s">
        <v>29</v>
      </c>
      <c r="L494" s="9" t="s">
        <v>35</v>
      </c>
      <c r="M494" s="9">
        <v>31</v>
      </c>
      <c r="N494" s="9" t="str" cm="1">
        <f t="array" ref="N494">_xlfn.IFS(
M494&lt;=12,"Children",
M494&lt;=19,"Teens",
M494&lt;=29,"Young Adults",
M494&lt;=39,"Adults",
M494&lt;=59,"Middle-Aged",
M494&gt;=60,"Seniors"
)</f>
        <v>Adults</v>
      </c>
      <c r="O494" s="9" t="s">
        <v>17</v>
      </c>
      <c r="P494" s="9">
        <f t="shared" si="14"/>
        <v>1</v>
      </c>
      <c r="Q494" s="9">
        <v>1</v>
      </c>
      <c r="R494" s="10">
        <f t="shared" si="15"/>
        <v>40000</v>
      </c>
    </row>
    <row r="495" spans="1:18" x14ac:dyDescent="0.3">
      <c r="A495" s="9">
        <v>23707</v>
      </c>
      <c r="B495" s="9" t="s">
        <v>40</v>
      </c>
      <c r="C495" s="9" t="s">
        <v>39</v>
      </c>
      <c r="D495" s="10">
        <v>70000</v>
      </c>
      <c r="E495" s="9" t="str" cm="1">
        <f t="array" ref="E495">_xlfn.IFS(D495&lt;= 60000, "Low Income",
D495&lt;=120000,"Medium Income",
D495&gt; 120000,"High Income"
)</f>
        <v>Medium Income</v>
      </c>
      <c r="F495" s="9">
        <v>5</v>
      </c>
      <c r="G495" s="9" t="s">
        <v>15</v>
      </c>
      <c r="H495" s="9" t="s">
        <v>31</v>
      </c>
      <c r="I495" s="9" t="s">
        <v>17</v>
      </c>
      <c r="J495" s="9">
        <v>3</v>
      </c>
      <c r="K495" s="9" t="s">
        <v>41</v>
      </c>
      <c r="L495" s="9" t="s">
        <v>35</v>
      </c>
      <c r="M495" s="9">
        <v>60</v>
      </c>
      <c r="N495" s="9" t="str" cm="1">
        <f t="array" ref="N495">_xlfn.IFS(
M495&lt;=12,"Children",
M495&lt;=19,"Teens",
M495&lt;=29,"Young Adults",
M495&lt;=39,"Adults",
M495&lt;=59,"Middle-Aged",
M495&gt;=60,"Seniors"
)</f>
        <v>Seniors</v>
      </c>
      <c r="O495" s="9" t="s">
        <v>17</v>
      </c>
      <c r="P495" s="9">
        <f t="shared" si="14"/>
        <v>1</v>
      </c>
      <c r="Q495" s="9">
        <v>1</v>
      </c>
      <c r="R495" s="10">
        <f t="shared" si="15"/>
        <v>70000</v>
      </c>
    </row>
    <row r="496" spans="1:18" x14ac:dyDescent="0.3">
      <c r="A496" s="9">
        <v>27650</v>
      </c>
      <c r="B496" s="9" t="s">
        <v>37</v>
      </c>
      <c r="C496" s="9" t="s">
        <v>39</v>
      </c>
      <c r="D496" s="10">
        <v>70000</v>
      </c>
      <c r="E496" s="9" t="str" cm="1">
        <f t="array" ref="E496">_xlfn.IFS(D496&lt;= 60000, "Low Income",
D496&lt;=120000,"Medium Income",
D496&gt; 120000,"High Income"
)</f>
        <v>Medium Income</v>
      </c>
      <c r="F496" s="9">
        <v>4</v>
      </c>
      <c r="G496" s="9" t="s">
        <v>30</v>
      </c>
      <c r="H496" s="9" t="s">
        <v>23</v>
      </c>
      <c r="I496" s="9" t="s">
        <v>17</v>
      </c>
      <c r="J496" s="9">
        <v>0</v>
      </c>
      <c r="K496" s="9" t="s">
        <v>26</v>
      </c>
      <c r="L496" s="9" t="s">
        <v>35</v>
      </c>
      <c r="M496" s="9">
        <v>51</v>
      </c>
      <c r="N496" s="9" t="str" cm="1">
        <f t="array" ref="N496">_xlfn.IFS(
M496&lt;=12,"Children",
M496&lt;=19,"Teens",
M496&lt;=29,"Young Adults",
M496&lt;=39,"Adults",
M496&lt;=59,"Middle-Aged",
M496&gt;=60,"Seniors"
)</f>
        <v>Middle-Aged</v>
      </c>
      <c r="O496" s="9" t="s">
        <v>20</v>
      </c>
      <c r="P496" s="9">
        <f t="shared" si="14"/>
        <v>0</v>
      </c>
      <c r="Q496" s="9">
        <v>1</v>
      </c>
      <c r="R496" s="10">
        <f t="shared" si="15"/>
        <v>0</v>
      </c>
    </row>
    <row r="497" spans="1:18" x14ac:dyDescent="0.3">
      <c r="A497" s="9">
        <v>24981</v>
      </c>
      <c r="B497" s="9" t="s">
        <v>37</v>
      </c>
      <c r="C497" s="9" t="s">
        <v>39</v>
      </c>
      <c r="D497" s="10">
        <v>60000</v>
      </c>
      <c r="E497" s="9" t="str" cm="1">
        <f t="array" ref="E497">_xlfn.IFS(D497&lt;= 60000, "Low Income",
D497&lt;=120000,"Medium Income",
D497&gt; 120000,"High Income"
)</f>
        <v>Low Income</v>
      </c>
      <c r="F497" s="9">
        <v>2</v>
      </c>
      <c r="G497" s="9" t="s">
        <v>21</v>
      </c>
      <c r="H497" s="9" t="s">
        <v>23</v>
      </c>
      <c r="I497" s="9" t="s">
        <v>17</v>
      </c>
      <c r="J497" s="9">
        <v>2</v>
      </c>
      <c r="K497" s="9" t="s">
        <v>41</v>
      </c>
      <c r="L497" s="9" t="s">
        <v>35</v>
      </c>
      <c r="M497" s="9">
        <v>56</v>
      </c>
      <c r="N497" s="9" t="str" cm="1">
        <f t="array" ref="N497">_xlfn.IFS(
M497&lt;=12,"Children",
M497&lt;=19,"Teens",
M497&lt;=29,"Young Adults",
M497&lt;=39,"Adults",
M497&lt;=59,"Middle-Aged",
M497&gt;=60,"Seniors"
)</f>
        <v>Middle-Aged</v>
      </c>
      <c r="O497" s="9" t="s">
        <v>20</v>
      </c>
      <c r="P497" s="9">
        <f t="shared" si="14"/>
        <v>0</v>
      </c>
      <c r="Q497" s="9">
        <v>1</v>
      </c>
      <c r="R497" s="10">
        <f t="shared" si="15"/>
        <v>0</v>
      </c>
    </row>
    <row r="498" spans="1:18" x14ac:dyDescent="0.3">
      <c r="A498" s="9">
        <v>20678</v>
      </c>
      <c r="B498" s="9" t="s">
        <v>40</v>
      </c>
      <c r="C498" s="9" t="s">
        <v>38</v>
      </c>
      <c r="D498" s="10">
        <v>60000</v>
      </c>
      <c r="E498" s="9" t="str" cm="1">
        <f t="array" ref="E498">_xlfn.IFS(D498&lt;= 60000, "Low Income",
D498&lt;=120000,"Medium Income",
D498&gt; 120000,"High Income"
)</f>
        <v>Low Income</v>
      </c>
      <c r="F498" s="9">
        <v>3</v>
      </c>
      <c r="G498" s="9" t="s">
        <v>15</v>
      </c>
      <c r="H498" s="9" t="s">
        <v>16</v>
      </c>
      <c r="I498" s="9" t="s">
        <v>17</v>
      </c>
      <c r="J498" s="9">
        <v>1</v>
      </c>
      <c r="K498" s="9" t="s">
        <v>24</v>
      </c>
      <c r="L498" s="9" t="s">
        <v>35</v>
      </c>
      <c r="M498" s="9">
        <v>40</v>
      </c>
      <c r="N498" s="9" t="str" cm="1">
        <f t="array" ref="N498">_xlfn.IFS(
M498&lt;=12,"Children",
M498&lt;=19,"Teens",
M498&lt;=29,"Young Adults",
M498&lt;=39,"Adults",
M498&lt;=59,"Middle-Aged",
M498&gt;=60,"Seniors"
)</f>
        <v>Middle-Aged</v>
      </c>
      <c r="O498" s="9" t="s">
        <v>17</v>
      </c>
      <c r="P498" s="9">
        <f t="shared" si="14"/>
        <v>1</v>
      </c>
      <c r="Q498" s="9">
        <v>1</v>
      </c>
      <c r="R498" s="10">
        <f t="shared" si="15"/>
        <v>60000</v>
      </c>
    </row>
    <row r="499" spans="1:18" x14ac:dyDescent="0.3">
      <c r="A499" s="9">
        <v>15302</v>
      </c>
      <c r="B499" s="9" t="s">
        <v>40</v>
      </c>
      <c r="C499" s="9" t="s">
        <v>38</v>
      </c>
      <c r="D499" s="10">
        <v>70000</v>
      </c>
      <c r="E499" s="9" t="str" cm="1">
        <f t="array" ref="E499">_xlfn.IFS(D499&lt;= 60000, "Low Income",
D499&lt;=120000,"Medium Income",
D499&gt; 120000,"High Income"
)</f>
        <v>Medium Income</v>
      </c>
      <c r="F499" s="9">
        <v>1</v>
      </c>
      <c r="G499" s="9" t="s">
        <v>34</v>
      </c>
      <c r="H499" s="9" t="s">
        <v>23</v>
      </c>
      <c r="I499" s="9" t="s">
        <v>17</v>
      </c>
      <c r="J499" s="9">
        <v>0</v>
      </c>
      <c r="K499" s="9" t="s">
        <v>24</v>
      </c>
      <c r="L499" s="9" t="s">
        <v>35</v>
      </c>
      <c r="M499" s="9">
        <v>34</v>
      </c>
      <c r="N499" s="9" t="str" cm="1">
        <f t="array" ref="N499">_xlfn.IFS(
M499&lt;=12,"Children",
M499&lt;=19,"Teens",
M499&lt;=29,"Young Adults",
M499&lt;=39,"Adults",
M499&lt;=59,"Middle-Aged",
M499&gt;=60,"Seniors"
)</f>
        <v>Adults</v>
      </c>
      <c r="O499" s="9" t="s">
        <v>17</v>
      </c>
      <c r="P499" s="9">
        <f t="shared" si="14"/>
        <v>1</v>
      </c>
      <c r="Q499" s="9">
        <v>1</v>
      </c>
      <c r="R499" s="10">
        <f t="shared" si="15"/>
        <v>70000</v>
      </c>
    </row>
    <row r="500" spans="1:18" x14ac:dyDescent="0.3">
      <c r="A500" s="9">
        <v>26012</v>
      </c>
      <c r="B500" s="9" t="s">
        <v>37</v>
      </c>
      <c r="C500" s="9" t="s">
        <v>39</v>
      </c>
      <c r="D500" s="10">
        <v>80000</v>
      </c>
      <c r="E500" s="9" t="str" cm="1">
        <f t="array" ref="E500">_xlfn.IFS(D500&lt;= 60000, "Low Income",
D500&lt;=120000,"Medium Income",
D500&gt; 120000,"High Income"
)</f>
        <v>Medium Income</v>
      </c>
      <c r="F500" s="9">
        <v>1</v>
      </c>
      <c r="G500" s="9" t="s">
        <v>21</v>
      </c>
      <c r="H500" s="9" t="s">
        <v>16</v>
      </c>
      <c r="I500" s="9" t="s">
        <v>17</v>
      </c>
      <c r="J500" s="9">
        <v>1</v>
      </c>
      <c r="K500" s="9" t="s">
        <v>24</v>
      </c>
      <c r="L500" s="9" t="s">
        <v>35</v>
      </c>
      <c r="M500" s="9">
        <v>48</v>
      </c>
      <c r="N500" s="9" t="str" cm="1">
        <f t="array" ref="N500">_xlfn.IFS(
M500&lt;=12,"Children",
M500&lt;=19,"Teens",
M500&lt;=29,"Young Adults",
M500&lt;=39,"Adults",
M500&lt;=59,"Middle-Aged",
M500&gt;=60,"Seniors"
)</f>
        <v>Middle-Aged</v>
      </c>
      <c r="O500" s="9" t="s">
        <v>17</v>
      </c>
      <c r="P500" s="9">
        <f t="shared" si="14"/>
        <v>1</v>
      </c>
      <c r="Q500" s="9">
        <v>1</v>
      </c>
      <c r="R500" s="10">
        <f t="shared" si="15"/>
        <v>80000</v>
      </c>
    </row>
    <row r="501" spans="1:18" x14ac:dyDescent="0.3">
      <c r="A501" s="9">
        <v>26575</v>
      </c>
      <c r="B501" s="9" t="s">
        <v>40</v>
      </c>
      <c r="C501" s="9" t="s">
        <v>38</v>
      </c>
      <c r="D501" s="10">
        <v>40000</v>
      </c>
      <c r="E501" s="9" t="str" cm="1">
        <f t="array" ref="E501">_xlfn.IFS(D501&lt;= 60000, "Low Income",
D501&lt;=120000,"Medium Income",
D501&gt; 120000,"High Income"
)</f>
        <v>Low Income</v>
      </c>
      <c r="F501" s="9">
        <v>0</v>
      </c>
      <c r="G501" s="9" t="s">
        <v>30</v>
      </c>
      <c r="H501" s="9" t="s">
        <v>16</v>
      </c>
      <c r="I501" s="9" t="s">
        <v>20</v>
      </c>
      <c r="J501" s="9">
        <v>2</v>
      </c>
      <c r="K501" s="9" t="s">
        <v>29</v>
      </c>
      <c r="L501" s="9" t="s">
        <v>35</v>
      </c>
      <c r="M501" s="9">
        <v>31</v>
      </c>
      <c r="N501" s="9" t="str" cm="1">
        <f t="array" ref="N501">_xlfn.IFS(
M501&lt;=12,"Children",
M501&lt;=19,"Teens",
M501&lt;=29,"Young Adults",
M501&lt;=39,"Adults",
M501&lt;=59,"Middle-Aged",
M501&gt;=60,"Seniors"
)</f>
        <v>Adults</v>
      </c>
      <c r="O501" s="9" t="s">
        <v>17</v>
      </c>
      <c r="P501" s="9">
        <f t="shared" si="14"/>
        <v>1</v>
      </c>
      <c r="Q501" s="9">
        <v>1</v>
      </c>
      <c r="R501" s="10">
        <f t="shared" si="15"/>
        <v>40000</v>
      </c>
    </row>
    <row r="502" spans="1:18" x14ac:dyDescent="0.3">
      <c r="A502" s="9">
        <v>15559</v>
      </c>
      <c r="B502" s="9" t="s">
        <v>37</v>
      </c>
      <c r="C502" s="9" t="s">
        <v>39</v>
      </c>
      <c r="D502" s="10">
        <v>60000</v>
      </c>
      <c r="E502" s="9" t="str" cm="1">
        <f t="array" ref="E502">_xlfn.IFS(D502&lt;= 60000, "Low Income",
D502&lt;=120000,"Medium Income",
D502&gt; 120000,"High Income"
)</f>
        <v>Low Income</v>
      </c>
      <c r="F502" s="9">
        <v>5</v>
      </c>
      <c r="G502" s="9" t="s">
        <v>15</v>
      </c>
      <c r="H502" s="9" t="s">
        <v>23</v>
      </c>
      <c r="I502" s="9" t="s">
        <v>17</v>
      </c>
      <c r="J502" s="9">
        <v>1</v>
      </c>
      <c r="K502" s="9" t="s">
        <v>24</v>
      </c>
      <c r="L502" s="9" t="s">
        <v>35</v>
      </c>
      <c r="M502" s="9">
        <v>47</v>
      </c>
      <c r="N502" s="9" t="str" cm="1">
        <f t="array" ref="N502">_xlfn.IFS(
M502&lt;=12,"Children",
M502&lt;=19,"Teens",
M502&lt;=29,"Young Adults",
M502&lt;=39,"Adults",
M502&lt;=59,"Middle-Aged",
M502&gt;=60,"Seniors"
)</f>
        <v>Middle-Aged</v>
      </c>
      <c r="O502" s="9" t="s">
        <v>20</v>
      </c>
      <c r="P502" s="9">
        <f t="shared" si="14"/>
        <v>0</v>
      </c>
      <c r="Q502" s="9">
        <v>1</v>
      </c>
      <c r="R502" s="10">
        <f t="shared" si="15"/>
        <v>0</v>
      </c>
    </row>
    <row r="503" spans="1:18" x14ac:dyDescent="0.3">
      <c r="A503" s="9">
        <v>19235</v>
      </c>
      <c r="B503" s="9" t="s">
        <v>37</v>
      </c>
      <c r="C503" s="9" t="s">
        <v>38</v>
      </c>
      <c r="D503" s="10">
        <v>50000</v>
      </c>
      <c r="E503" s="9" t="str" cm="1">
        <f t="array" ref="E503">_xlfn.IFS(D503&lt;= 60000, "Low Income",
D503&lt;=120000,"Medium Income",
D503&gt; 120000,"High Income"
)</f>
        <v>Low Income</v>
      </c>
      <c r="F503" s="9">
        <v>0</v>
      </c>
      <c r="G503" s="9" t="s">
        <v>34</v>
      </c>
      <c r="H503" s="9" t="s">
        <v>16</v>
      </c>
      <c r="I503" s="9" t="s">
        <v>17</v>
      </c>
      <c r="J503" s="9">
        <v>0</v>
      </c>
      <c r="K503" s="9" t="s">
        <v>18</v>
      </c>
      <c r="L503" s="9" t="s">
        <v>35</v>
      </c>
      <c r="M503" s="9">
        <v>34</v>
      </c>
      <c r="N503" s="9" t="str" cm="1">
        <f t="array" ref="N503">_xlfn.IFS(
M503&lt;=12,"Children",
M503&lt;=19,"Teens",
M503&lt;=29,"Young Adults",
M503&lt;=39,"Adults",
M503&lt;=59,"Middle-Aged",
M503&gt;=60,"Seniors"
)</f>
        <v>Adults</v>
      </c>
      <c r="O503" s="9" t="s">
        <v>20</v>
      </c>
      <c r="P503" s="9">
        <f t="shared" si="14"/>
        <v>0</v>
      </c>
      <c r="Q503" s="9">
        <v>1</v>
      </c>
      <c r="R503" s="10">
        <f t="shared" si="15"/>
        <v>0</v>
      </c>
    </row>
    <row r="504" spans="1:18" x14ac:dyDescent="0.3">
      <c r="A504" s="9">
        <v>15275</v>
      </c>
      <c r="B504" s="9" t="s">
        <v>37</v>
      </c>
      <c r="C504" s="9" t="s">
        <v>39</v>
      </c>
      <c r="D504" s="10">
        <v>40000</v>
      </c>
      <c r="E504" s="9" t="str" cm="1">
        <f t="array" ref="E504">_xlfn.IFS(D504&lt;= 60000, "Low Income",
D504&lt;=120000,"Medium Income",
D504&gt; 120000,"High Income"
)</f>
        <v>Low Income</v>
      </c>
      <c r="F504" s="9">
        <v>0</v>
      </c>
      <c r="G504" s="9" t="s">
        <v>21</v>
      </c>
      <c r="H504" s="9" t="s">
        <v>16</v>
      </c>
      <c r="I504" s="9" t="s">
        <v>17</v>
      </c>
      <c r="J504" s="9">
        <v>1</v>
      </c>
      <c r="K504" s="9" t="s">
        <v>26</v>
      </c>
      <c r="L504" s="9" t="s">
        <v>35</v>
      </c>
      <c r="M504" s="9">
        <v>29</v>
      </c>
      <c r="N504" s="9" t="str" cm="1">
        <f t="array" ref="N504">_xlfn.IFS(
M504&lt;=12,"Children",
M504&lt;=19,"Teens",
M504&lt;=29,"Young Adults",
M504&lt;=39,"Adults",
M504&lt;=59,"Middle-Aged",
M504&gt;=60,"Seniors"
)</f>
        <v>Young Adults</v>
      </c>
      <c r="O504" s="9" t="s">
        <v>20</v>
      </c>
      <c r="P504" s="9">
        <f t="shared" si="14"/>
        <v>0</v>
      </c>
      <c r="Q504" s="9">
        <v>1</v>
      </c>
      <c r="R504" s="10">
        <f t="shared" si="15"/>
        <v>0</v>
      </c>
    </row>
    <row r="505" spans="1:18" x14ac:dyDescent="0.3">
      <c r="A505" s="9">
        <v>20339</v>
      </c>
      <c r="B505" s="9" t="s">
        <v>37</v>
      </c>
      <c r="C505" s="9" t="s">
        <v>38</v>
      </c>
      <c r="D505" s="10">
        <v>130000</v>
      </c>
      <c r="E505" s="9" t="str" cm="1">
        <f t="array" ref="E505">_xlfn.IFS(D505&lt;= 60000, "Low Income",
D505&lt;=120000,"Medium Income",
D505&gt; 120000,"High Income"
)</f>
        <v>High Income</v>
      </c>
      <c r="F505" s="9">
        <v>1</v>
      </c>
      <c r="G505" s="9" t="s">
        <v>15</v>
      </c>
      <c r="H505" s="9" t="s">
        <v>31</v>
      </c>
      <c r="I505" s="9" t="s">
        <v>17</v>
      </c>
      <c r="J505" s="9">
        <v>4</v>
      </c>
      <c r="K505" s="9" t="s">
        <v>24</v>
      </c>
      <c r="L505" s="9" t="s">
        <v>35</v>
      </c>
      <c r="M505" s="9">
        <v>44</v>
      </c>
      <c r="N505" s="9" t="str" cm="1">
        <f t="array" ref="N505">_xlfn.IFS(
M505&lt;=12,"Children",
M505&lt;=19,"Teens",
M505&lt;=29,"Young Adults",
M505&lt;=39,"Adults",
M505&lt;=59,"Middle-Aged",
M505&gt;=60,"Seniors"
)</f>
        <v>Middle-Aged</v>
      </c>
      <c r="O505" s="9" t="s">
        <v>17</v>
      </c>
      <c r="P505" s="9">
        <f t="shared" si="14"/>
        <v>1</v>
      </c>
      <c r="Q505" s="9">
        <v>1</v>
      </c>
      <c r="R505" s="10">
        <f t="shared" si="15"/>
        <v>130000</v>
      </c>
    </row>
    <row r="506" spans="1:18" x14ac:dyDescent="0.3">
      <c r="A506" s="9">
        <v>25405</v>
      </c>
      <c r="B506" s="9" t="s">
        <v>37</v>
      </c>
      <c r="C506" s="9" t="s">
        <v>39</v>
      </c>
      <c r="D506" s="10">
        <v>70000</v>
      </c>
      <c r="E506" s="9" t="str" cm="1">
        <f t="array" ref="E506">_xlfn.IFS(D506&lt;= 60000, "Low Income",
D506&lt;=120000,"Medium Income",
D506&gt; 120000,"High Income"
)</f>
        <v>Medium Income</v>
      </c>
      <c r="F506" s="9">
        <v>2</v>
      </c>
      <c r="G506" s="9" t="s">
        <v>15</v>
      </c>
      <c r="H506" s="9" t="s">
        <v>16</v>
      </c>
      <c r="I506" s="9" t="s">
        <v>17</v>
      </c>
      <c r="J506" s="9">
        <v>1</v>
      </c>
      <c r="K506" s="9" t="s">
        <v>24</v>
      </c>
      <c r="L506" s="9" t="s">
        <v>35</v>
      </c>
      <c r="M506" s="9">
        <v>38</v>
      </c>
      <c r="N506" s="9" t="str" cm="1">
        <f t="array" ref="N506">_xlfn.IFS(
M506&lt;=12,"Children",
M506&lt;=19,"Teens",
M506&lt;=29,"Young Adults",
M506&lt;=39,"Adults",
M506&lt;=59,"Middle-Aged",
M506&gt;=60,"Seniors"
)</f>
        <v>Adults</v>
      </c>
      <c r="O506" s="9" t="s">
        <v>17</v>
      </c>
      <c r="P506" s="9">
        <f t="shared" si="14"/>
        <v>1</v>
      </c>
      <c r="Q506" s="9">
        <v>1</v>
      </c>
      <c r="R506" s="10">
        <f t="shared" si="15"/>
        <v>70000</v>
      </c>
    </row>
    <row r="507" spans="1:18" x14ac:dyDescent="0.3">
      <c r="A507" s="9">
        <v>15940</v>
      </c>
      <c r="B507" s="9" t="s">
        <v>37</v>
      </c>
      <c r="C507" s="9" t="s">
        <v>39</v>
      </c>
      <c r="D507" s="10">
        <v>100000</v>
      </c>
      <c r="E507" s="9" t="str" cm="1">
        <f t="array" ref="E507">_xlfn.IFS(D507&lt;= 60000, "Low Income",
D507&lt;=120000,"Medium Income",
D507&gt; 120000,"High Income"
)</f>
        <v>Medium Income</v>
      </c>
      <c r="F507" s="9">
        <v>4</v>
      </c>
      <c r="G507" s="9" t="s">
        <v>21</v>
      </c>
      <c r="H507" s="9" t="s">
        <v>23</v>
      </c>
      <c r="I507" s="9" t="s">
        <v>17</v>
      </c>
      <c r="J507" s="9">
        <v>4</v>
      </c>
      <c r="K507" s="9" t="s">
        <v>18</v>
      </c>
      <c r="L507" s="9" t="s">
        <v>35</v>
      </c>
      <c r="M507" s="9">
        <v>40</v>
      </c>
      <c r="N507" s="9" t="str" cm="1">
        <f t="array" ref="N507">_xlfn.IFS(
M507&lt;=12,"Children",
M507&lt;=19,"Teens",
M507&lt;=29,"Young Adults",
M507&lt;=39,"Adults",
M507&lt;=59,"Middle-Aged",
M507&gt;=60,"Seniors"
)</f>
        <v>Middle-Aged</v>
      </c>
      <c r="O507" s="9" t="s">
        <v>20</v>
      </c>
      <c r="P507" s="9">
        <f t="shared" si="14"/>
        <v>0</v>
      </c>
      <c r="Q507" s="9">
        <v>1</v>
      </c>
      <c r="R507" s="10">
        <f t="shared" si="15"/>
        <v>0</v>
      </c>
    </row>
    <row r="508" spans="1:18" x14ac:dyDescent="0.3">
      <c r="A508" s="9">
        <v>25074</v>
      </c>
      <c r="B508" s="9" t="s">
        <v>37</v>
      </c>
      <c r="C508" s="9" t="s">
        <v>38</v>
      </c>
      <c r="D508" s="10">
        <v>70000</v>
      </c>
      <c r="E508" s="9" t="str" cm="1">
        <f t="array" ref="E508">_xlfn.IFS(D508&lt;= 60000, "Low Income",
D508&lt;=120000,"Medium Income",
D508&gt; 120000,"High Income"
)</f>
        <v>Medium Income</v>
      </c>
      <c r="F508" s="9">
        <v>4</v>
      </c>
      <c r="G508" s="9" t="s">
        <v>15</v>
      </c>
      <c r="H508" s="9" t="s">
        <v>23</v>
      </c>
      <c r="I508" s="9" t="s">
        <v>17</v>
      </c>
      <c r="J508" s="9">
        <v>2</v>
      </c>
      <c r="K508" s="9" t="s">
        <v>24</v>
      </c>
      <c r="L508" s="9" t="s">
        <v>35</v>
      </c>
      <c r="M508" s="9">
        <v>42</v>
      </c>
      <c r="N508" s="9" t="str" cm="1">
        <f t="array" ref="N508">_xlfn.IFS(
M508&lt;=12,"Children",
M508&lt;=19,"Teens",
M508&lt;=29,"Young Adults",
M508&lt;=39,"Adults",
M508&lt;=59,"Middle-Aged",
M508&gt;=60,"Seniors"
)</f>
        <v>Middle-Aged</v>
      </c>
      <c r="O508" s="9" t="s">
        <v>17</v>
      </c>
      <c r="P508" s="9">
        <f t="shared" si="14"/>
        <v>1</v>
      </c>
      <c r="Q508" s="9">
        <v>1</v>
      </c>
      <c r="R508" s="10">
        <f t="shared" si="15"/>
        <v>70000</v>
      </c>
    </row>
    <row r="509" spans="1:18" x14ac:dyDescent="0.3">
      <c r="A509" s="9">
        <v>24738</v>
      </c>
      <c r="B509" s="9" t="s">
        <v>37</v>
      </c>
      <c r="C509" s="9" t="s">
        <v>38</v>
      </c>
      <c r="D509" s="10">
        <v>40000</v>
      </c>
      <c r="E509" s="9" t="str" cm="1">
        <f t="array" ref="E509">_xlfn.IFS(D509&lt;= 60000, "Low Income",
D509&lt;=120000,"Medium Income",
D509&gt; 120000,"High Income"
)</f>
        <v>Low Income</v>
      </c>
      <c r="F509" s="9">
        <v>1</v>
      </c>
      <c r="G509" s="9" t="s">
        <v>21</v>
      </c>
      <c r="H509" s="9" t="s">
        <v>22</v>
      </c>
      <c r="I509" s="9" t="s">
        <v>17</v>
      </c>
      <c r="J509" s="9">
        <v>1</v>
      </c>
      <c r="K509" s="9" t="s">
        <v>29</v>
      </c>
      <c r="L509" s="9" t="s">
        <v>35</v>
      </c>
      <c r="M509" s="9">
        <v>51</v>
      </c>
      <c r="N509" s="9" t="str" cm="1">
        <f t="array" ref="N509">_xlfn.IFS(
M509&lt;=12,"Children",
M509&lt;=19,"Teens",
M509&lt;=29,"Young Adults",
M509&lt;=39,"Adults",
M509&lt;=59,"Middle-Aged",
M509&gt;=60,"Seniors"
)</f>
        <v>Middle-Aged</v>
      </c>
      <c r="O509" s="9" t="s">
        <v>17</v>
      </c>
      <c r="P509" s="9">
        <f t="shared" si="14"/>
        <v>1</v>
      </c>
      <c r="Q509" s="9">
        <v>1</v>
      </c>
      <c r="R509" s="10">
        <f t="shared" si="15"/>
        <v>40000</v>
      </c>
    </row>
    <row r="510" spans="1:18" x14ac:dyDescent="0.3">
      <c r="A510" s="9">
        <v>16337</v>
      </c>
      <c r="B510" s="9" t="s">
        <v>37</v>
      </c>
      <c r="C510" s="9" t="s">
        <v>39</v>
      </c>
      <c r="D510" s="10">
        <v>60000</v>
      </c>
      <c r="E510" s="9" t="str" cm="1">
        <f t="array" ref="E510">_xlfn.IFS(D510&lt;= 60000, "Low Income",
D510&lt;=120000,"Medium Income",
D510&gt; 120000,"High Income"
)</f>
        <v>Low Income</v>
      </c>
      <c r="F510" s="9">
        <v>0</v>
      </c>
      <c r="G510" s="9" t="s">
        <v>21</v>
      </c>
      <c r="H510" s="9" t="s">
        <v>16</v>
      </c>
      <c r="I510" s="9" t="s">
        <v>20</v>
      </c>
      <c r="J510" s="9">
        <v>2</v>
      </c>
      <c r="K510" s="9" t="s">
        <v>29</v>
      </c>
      <c r="L510" s="9" t="s">
        <v>35</v>
      </c>
      <c r="M510" s="9">
        <v>29</v>
      </c>
      <c r="N510" s="9" t="str" cm="1">
        <f t="array" ref="N510">_xlfn.IFS(
M510&lt;=12,"Children",
M510&lt;=19,"Teens",
M510&lt;=29,"Young Adults",
M510&lt;=39,"Adults",
M510&lt;=59,"Middle-Aged",
M510&gt;=60,"Seniors"
)</f>
        <v>Young Adults</v>
      </c>
      <c r="O510" s="9" t="s">
        <v>20</v>
      </c>
      <c r="P510" s="9">
        <f t="shared" si="14"/>
        <v>0</v>
      </c>
      <c r="Q510" s="9">
        <v>1</v>
      </c>
      <c r="R510" s="10">
        <f t="shared" si="15"/>
        <v>0</v>
      </c>
    </row>
    <row r="511" spans="1:18" x14ac:dyDescent="0.3">
      <c r="A511" s="9">
        <v>24357</v>
      </c>
      <c r="B511" s="9" t="s">
        <v>37</v>
      </c>
      <c r="C511" s="9" t="s">
        <v>39</v>
      </c>
      <c r="D511" s="10">
        <v>80000</v>
      </c>
      <c r="E511" s="9" t="str" cm="1">
        <f t="array" ref="E511">_xlfn.IFS(D511&lt;= 60000, "Low Income",
D511&lt;=120000,"Medium Income",
D511&gt; 120000,"High Income"
)</f>
        <v>Medium Income</v>
      </c>
      <c r="F511" s="9">
        <v>3</v>
      </c>
      <c r="G511" s="9" t="s">
        <v>15</v>
      </c>
      <c r="H511" s="9" t="s">
        <v>23</v>
      </c>
      <c r="I511" s="9" t="s">
        <v>17</v>
      </c>
      <c r="J511" s="9">
        <v>1</v>
      </c>
      <c r="K511" s="9" t="s">
        <v>24</v>
      </c>
      <c r="L511" s="9" t="s">
        <v>35</v>
      </c>
      <c r="M511" s="9">
        <v>48</v>
      </c>
      <c r="N511" s="9" t="str" cm="1">
        <f t="array" ref="N511">_xlfn.IFS(
M511&lt;=12,"Children",
M511&lt;=19,"Teens",
M511&lt;=29,"Young Adults",
M511&lt;=39,"Adults",
M511&lt;=59,"Middle-Aged",
M511&gt;=60,"Seniors"
)</f>
        <v>Middle-Aged</v>
      </c>
      <c r="O511" s="9" t="s">
        <v>17</v>
      </c>
      <c r="P511" s="9">
        <f t="shared" si="14"/>
        <v>1</v>
      </c>
      <c r="Q511" s="9">
        <v>1</v>
      </c>
      <c r="R511" s="10">
        <f t="shared" si="15"/>
        <v>80000</v>
      </c>
    </row>
    <row r="512" spans="1:18" x14ac:dyDescent="0.3">
      <c r="A512" s="9">
        <v>18613</v>
      </c>
      <c r="B512" s="9" t="s">
        <v>40</v>
      </c>
      <c r="C512" s="9" t="s">
        <v>39</v>
      </c>
      <c r="D512" s="10">
        <v>70000</v>
      </c>
      <c r="E512" s="9" t="str" cm="1">
        <f t="array" ref="E512">_xlfn.IFS(D512&lt;= 60000, "Low Income",
D512&lt;=120000,"Medium Income",
D512&gt; 120000,"High Income"
)</f>
        <v>Medium Income</v>
      </c>
      <c r="F512" s="9">
        <v>0</v>
      </c>
      <c r="G512" s="9" t="s">
        <v>15</v>
      </c>
      <c r="H512" s="9" t="s">
        <v>23</v>
      </c>
      <c r="I512" s="9" t="s">
        <v>20</v>
      </c>
      <c r="J512" s="9">
        <v>1</v>
      </c>
      <c r="K512" s="9" t="s">
        <v>24</v>
      </c>
      <c r="L512" s="9" t="s">
        <v>35</v>
      </c>
      <c r="M512" s="9">
        <v>37</v>
      </c>
      <c r="N512" s="9" t="str" cm="1">
        <f t="array" ref="N512">_xlfn.IFS(
M512&lt;=12,"Children",
M512&lt;=19,"Teens",
M512&lt;=29,"Young Adults",
M512&lt;=39,"Adults",
M512&lt;=59,"Middle-Aged",
M512&gt;=60,"Seniors"
)</f>
        <v>Adults</v>
      </c>
      <c r="O512" s="9" t="s">
        <v>17</v>
      </c>
      <c r="P512" s="9">
        <f t="shared" si="14"/>
        <v>1</v>
      </c>
      <c r="Q512" s="9">
        <v>1</v>
      </c>
      <c r="R512" s="10">
        <f t="shared" si="15"/>
        <v>70000</v>
      </c>
    </row>
    <row r="513" spans="1:18" x14ac:dyDescent="0.3">
      <c r="A513" s="9">
        <v>12207</v>
      </c>
      <c r="B513" s="9" t="s">
        <v>40</v>
      </c>
      <c r="C513" s="9" t="s">
        <v>39</v>
      </c>
      <c r="D513" s="10">
        <v>80000</v>
      </c>
      <c r="E513" s="9" t="str" cm="1">
        <f t="array" ref="E513">_xlfn.IFS(D513&lt;= 60000, "Low Income",
D513&lt;=120000,"Medium Income",
D513&gt; 120000,"High Income"
)</f>
        <v>Medium Income</v>
      </c>
      <c r="F513" s="9">
        <v>4</v>
      </c>
      <c r="G513" s="9" t="s">
        <v>15</v>
      </c>
      <c r="H513" s="9" t="s">
        <v>31</v>
      </c>
      <c r="I513" s="9" t="s">
        <v>17</v>
      </c>
      <c r="J513" s="9">
        <v>0</v>
      </c>
      <c r="K513" s="9" t="s">
        <v>26</v>
      </c>
      <c r="L513" s="9" t="s">
        <v>35</v>
      </c>
      <c r="M513" s="9">
        <v>66</v>
      </c>
      <c r="N513" s="9" t="str" cm="1">
        <f t="array" ref="N513">_xlfn.IFS(
M513&lt;=12,"Children",
M513&lt;=19,"Teens",
M513&lt;=29,"Young Adults",
M513&lt;=39,"Adults",
M513&lt;=59,"Middle-Aged",
M513&gt;=60,"Seniors"
)</f>
        <v>Seniors</v>
      </c>
      <c r="O513" s="9" t="s">
        <v>17</v>
      </c>
      <c r="P513" s="9">
        <f t="shared" si="14"/>
        <v>1</v>
      </c>
      <c r="Q513" s="9">
        <v>1</v>
      </c>
      <c r="R513" s="10">
        <f t="shared" si="15"/>
        <v>80000</v>
      </c>
    </row>
    <row r="514" spans="1:18" x14ac:dyDescent="0.3">
      <c r="A514" s="9">
        <v>18052</v>
      </c>
      <c r="B514" s="9" t="s">
        <v>37</v>
      </c>
      <c r="C514" s="9" t="s">
        <v>38</v>
      </c>
      <c r="D514" s="10">
        <v>60000</v>
      </c>
      <c r="E514" s="9" t="str" cm="1">
        <f t="array" ref="E514">_xlfn.IFS(D514&lt;= 60000, "Low Income",
D514&lt;=120000,"Medium Income",
D514&gt; 120000,"High Income"
)</f>
        <v>Low Income</v>
      </c>
      <c r="F514" s="9">
        <v>1</v>
      </c>
      <c r="G514" s="9" t="s">
        <v>21</v>
      </c>
      <c r="H514" s="9" t="s">
        <v>16</v>
      </c>
      <c r="I514" s="9" t="s">
        <v>17</v>
      </c>
      <c r="J514" s="9">
        <v>1</v>
      </c>
      <c r="K514" s="9" t="s">
        <v>18</v>
      </c>
      <c r="L514" s="9" t="s">
        <v>35</v>
      </c>
      <c r="M514" s="9">
        <v>45</v>
      </c>
      <c r="N514" s="9" t="str" cm="1">
        <f t="array" ref="N514">_xlfn.IFS(
M514&lt;=12,"Children",
M514&lt;=19,"Teens",
M514&lt;=29,"Young Adults",
M514&lt;=39,"Adults",
M514&lt;=59,"Middle-Aged",
M514&gt;=60,"Seniors"
)</f>
        <v>Middle-Aged</v>
      </c>
      <c r="O514" s="9" t="s">
        <v>17</v>
      </c>
      <c r="P514" s="9">
        <f t="shared" si="14"/>
        <v>1</v>
      </c>
      <c r="Q514" s="9">
        <v>1</v>
      </c>
      <c r="R514" s="10">
        <f t="shared" si="15"/>
        <v>60000</v>
      </c>
    </row>
    <row r="515" spans="1:18" x14ac:dyDescent="0.3">
      <c r="A515" s="9">
        <v>13353</v>
      </c>
      <c r="B515" s="9" t="s">
        <v>40</v>
      </c>
      <c r="C515" s="9" t="s">
        <v>38</v>
      </c>
      <c r="D515" s="10">
        <v>60000</v>
      </c>
      <c r="E515" s="9" t="str" cm="1">
        <f t="array" ref="E515">_xlfn.IFS(D515&lt;= 60000, "Low Income",
D515&lt;=120000,"Medium Income",
D515&gt; 120000,"High Income"
)</f>
        <v>Low Income</v>
      </c>
      <c r="F515" s="9">
        <v>4</v>
      </c>
      <c r="G515" s="9" t="s">
        <v>34</v>
      </c>
      <c r="H515" s="9" t="s">
        <v>31</v>
      </c>
      <c r="I515" s="9" t="s">
        <v>17</v>
      </c>
      <c r="J515" s="9">
        <v>2</v>
      </c>
      <c r="K515" s="9" t="s">
        <v>41</v>
      </c>
      <c r="L515" s="9" t="s">
        <v>35</v>
      </c>
      <c r="M515" s="9">
        <v>61</v>
      </c>
      <c r="N515" s="9" t="str" cm="1">
        <f t="array" ref="N515">_xlfn.IFS(
M515&lt;=12,"Children",
M515&lt;=19,"Teens",
M515&lt;=29,"Young Adults",
M515&lt;=39,"Adults",
M515&lt;=59,"Middle-Aged",
M515&gt;=60,"Seniors"
)</f>
        <v>Seniors</v>
      </c>
      <c r="O515" s="9" t="s">
        <v>17</v>
      </c>
      <c r="P515" s="9">
        <f t="shared" ref="P515:P578" si="16">IF(O515="No", 0, 1)</f>
        <v>1</v>
      </c>
      <c r="Q515" s="9">
        <v>1</v>
      </c>
      <c r="R515" s="10">
        <f t="shared" ref="R515:R578" si="17">IF(P515=1, D515, 0)</f>
        <v>60000</v>
      </c>
    </row>
    <row r="516" spans="1:18" x14ac:dyDescent="0.3">
      <c r="A516" s="9">
        <v>19399</v>
      </c>
      <c r="B516" s="9" t="s">
        <v>40</v>
      </c>
      <c r="C516" s="9" t="s">
        <v>39</v>
      </c>
      <c r="D516" s="10">
        <v>40000</v>
      </c>
      <c r="E516" s="9" t="str" cm="1">
        <f t="array" ref="E516">_xlfn.IFS(D516&lt;= 60000, "Low Income",
D516&lt;=120000,"Medium Income",
D516&gt; 120000,"High Income"
)</f>
        <v>Low Income</v>
      </c>
      <c r="F516" s="9">
        <v>0</v>
      </c>
      <c r="G516" s="9" t="s">
        <v>15</v>
      </c>
      <c r="H516" s="9" t="s">
        <v>23</v>
      </c>
      <c r="I516" s="9" t="s">
        <v>20</v>
      </c>
      <c r="J516" s="9">
        <v>1</v>
      </c>
      <c r="K516" s="9" t="s">
        <v>24</v>
      </c>
      <c r="L516" s="9" t="s">
        <v>35</v>
      </c>
      <c r="M516" s="9">
        <v>45</v>
      </c>
      <c r="N516" s="9" t="str" cm="1">
        <f t="array" ref="N516">_xlfn.IFS(
M516&lt;=12,"Children",
M516&lt;=19,"Teens",
M516&lt;=29,"Young Adults",
M516&lt;=39,"Adults",
M516&lt;=59,"Middle-Aged",
M516&gt;=60,"Seniors"
)</f>
        <v>Middle-Aged</v>
      </c>
      <c r="O516" s="9" t="s">
        <v>20</v>
      </c>
      <c r="P516" s="9">
        <f t="shared" si="16"/>
        <v>0</v>
      </c>
      <c r="Q516" s="9">
        <v>1</v>
      </c>
      <c r="R516" s="10">
        <f t="shared" si="17"/>
        <v>0</v>
      </c>
    </row>
    <row r="517" spans="1:18" x14ac:dyDescent="0.3">
      <c r="A517" s="9">
        <v>16154</v>
      </c>
      <c r="B517" s="9" t="s">
        <v>37</v>
      </c>
      <c r="C517" s="9" t="s">
        <v>38</v>
      </c>
      <c r="D517" s="10">
        <v>70000</v>
      </c>
      <c r="E517" s="9" t="str" cm="1">
        <f t="array" ref="E517">_xlfn.IFS(D517&lt;= 60000, "Low Income",
D517&lt;=120000,"Medium Income",
D517&gt; 120000,"High Income"
)</f>
        <v>Medium Income</v>
      </c>
      <c r="F517" s="9">
        <v>5</v>
      </c>
      <c r="G517" s="9" t="s">
        <v>15</v>
      </c>
      <c r="H517" s="9" t="s">
        <v>23</v>
      </c>
      <c r="I517" s="9" t="s">
        <v>17</v>
      </c>
      <c r="J517" s="9">
        <v>2</v>
      </c>
      <c r="K517" s="9" t="s">
        <v>24</v>
      </c>
      <c r="L517" s="9" t="s">
        <v>35</v>
      </c>
      <c r="M517" s="9">
        <v>47</v>
      </c>
      <c r="N517" s="9" t="str" cm="1">
        <f t="array" ref="N517">_xlfn.IFS(
M517&lt;=12,"Children",
M517&lt;=19,"Teens",
M517&lt;=29,"Young Adults",
M517&lt;=39,"Adults",
M517&lt;=59,"Middle-Aged",
M517&gt;=60,"Seniors"
)</f>
        <v>Middle-Aged</v>
      </c>
      <c r="O517" s="9" t="s">
        <v>20</v>
      </c>
      <c r="P517" s="9">
        <f t="shared" si="16"/>
        <v>0</v>
      </c>
      <c r="Q517" s="9">
        <v>1</v>
      </c>
      <c r="R517" s="10">
        <f t="shared" si="17"/>
        <v>0</v>
      </c>
    </row>
    <row r="518" spans="1:18" x14ac:dyDescent="0.3">
      <c r="A518" s="9">
        <v>22219</v>
      </c>
      <c r="B518" s="9" t="s">
        <v>37</v>
      </c>
      <c r="C518" s="9" t="s">
        <v>38</v>
      </c>
      <c r="D518" s="10">
        <v>60000</v>
      </c>
      <c r="E518" s="9" t="str" cm="1">
        <f t="array" ref="E518">_xlfn.IFS(D518&lt;= 60000, "Low Income",
D518&lt;=120000,"Medium Income",
D518&gt; 120000,"High Income"
)</f>
        <v>Low Income</v>
      </c>
      <c r="F518" s="9">
        <v>2</v>
      </c>
      <c r="G518" s="9" t="s">
        <v>30</v>
      </c>
      <c r="H518" s="9" t="s">
        <v>23</v>
      </c>
      <c r="I518" s="9" t="s">
        <v>17</v>
      </c>
      <c r="J518" s="9">
        <v>2</v>
      </c>
      <c r="K518" s="9" t="s">
        <v>26</v>
      </c>
      <c r="L518" s="9" t="s">
        <v>35</v>
      </c>
      <c r="M518" s="9">
        <v>49</v>
      </c>
      <c r="N518" s="9" t="str" cm="1">
        <f t="array" ref="N518">_xlfn.IFS(
M518&lt;=12,"Children",
M518&lt;=19,"Teens",
M518&lt;=29,"Young Adults",
M518&lt;=39,"Adults",
M518&lt;=59,"Middle-Aged",
M518&gt;=60,"Seniors"
)</f>
        <v>Middle-Aged</v>
      </c>
      <c r="O518" s="9" t="s">
        <v>20</v>
      </c>
      <c r="P518" s="9">
        <f t="shared" si="16"/>
        <v>0</v>
      </c>
      <c r="Q518" s="9">
        <v>1</v>
      </c>
      <c r="R518" s="10">
        <f t="shared" si="17"/>
        <v>0</v>
      </c>
    </row>
    <row r="519" spans="1:18" x14ac:dyDescent="0.3">
      <c r="A519" s="9">
        <v>17269</v>
      </c>
      <c r="B519" s="9" t="s">
        <v>40</v>
      </c>
      <c r="C519" s="9" t="s">
        <v>39</v>
      </c>
      <c r="D519" s="10">
        <v>60000</v>
      </c>
      <c r="E519" s="9" t="str" cm="1">
        <f t="array" ref="E519">_xlfn.IFS(D519&lt;= 60000, "Low Income",
D519&lt;=120000,"Medium Income",
D519&gt; 120000,"High Income"
)</f>
        <v>Low Income</v>
      </c>
      <c r="F519" s="9">
        <v>3</v>
      </c>
      <c r="G519" s="9" t="s">
        <v>15</v>
      </c>
      <c r="H519" s="9" t="s">
        <v>23</v>
      </c>
      <c r="I519" s="9" t="s">
        <v>20</v>
      </c>
      <c r="J519" s="9">
        <v>0</v>
      </c>
      <c r="K519" s="9" t="s">
        <v>18</v>
      </c>
      <c r="L519" s="9" t="s">
        <v>35</v>
      </c>
      <c r="M519" s="9">
        <v>47</v>
      </c>
      <c r="N519" s="9" t="str" cm="1">
        <f t="array" ref="N519">_xlfn.IFS(
M519&lt;=12,"Children",
M519&lt;=19,"Teens",
M519&lt;=29,"Young Adults",
M519&lt;=39,"Adults",
M519&lt;=59,"Middle-Aged",
M519&gt;=60,"Seniors"
)</f>
        <v>Middle-Aged</v>
      </c>
      <c r="O519" s="9" t="s">
        <v>17</v>
      </c>
      <c r="P519" s="9">
        <f t="shared" si="16"/>
        <v>1</v>
      </c>
      <c r="Q519" s="9">
        <v>1</v>
      </c>
      <c r="R519" s="10">
        <f t="shared" si="17"/>
        <v>60000</v>
      </c>
    </row>
    <row r="520" spans="1:18" x14ac:dyDescent="0.3">
      <c r="A520" s="9">
        <v>23586</v>
      </c>
      <c r="B520" s="9" t="s">
        <v>37</v>
      </c>
      <c r="C520" s="9" t="s">
        <v>38</v>
      </c>
      <c r="D520" s="10">
        <v>80000</v>
      </c>
      <c r="E520" s="9" t="str" cm="1">
        <f t="array" ref="E520">_xlfn.IFS(D520&lt;= 60000, "Low Income",
D520&lt;=120000,"Medium Income",
D520&gt; 120000,"High Income"
)</f>
        <v>Medium Income</v>
      </c>
      <c r="F520" s="9">
        <v>0</v>
      </c>
      <c r="G520" s="9" t="s">
        <v>15</v>
      </c>
      <c r="H520" s="9" t="s">
        <v>31</v>
      </c>
      <c r="I520" s="9" t="s">
        <v>17</v>
      </c>
      <c r="J520" s="9">
        <v>1</v>
      </c>
      <c r="K520" s="9" t="s">
        <v>29</v>
      </c>
      <c r="L520" s="9" t="s">
        <v>35</v>
      </c>
      <c r="M520" s="9">
        <v>34</v>
      </c>
      <c r="N520" s="9" t="str" cm="1">
        <f t="array" ref="N520">_xlfn.IFS(
M520&lt;=12,"Children",
M520&lt;=19,"Teens",
M520&lt;=29,"Young Adults",
M520&lt;=39,"Adults",
M520&lt;=59,"Middle-Aged",
M520&gt;=60,"Seniors"
)</f>
        <v>Adults</v>
      </c>
      <c r="O520" s="9" t="s">
        <v>17</v>
      </c>
      <c r="P520" s="9">
        <f t="shared" si="16"/>
        <v>1</v>
      </c>
      <c r="Q520" s="9">
        <v>1</v>
      </c>
      <c r="R520" s="10">
        <f t="shared" si="17"/>
        <v>80000</v>
      </c>
    </row>
    <row r="521" spans="1:18" x14ac:dyDescent="0.3">
      <c r="A521" s="9">
        <v>15740</v>
      </c>
      <c r="B521" s="9" t="s">
        <v>37</v>
      </c>
      <c r="C521" s="9" t="s">
        <v>39</v>
      </c>
      <c r="D521" s="10">
        <v>80000</v>
      </c>
      <c r="E521" s="9" t="str" cm="1">
        <f t="array" ref="E521">_xlfn.IFS(D521&lt;= 60000, "Low Income",
D521&lt;=120000,"Medium Income",
D521&gt; 120000,"High Income"
)</f>
        <v>Medium Income</v>
      </c>
      <c r="F521" s="9">
        <v>5</v>
      </c>
      <c r="G521" s="9" t="s">
        <v>15</v>
      </c>
      <c r="H521" s="9" t="s">
        <v>31</v>
      </c>
      <c r="I521" s="9" t="s">
        <v>17</v>
      </c>
      <c r="J521" s="9">
        <v>2</v>
      </c>
      <c r="K521" s="9" t="s">
        <v>29</v>
      </c>
      <c r="L521" s="9" t="s">
        <v>35</v>
      </c>
      <c r="M521" s="9">
        <v>64</v>
      </c>
      <c r="N521" s="9" t="str" cm="1">
        <f t="array" ref="N521">_xlfn.IFS(
M521&lt;=12,"Children",
M521&lt;=19,"Teens",
M521&lt;=29,"Young Adults",
M521&lt;=39,"Adults",
M521&lt;=59,"Middle-Aged",
M521&gt;=60,"Seniors"
)</f>
        <v>Seniors</v>
      </c>
      <c r="O521" s="9" t="s">
        <v>20</v>
      </c>
      <c r="P521" s="9">
        <f t="shared" si="16"/>
        <v>0</v>
      </c>
      <c r="Q521" s="9">
        <v>1</v>
      </c>
      <c r="R521" s="10">
        <f t="shared" si="17"/>
        <v>0</v>
      </c>
    </row>
    <row r="522" spans="1:18" x14ac:dyDescent="0.3">
      <c r="A522" s="9">
        <v>27638</v>
      </c>
      <c r="B522" s="9" t="s">
        <v>40</v>
      </c>
      <c r="C522" s="9" t="s">
        <v>39</v>
      </c>
      <c r="D522" s="10">
        <v>100000</v>
      </c>
      <c r="E522" s="9" t="str" cm="1">
        <f t="array" ref="E522">_xlfn.IFS(D522&lt;= 60000, "Low Income",
D522&lt;=120000,"Medium Income",
D522&gt; 120000,"High Income"
)</f>
        <v>Medium Income</v>
      </c>
      <c r="F522" s="9">
        <v>1</v>
      </c>
      <c r="G522" s="9" t="s">
        <v>21</v>
      </c>
      <c r="H522" s="9" t="s">
        <v>23</v>
      </c>
      <c r="I522" s="9" t="s">
        <v>20</v>
      </c>
      <c r="J522" s="9">
        <v>3</v>
      </c>
      <c r="K522" s="9" t="s">
        <v>29</v>
      </c>
      <c r="L522" s="9" t="s">
        <v>35</v>
      </c>
      <c r="M522" s="9">
        <v>44</v>
      </c>
      <c r="N522" s="9" t="str" cm="1">
        <f t="array" ref="N522">_xlfn.IFS(
M522&lt;=12,"Children",
M522&lt;=19,"Teens",
M522&lt;=29,"Young Adults",
M522&lt;=39,"Adults",
M522&lt;=59,"Middle-Aged",
M522&gt;=60,"Seniors"
)</f>
        <v>Middle-Aged</v>
      </c>
      <c r="O522" s="9" t="s">
        <v>20</v>
      </c>
      <c r="P522" s="9">
        <f t="shared" si="16"/>
        <v>0</v>
      </c>
      <c r="Q522" s="9">
        <v>1</v>
      </c>
      <c r="R522" s="10">
        <f t="shared" si="17"/>
        <v>0</v>
      </c>
    </row>
    <row r="523" spans="1:18" x14ac:dyDescent="0.3">
      <c r="A523" s="9">
        <v>18976</v>
      </c>
      <c r="B523" s="9" t="s">
        <v>40</v>
      </c>
      <c r="C523" s="9" t="s">
        <v>39</v>
      </c>
      <c r="D523" s="10">
        <v>40000</v>
      </c>
      <c r="E523" s="9" t="str" cm="1">
        <f t="array" ref="E523">_xlfn.IFS(D523&lt;= 60000, "Low Income",
D523&lt;=120000,"Medium Income",
D523&gt; 120000,"High Income"
)</f>
        <v>Low Income</v>
      </c>
      <c r="F523" s="9">
        <v>4</v>
      </c>
      <c r="G523" s="9" t="s">
        <v>30</v>
      </c>
      <c r="H523" s="9" t="s">
        <v>23</v>
      </c>
      <c r="I523" s="9" t="s">
        <v>17</v>
      </c>
      <c r="J523" s="9">
        <v>2</v>
      </c>
      <c r="K523" s="9" t="s">
        <v>41</v>
      </c>
      <c r="L523" s="9" t="s">
        <v>35</v>
      </c>
      <c r="M523" s="9">
        <v>62</v>
      </c>
      <c r="N523" s="9" t="str" cm="1">
        <f t="array" ref="N523">_xlfn.IFS(
M523&lt;=12,"Children",
M523&lt;=19,"Teens",
M523&lt;=29,"Young Adults",
M523&lt;=39,"Adults",
M523&lt;=59,"Middle-Aged",
M523&gt;=60,"Seniors"
)</f>
        <v>Seniors</v>
      </c>
      <c r="O523" s="9" t="s">
        <v>17</v>
      </c>
      <c r="P523" s="9">
        <f t="shared" si="16"/>
        <v>1</v>
      </c>
      <c r="Q523" s="9">
        <v>1</v>
      </c>
      <c r="R523" s="10">
        <f t="shared" si="17"/>
        <v>40000</v>
      </c>
    </row>
    <row r="524" spans="1:18" x14ac:dyDescent="0.3">
      <c r="A524" s="9">
        <v>19413</v>
      </c>
      <c r="B524" s="9" t="s">
        <v>40</v>
      </c>
      <c r="C524" s="9" t="s">
        <v>39</v>
      </c>
      <c r="D524" s="10">
        <v>60000</v>
      </c>
      <c r="E524" s="9" t="str" cm="1">
        <f t="array" ref="E524">_xlfn.IFS(D524&lt;= 60000, "Low Income",
D524&lt;=120000,"Medium Income",
D524&gt; 120000,"High Income"
)</f>
        <v>Low Income</v>
      </c>
      <c r="F524" s="9">
        <v>3</v>
      </c>
      <c r="G524" s="9" t="s">
        <v>15</v>
      </c>
      <c r="H524" s="9" t="s">
        <v>23</v>
      </c>
      <c r="I524" s="9" t="s">
        <v>20</v>
      </c>
      <c r="J524" s="9">
        <v>1</v>
      </c>
      <c r="K524" s="9" t="s">
        <v>18</v>
      </c>
      <c r="L524" s="9" t="s">
        <v>35</v>
      </c>
      <c r="M524" s="9">
        <v>47</v>
      </c>
      <c r="N524" s="9" t="str" cm="1">
        <f t="array" ref="N524">_xlfn.IFS(
M524&lt;=12,"Children",
M524&lt;=19,"Teens",
M524&lt;=29,"Young Adults",
M524&lt;=39,"Adults",
M524&lt;=59,"Middle-Aged",
M524&gt;=60,"Seniors"
)</f>
        <v>Middle-Aged</v>
      </c>
      <c r="O524" s="9" t="s">
        <v>17</v>
      </c>
      <c r="P524" s="9">
        <f t="shared" si="16"/>
        <v>1</v>
      </c>
      <c r="Q524" s="9">
        <v>1</v>
      </c>
      <c r="R524" s="10">
        <f t="shared" si="17"/>
        <v>60000</v>
      </c>
    </row>
    <row r="525" spans="1:18" x14ac:dyDescent="0.3">
      <c r="A525" s="9">
        <v>13283</v>
      </c>
      <c r="B525" s="9" t="s">
        <v>37</v>
      </c>
      <c r="C525" s="9" t="s">
        <v>39</v>
      </c>
      <c r="D525" s="10">
        <v>80000</v>
      </c>
      <c r="E525" s="9" t="str" cm="1">
        <f t="array" ref="E525">_xlfn.IFS(D525&lt;= 60000, "Low Income",
D525&lt;=120000,"Medium Income",
D525&gt; 120000,"High Income"
)</f>
        <v>Medium Income</v>
      </c>
      <c r="F525" s="9">
        <v>3</v>
      </c>
      <c r="G525" s="9" t="s">
        <v>21</v>
      </c>
      <c r="H525" s="9" t="s">
        <v>23</v>
      </c>
      <c r="I525" s="9" t="s">
        <v>20</v>
      </c>
      <c r="J525" s="9">
        <v>2</v>
      </c>
      <c r="K525" s="9" t="s">
        <v>18</v>
      </c>
      <c r="L525" s="9" t="s">
        <v>35</v>
      </c>
      <c r="M525" s="9">
        <v>49</v>
      </c>
      <c r="N525" s="9" t="str" cm="1">
        <f t="array" ref="N525">_xlfn.IFS(
M525&lt;=12,"Children",
M525&lt;=19,"Teens",
M525&lt;=29,"Young Adults",
M525&lt;=39,"Adults",
M525&lt;=59,"Middle-Aged",
M525&gt;=60,"Seniors"
)</f>
        <v>Middle-Aged</v>
      </c>
      <c r="O525" s="9" t="s">
        <v>17</v>
      </c>
      <c r="P525" s="9">
        <f t="shared" si="16"/>
        <v>1</v>
      </c>
      <c r="Q525" s="9">
        <v>1</v>
      </c>
      <c r="R525" s="10">
        <f t="shared" si="17"/>
        <v>80000</v>
      </c>
    </row>
    <row r="526" spans="1:18" x14ac:dyDescent="0.3">
      <c r="A526" s="9">
        <v>17471</v>
      </c>
      <c r="B526" s="9" t="s">
        <v>40</v>
      </c>
      <c r="C526" s="9" t="s">
        <v>38</v>
      </c>
      <c r="D526" s="10">
        <v>80000</v>
      </c>
      <c r="E526" s="9" t="str" cm="1">
        <f t="array" ref="E526">_xlfn.IFS(D526&lt;= 60000, "Low Income",
D526&lt;=120000,"Medium Income",
D526&gt; 120000,"High Income"
)</f>
        <v>Medium Income</v>
      </c>
      <c r="F526" s="9">
        <v>4</v>
      </c>
      <c r="G526" s="9" t="s">
        <v>34</v>
      </c>
      <c r="H526" s="9" t="s">
        <v>31</v>
      </c>
      <c r="I526" s="9" t="s">
        <v>17</v>
      </c>
      <c r="J526" s="9">
        <v>2</v>
      </c>
      <c r="K526" s="9" t="s">
        <v>26</v>
      </c>
      <c r="L526" s="9" t="s">
        <v>35</v>
      </c>
      <c r="M526" s="9">
        <v>67</v>
      </c>
      <c r="N526" s="9" t="str" cm="1">
        <f t="array" ref="N526">_xlfn.IFS(
M526&lt;=12,"Children",
M526&lt;=19,"Teens",
M526&lt;=29,"Young Adults",
M526&lt;=39,"Adults",
M526&lt;=59,"Middle-Aged",
M526&gt;=60,"Seniors"
)</f>
        <v>Seniors</v>
      </c>
      <c r="O526" s="9" t="s">
        <v>20</v>
      </c>
      <c r="P526" s="9">
        <f t="shared" si="16"/>
        <v>0</v>
      </c>
      <c r="Q526" s="9">
        <v>1</v>
      </c>
      <c r="R526" s="10">
        <f t="shared" si="17"/>
        <v>0</v>
      </c>
    </row>
    <row r="527" spans="1:18" x14ac:dyDescent="0.3">
      <c r="A527" s="9">
        <v>16791</v>
      </c>
      <c r="B527" s="9" t="s">
        <v>40</v>
      </c>
      <c r="C527" s="9" t="s">
        <v>39</v>
      </c>
      <c r="D527" s="10">
        <v>60000</v>
      </c>
      <c r="E527" s="9" t="str" cm="1">
        <f t="array" ref="E527">_xlfn.IFS(D527&lt;= 60000, "Low Income",
D527&lt;=120000,"Medium Income",
D527&gt; 120000,"High Income"
)</f>
        <v>Low Income</v>
      </c>
      <c r="F527" s="9">
        <v>5</v>
      </c>
      <c r="G527" s="9" t="s">
        <v>15</v>
      </c>
      <c r="H527" s="9" t="s">
        <v>31</v>
      </c>
      <c r="I527" s="9" t="s">
        <v>17</v>
      </c>
      <c r="J527" s="9">
        <v>3</v>
      </c>
      <c r="K527" s="9" t="s">
        <v>41</v>
      </c>
      <c r="L527" s="9" t="s">
        <v>35</v>
      </c>
      <c r="M527" s="9">
        <v>59</v>
      </c>
      <c r="N527" s="9" t="str" cm="1">
        <f t="array" ref="N527">_xlfn.IFS(
M527&lt;=12,"Children",
M527&lt;=19,"Teens",
M527&lt;=29,"Young Adults",
M527&lt;=39,"Adults",
M527&lt;=59,"Middle-Aged",
M527&gt;=60,"Seniors"
)</f>
        <v>Middle-Aged</v>
      </c>
      <c r="O527" s="9" t="s">
        <v>17</v>
      </c>
      <c r="P527" s="9">
        <f t="shared" si="16"/>
        <v>1</v>
      </c>
      <c r="Q527" s="9">
        <v>1</v>
      </c>
      <c r="R527" s="10">
        <f t="shared" si="17"/>
        <v>60000</v>
      </c>
    </row>
    <row r="528" spans="1:18" x14ac:dyDescent="0.3">
      <c r="A528" s="9">
        <v>15382</v>
      </c>
      <c r="B528" s="9" t="s">
        <v>37</v>
      </c>
      <c r="C528" s="9" t="s">
        <v>38</v>
      </c>
      <c r="D528" s="10">
        <v>110000</v>
      </c>
      <c r="E528" s="9" t="str" cm="1">
        <f t="array" ref="E528">_xlfn.IFS(D528&lt;= 60000, "Low Income",
D528&lt;=120000,"Medium Income",
D528&gt; 120000,"High Income"
)</f>
        <v>Medium Income</v>
      </c>
      <c r="F528" s="9">
        <v>1</v>
      </c>
      <c r="G528" s="9" t="s">
        <v>15</v>
      </c>
      <c r="H528" s="9" t="s">
        <v>31</v>
      </c>
      <c r="I528" s="9" t="s">
        <v>17</v>
      </c>
      <c r="J528" s="9">
        <v>2</v>
      </c>
      <c r="K528" s="9" t="s">
        <v>29</v>
      </c>
      <c r="L528" s="9" t="s">
        <v>35</v>
      </c>
      <c r="M528" s="9">
        <v>44</v>
      </c>
      <c r="N528" s="9" t="str" cm="1">
        <f t="array" ref="N528">_xlfn.IFS(
M528&lt;=12,"Children",
M528&lt;=19,"Teens",
M528&lt;=29,"Young Adults",
M528&lt;=39,"Adults",
M528&lt;=59,"Middle-Aged",
M528&gt;=60,"Seniors"
)</f>
        <v>Middle-Aged</v>
      </c>
      <c r="O528" s="9" t="s">
        <v>20</v>
      </c>
      <c r="P528" s="9">
        <f t="shared" si="16"/>
        <v>0</v>
      </c>
      <c r="Q528" s="9">
        <v>1</v>
      </c>
      <c r="R528" s="10">
        <f t="shared" si="17"/>
        <v>0</v>
      </c>
    </row>
    <row r="529" spans="1:18" x14ac:dyDescent="0.3">
      <c r="A529" s="9">
        <v>11641</v>
      </c>
      <c r="B529" s="9" t="s">
        <v>37</v>
      </c>
      <c r="C529" s="9" t="s">
        <v>39</v>
      </c>
      <c r="D529" s="10">
        <v>50000</v>
      </c>
      <c r="E529" s="9" t="str" cm="1">
        <f t="array" ref="E529">_xlfn.IFS(D529&lt;= 60000, "Low Income",
D529&lt;=120000,"Medium Income",
D529&gt; 120000,"High Income"
)</f>
        <v>Low Income</v>
      </c>
      <c r="F529" s="9">
        <v>1</v>
      </c>
      <c r="G529" s="9" t="s">
        <v>15</v>
      </c>
      <c r="H529" s="9" t="s">
        <v>16</v>
      </c>
      <c r="I529" s="9" t="s">
        <v>17</v>
      </c>
      <c r="J529" s="9">
        <v>0</v>
      </c>
      <c r="K529" s="9" t="s">
        <v>18</v>
      </c>
      <c r="L529" s="9" t="s">
        <v>35</v>
      </c>
      <c r="M529" s="9">
        <v>36</v>
      </c>
      <c r="N529" s="9" t="str" cm="1">
        <f t="array" ref="N529">_xlfn.IFS(
M529&lt;=12,"Children",
M529&lt;=19,"Teens",
M529&lt;=29,"Young Adults",
M529&lt;=39,"Adults",
M529&lt;=59,"Middle-Aged",
M529&gt;=60,"Seniors"
)</f>
        <v>Adults</v>
      </c>
      <c r="O529" s="9" t="s">
        <v>20</v>
      </c>
      <c r="P529" s="9">
        <f t="shared" si="16"/>
        <v>0</v>
      </c>
      <c r="Q529" s="9">
        <v>1</v>
      </c>
      <c r="R529" s="10">
        <f t="shared" si="17"/>
        <v>0</v>
      </c>
    </row>
    <row r="530" spans="1:18" x14ac:dyDescent="0.3">
      <c r="A530" s="9">
        <v>11935</v>
      </c>
      <c r="B530" s="9" t="s">
        <v>40</v>
      </c>
      <c r="C530" s="9" t="s">
        <v>38</v>
      </c>
      <c r="D530" s="10">
        <v>30000</v>
      </c>
      <c r="E530" s="9" t="str" cm="1">
        <f t="array" ref="E530">_xlfn.IFS(D530&lt;= 60000, "Low Income",
D530&lt;=120000,"Medium Income",
D530&gt; 120000,"High Income"
)</f>
        <v>Low Income</v>
      </c>
      <c r="F530" s="9">
        <v>0</v>
      </c>
      <c r="G530" s="9" t="s">
        <v>21</v>
      </c>
      <c r="H530" s="9" t="s">
        <v>16</v>
      </c>
      <c r="I530" s="9" t="s">
        <v>17</v>
      </c>
      <c r="J530" s="9">
        <v>1</v>
      </c>
      <c r="K530" s="9" t="s">
        <v>26</v>
      </c>
      <c r="L530" s="9" t="s">
        <v>35</v>
      </c>
      <c r="M530" s="9">
        <v>28</v>
      </c>
      <c r="N530" s="9" t="str" cm="1">
        <f t="array" ref="N530">_xlfn.IFS(
M530&lt;=12,"Children",
M530&lt;=19,"Teens",
M530&lt;=29,"Young Adults",
M530&lt;=39,"Adults",
M530&lt;=59,"Middle-Aged",
M530&gt;=60,"Seniors"
)</f>
        <v>Young Adults</v>
      </c>
      <c r="O530" s="9" t="s">
        <v>20</v>
      </c>
      <c r="P530" s="9">
        <f t="shared" si="16"/>
        <v>0</v>
      </c>
      <c r="Q530" s="9">
        <v>1</v>
      </c>
      <c r="R530" s="10">
        <f t="shared" si="17"/>
        <v>0</v>
      </c>
    </row>
    <row r="531" spans="1:18" x14ac:dyDescent="0.3">
      <c r="A531" s="9">
        <v>13233</v>
      </c>
      <c r="B531" s="9" t="s">
        <v>37</v>
      </c>
      <c r="C531" s="9" t="s">
        <v>39</v>
      </c>
      <c r="D531" s="10">
        <v>60000</v>
      </c>
      <c r="E531" s="9" t="str" cm="1">
        <f t="array" ref="E531">_xlfn.IFS(D531&lt;= 60000, "Low Income",
D531&lt;=120000,"Medium Income",
D531&gt; 120000,"High Income"
)</f>
        <v>Low Income</v>
      </c>
      <c r="F531" s="9">
        <v>2</v>
      </c>
      <c r="G531" s="9" t="s">
        <v>21</v>
      </c>
      <c r="H531" s="9" t="s">
        <v>23</v>
      </c>
      <c r="I531" s="9" t="s">
        <v>17</v>
      </c>
      <c r="J531" s="9">
        <v>1</v>
      </c>
      <c r="K531" s="9" t="s">
        <v>41</v>
      </c>
      <c r="L531" s="9" t="s">
        <v>35</v>
      </c>
      <c r="M531" s="9">
        <v>57</v>
      </c>
      <c r="N531" s="9" t="str" cm="1">
        <f t="array" ref="N531">_xlfn.IFS(
M531&lt;=12,"Children",
M531&lt;=19,"Teens",
M531&lt;=29,"Young Adults",
M531&lt;=39,"Adults",
M531&lt;=59,"Middle-Aged",
M531&gt;=60,"Seniors"
)</f>
        <v>Middle-Aged</v>
      </c>
      <c r="O531" s="9" t="s">
        <v>17</v>
      </c>
      <c r="P531" s="9">
        <f t="shared" si="16"/>
        <v>1</v>
      </c>
      <c r="Q531" s="9">
        <v>1</v>
      </c>
      <c r="R531" s="10">
        <f t="shared" si="17"/>
        <v>60000</v>
      </c>
    </row>
    <row r="532" spans="1:18" x14ac:dyDescent="0.3">
      <c r="A532" s="9">
        <v>25909</v>
      </c>
      <c r="B532" s="9" t="s">
        <v>37</v>
      </c>
      <c r="C532" s="9" t="s">
        <v>39</v>
      </c>
      <c r="D532" s="10">
        <v>60000</v>
      </c>
      <c r="E532" s="9" t="str" cm="1">
        <f t="array" ref="E532">_xlfn.IFS(D532&lt;= 60000, "Low Income",
D532&lt;=120000,"Medium Income",
D532&gt; 120000,"High Income"
)</f>
        <v>Low Income</v>
      </c>
      <c r="F532" s="9">
        <v>0</v>
      </c>
      <c r="G532" s="9" t="s">
        <v>21</v>
      </c>
      <c r="H532" s="9" t="s">
        <v>16</v>
      </c>
      <c r="I532" s="9" t="s">
        <v>17</v>
      </c>
      <c r="J532" s="9">
        <v>1</v>
      </c>
      <c r="K532" s="9" t="s">
        <v>26</v>
      </c>
      <c r="L532" s="9" t="s">
        <v>35</v>
      </c>
      <c r="M532" s="9">
        <v>27</v>
      </c>
      <c r="N532" s="9" t="str" cm="1">
        <f t="array" ref="N532">_xlfn.IFS(
M532&lt;=12,"Children",
M532&lt;=19,"Teens",
M532&lt;=29,"Young Adults",
M532&lt;=39,"Adults",
M532&lt;=59,"Middle-Aged",
M532&gt;=60,"Seniors"
)</f>
        <v>Young Adults</v>
      </c>
      <c r="O532" s="9" t="s">
        <v>17</v>
      </c>
      <c r="P532" s="9">
        <f t="shared" si="16"/>
        <v>1</v>
      </c>
      <c r="Q532" s="9">
        <v>1</v>
      </c>
      <c r="R532" s="10">
        <f t="shared" si="17"/>
        <v>60000</v>
      </c>
    </row>
    <row r="533" spans="1:18" x14ac:dyDescent="0.3">
      <c r="A533" s="9">
        <v>14092</v>
      </c>
      <c r="B533" s="9" t="s">
        <v>40</v>
      </c>
      <c r="C533" s="9" t="s">
        <v>39</v>
      </c>
      <c r="D533" s="10">
        <v>30000</v>
      </c>
      <c r="E533" s="9" t="str" cm="1">
        <f t="array" ref="E533">_xlfn.IFS(D533&lt;= 60000, "Low Income",
D533&lt;=120000,"Medium Income",
D533&gt; 120000,"High Income"
)</f>
        <v>Low Income</v>
      </c>
      <c r="F533" s="9">
        <v>0</v>
      </c>
      <c r="G533" s="9" t="s">
        <v>32</v>
      </c>
      <c r="H533" s="9" t="s">
        <v>22</v>
      </c>
      <c r="I533" s="9" t="s">
        <v>17</v>
      </c>
      <c r="J533" s="9">
        <v>2</v>
      </c>
      <c r="K533" s="9" t="s">
        <v>26</v>
      </c>
      <c r="L533" s="9" t="s">
        <v>35</v>
      </c>
      <c r="M533" s="9">
        <v>28</v>
      </c>
      <c r="N533" s="9" t="str" cm="1">
        <f t="array" ref="N533">_xlfn.IFS(
M533&lt;=12,"Children",
M533&lt;=19,"Teens",
M533&lt;=29,"Young Adults",
M533&lt;=39,"Adults",
M533&lt;=59,"Middle-Aged",
M533&gt;=60,"Seniors"
)</f>
        <v>Young Adults</v>
      </c>
      <c r="O533" s="9" t="s">
        <v>20</v>
      </c>
      <c r="P533" s="9">
        <f t="shared" si="16"/>
        <v>0</v>
      </c>
      <c r="Q533" s="9">
        <v>1</v>
      </c>
      <c r="R533" s="10">
        <f t="shared" si="17"/>
        <v>0</v>
      </c>
    </row>
    <row r="534" spans="1:18" x14ac:dyDescent="0.3">
      <c r="A534" s="9">
        <v>29143</v>
      </c>
      <c r="B534" s="9" t="s">
        <v>40</v>
      </c>
      <c r="C534" s="9" t="s">
        <v>38</v>
      </c>
      <c r="D534" s="10">
        <v>60000</v>
      </c>
      <c r="E534" s="9" t="str" cm="1">
        <f t="array" ref="E534">_xlfn.IFS(D534&lt;= 60000, "Low Income",
D534&lt;=120000,"Medium Income",
D534&gt; 120000,"High Income"
)</f>
        <v>Low Income</v>
      </c>
      <c r="F534" s="9">
        <v>1</v>
      </c>
      <c r="G534" s="9" t="s">
        <v>15</v>
      </c>
      <c r="H534" s="9" t="s">
        <v>23</v>
      </c>
      <c r="I534" s="9" t="s">
        <v>20</v>
      </c>
      <c r="J534" s="9">
        <v>1</v>
      </c>
      <c r="K534" s="9" t="s">
        <v>18</v>
      </c>
      <c r="L534" s="9" t="s">
        <v>35</v>
      </c>
      <c r="M534" s="9">
        <v>44</v>
      </c>
      <c r="N534" s="9" t="str" cm="1">
        <f t="array" ref="N534">_xlfn.IFS(
M534&lt;=12,"Children",
M534&lt;=19,"Teens",
M534&lt;=29,"Young Adults",
M534&lt;=39,"Adults",
M534&lt;=59,"Middle-Aged",
M534&gt;=60,"Seniors"
)</f>
        <v>Middle-Aged</v>
      </c>
      <c r="O534" s="9" t="s">
        <v>17</v>
      </c>
      <c r="P534" s="9">
        <f t="shared" si="16"/>
        <v>1</v>
      </c>
      <c r="Q534" s="9">
        <v>1</v>
      </c>
      <c r="R534" s="10">
        <f t="shared" si="17"/>
        <v>60000</v>
      </c>
    </row>
    <row r="535" spans="1:18" x14ac:dyDescent="0.3">
      <c r="A535" s="9">
        <v>24941</v>
      </c>
      <c r="B535" s="9" t="s">
        <v>37</v>
      </c>
      <c r="C535" s="9" t="s">
        <v>39</v>
      </c>
      <c r="D535" s="10">
        <v>60000</v>
      </c>
      <c r="E535" s="9" t="str" cm="1">
        <f t="array" ref="E535">_xlfn.IFS(D535&lt;= 60000, "Low Income",
D535&lt;=120000,"Medium Income",
D535&gt; 120000,"High Income"
)</f>
        <v>Low Income</v>
      </c>
      <c r="F535" s="9">
        <v>3</v>
      </c>
      <c r="G535" s="9" t="s">
        <v>15</v>
      </c>
      <c r="H535" s="9" t="s">
        <v>31</v>
      </c>
      <c r="I535" s="9" t="s">
        <v>17</v>
      </c>
      <c r="J535" s="9">
        <v>2</v>
      </c>
      <c r="K535" s="9" t="s">
        <v>41</v>
      </c>
      <c r="L535" s="9" t="s">
        <v>35</v>
      </c>
      <c r="M535" s="9">
        <v>66</v>
      </c>
      <c r="N535" s="9" t="str" cm="1">
        <f t="array" ref="N535">_xlfn.IFS(
M535&lt;=12,"Children",
M535&lt;=19,"Teens",
M535&lt;=29,"Young Adults",
M535&lt;=39,"Adults",
M535&lt;=59,"Middle-Aged",
M535&gt;=60,"Seniors"
)</f>
        <v>Seniors</v>
      </c>
      <c r="O535" s="9" t="s">
        <v>20</v>
      </c>
      <c r="P535" s="9">
        <f t="shared" si="16"/>
        <v>0</v>
      </c>
      <c r="Q535" s="9">
        <v>1</v>
      </c>
      <c r="R535" s="10">
        <f t="shared" si="17"/>
        <v>0</v>
      </c>
    </row>
    <row r="536" spans="1:18" x14ac:dyDescent="0.3">
      <c r="A536" s="9">
        <v>24637</v>
      </c>
      <c r="B536" s="9" t="s">
        <v>37</v>
      </c>
      <c r="C536" s="9" t="s">
        <v>39</v>
      </c>
      <c r="D536" s="10">
        <v>40000</v>
      </c>
      <c r="E536" s="9" t="str" cm="1">
        <f t="array" ref="E536">_xlfn.IFS(D536&lt;= 60000, "Low Income",
D536&lt;=120000,"Medium Income",
D536&gt; 120000,"High Income"
)</f>
        <v>Low Income</v>
      </c>
      <c r="F536" s="9">
        <v>4</v>
      </c>
      <c r="G536" s="9" t="s">
        <v>30</v>
      </c>
      <c r="H536" s="9" t="s">
        <v>23</v>
      </c>
      <c r="I536" s="9" t="s">
        <v>17</v>
      </c>
      <c r="J536" s="9">
        <v>2</v>
      </c>
      <c r="K536" s="9" t="s">
        <v>41</v>
      </c>
      <c r="L536" s="9" t="s">
        <v>35</v>
      </c>
      <c r="M536" s="9">
        <v>64</v>
      </c>
      <c r="N536" s="9" t="str" cm="1">
        <f t="array" ref="N536">_xlfn.IFS(
M536&lt;=12,"Children",
M536&lt;=19,"Teens",
M536&lt;=29,"Young Adults",
M536&lt;=39,"Adults",
M536&lt;=59,"Middle-Aged",
M536&gt;=60,"Seniors"
)</f>
        <v>Seniors</v>
      </c>
      <c r="O536" s="9" t="s">
        <v>20</v>
      </c>
      <c r="P536" s="9">
        <f t="shared" si="16"/>
        <v>0</v>
      </c>
      <c r="Q536" s="9">
        <v>1</v>
      </c>
      <c r="R536" s="10">
        <f t="shared" si="17"/>
        <v>0</v>
      </c>
    </row>
    <row r="537" spans="1:18" x14ac:dyDescent="0.3">
      <c r="A537" s="9">
        <v>23893</v>
      </c>
      <c r="B537" s="9" t="s">
        <v>37</v>
      </c>
      <c r="C537" s="9" t="s">
        <v>39</v>
      </c>
      <c r="D537" s="10">
        <v>50000</v>
      </c>
      <c r="E537" s="9" t="str" cm="1">
        <f t="array" ref="E537">_xlfn.IFS(D537&lt;= 60000, "Low Income",
D537&lt;=120000,"Medium Income",
D537&gt; 120000,"High Income"
)</f>
        <v>Low Income</v>
      </c>
      <c r="F537" s="9">
        <v>3</v>
      </c>
      <c r="G537" s="9" t="s">
        <v>15</v>
      </c>
      <c r="H537" s="9" t="s">
        <v>16</v>
      </c>
      <c r="I537" s="9" t="s">
        <v>17</v>
      </c>
      <c r="J537" s="9">
        <v>3</v>
      </c>
      <c r="K537" s="9" t="s">
        <v>41</v>
      </c>
      <c r="L537" s="9" t="s">
        <v>35</v>
      </c>
      <c r="M537" s="9">
        <v>41</v>
      </c>
      <c r="N537" s="9" t="str" cm="1">
        <f t="array" ref="N537">_xlfn.IFS(
M537&lt;=12,"Children",
M537&lt;=19,"Teens",
M537&lt;=29,"Young Adults",
M537&lt;=39,"Adults",
M537&lt;=59,"Middle-Aged",
M537&gt;=60,"Seniors"
)</f>
        <v>Middle-Aged</v>
      </c>
      <c r="O537" s="9" t="s">
        <v>20</v>
      </c>
      <c r="P537" s="9">
        <f t="shared" si="16"/>
        <v>0</v>
      </c>
      <c r="Q537" s="9">
        <v>1</v>
      </c>
      <c r="R537" s="10">
        <f t="shared" si="17"/>
        <v>0</v>
      </c>
    </row>
    <row r="538" spans="1:18" x14ac:dyDescent="0.3">
      <c r="A538" s="9">
        <v>13907</v>
      </c>
      <c r="B538" s="9" t="s">
        <v>40</v>
      </c>
      <c r="C538" s="9" t="s">
        <v>38</v>
      </c>
      <c r="D538" s="10">
        <v>80000</v>
      </c>
      <c r="E538" s="9" t="str" cm="1">
        <f t="array" ref="E538">_xlfn.IFS(D538&lt;= 60000, "Low Income",
D538&lt;=120000,"Medium Income",
D538&gt; 120000,"High Income"
)</f>
        <v>Medium Income</v>
      </c>
      <c r="F538" s="9">
        <v>3</v>
      </c>
      <c r="G538" s="9" t="s">
        <v>15</v>
      </c>
      <c r="H538" s="9" t="s">
        <v>16</v>
      </c>
      <c r="I538" s="9" t="s">
        <v>17</v>
      </c>
      <c r="J538" s="9">
        <v>1</v>
      </c>
      <c r="K538" s="9" t="s">
        <v>18</v>
      </c>
      <c r="L538" s="9" t="s">
        <v>35</v>
      </c>
      <c r="M538" s="9">
        <v>41</v>
      </c>
      <c r="N538" s="9" t="str" cm="1">
        <f t="array" ref="N538">_xlfn.IFS(
M538&lt;=12,"Children",
M538&lt;=19,"Teens",
M538&lt;=29,"Young Adults",
M538&lt;=39,"Adults",
M538&lt;=59,"Middle-Aged",
M538&gt;=60,"Seniors"
)</f>
        <v>Middle-Aged</v>
      </c>
      <c r="O538" s="9" t="s">
        <v>17</v>
      </c>
      <c r="P538" s="9">
        <f t="shared" si="16"/>
        <v>1</v>
      </c>
      <c r="Q538" s="9">
        <v>1</v>
      </c>
      <c r="R538" s="10">
        <f t="shared" si="17"/>
        <v>80000</v>
      </c>
    </row>
    <row r="539" spans="1:18" x14ac:dyDescent="0.3">
      <c r="A539" s="9">
        <v>14900</v>
      </c>
      <c r="B539" s="9" t="s">
        <v>37</v>
      </c>
      <c r="C539" s="9" t="s">
        <v>38</v>
      </c>
      <c r="D539" s="10">
        <v>40000</v>
      </c>
      <c r="E539" s="9" t="str" cm="1">
        <f t="array" ref="E539">_xlfn.IFS(D539&lt;= 60000, "Low Income",
D539&lt;=120000,"Medium Income",
D539&gt; 120000,"High Income"
)</f>
        <v>Low Income</v>
      </c>
      <c r="F539" s="9">
        <v>1</v>
      </c>
      <c r="G539" s="9" t="s">
        <v>21</v>
      </c>
      <c r="H539" s="9" t="s">
        <v>22</v>
      </c>
      <c r="I539" s="9" t="s">
        <v>17</v>
      </c>
      <c r="J539" s="9">
        <v>1</v>
      </c>
      <c r="K539" s="9" t="s">
        <v>29</v>
      </c>
      <c r="L539" s="9" t="s">
        <v>35</v>
      </c>
      <c r="M539" s="9">
        <v>49</v>
      </c>
      <c r="N539" s="9" t="str" cm="1">
        <f t="array" ref="N539">_xlfn.IFS(
M539&lt;=12,"Children",
M539&lt;=19,"Teens",
M539&lt;=29,"Young Adults",
M539&lt;=39,"Adults",
M539&lt;=59,"Middle-Aged",
M539&gt;=60,"Seniors"
)</f>
        <v>Middle-Aged</v>
      </c>
      <c r="O539" s="9" t="s">
        <v>17</v>
      </c>
      <c r="P539" s="9">
        <f t="shared" si="16"/>
        <v>1</v>
      </c>
      <c r="Q539" s="9">
        <v>1</v>
      </c>
      <c r="R539" s="10">
        <f t="shared" si="17"/>
        <v>40000</v>
      </c>
    </row>
    <row r="540" spans="1:18" x14ac:dyDescent="0.3">
      <c r="A540" s="9">
        <v>11262</v>
      </c>
      <c r="B540" s="9" t="s">
        <v>37</v>
      </c>
      <c r="C540" s="9" t="s">
        <v>38</v>
      </c>
      <c r="D540" s="10">
        <v>80000</v>
      </c>
      <c r="E540" s="9" t="str" cm="1">
        <f t="array" ref="E540">_xlfn.IFS(D540&lt;= 60000, "Low Income",
D540&lt;=120000,"Medium Income",
D540&gt; 120000,"High Income"
)</f>
        <v>Medium Income</v>
      </c>
      <c r="F540" s="9">
        <v>4</v>
      </c>
      <c r="G540" s="9" t="s">
        <v>15</v>
      </c>
      <c r="H540" s="9" t="s">
        <v>31</v>
      </c>
      <c r="I540" s="9" t="s">
        <v>17</v>
      </c>
      <c r="J540" s="9">
        <v>0</v>
      </c>
      <c r="K540" s="9" t="s">
        <v>18</v>
      </c>
      <c r="L540" s="9" t="s">
        <v>35</v>
      </c>
      <c r="M540" s="9">
        <v>42</v>
      </c>
      <c r="N540" s="9" t="str" cm="1">
        <f t="array" ref="N540">_xlfn.IFS(
M540&lt;=12,"Children",
M540&lt;=19,"Teens",
M540&lt;=29,"Young Adults",
M540&lt;=39,"Adults",
M540&lt;=59,"Middle-Aged",
M540&gt;=60,"Seniors"
)</f>
        <v>Middle-Aged</v>
      </c>
      <c r="O540" s="9" t="s">
        <v>20</v>
      </c>
      <c r="P540" s="9">
        <f t="shared" si="16"/>
        <v>0</v>
      </c>
      <c r="Q540" s="9">
        <v>1</v>
      </c>
      <c r="R540" s="10">
        <f t="shared" si="17"/>
        <v>0</v>
      </c>
    </row>
    <row r="541" spans="1:18" x14ac:dyDescent="0.3">
      <c r="A541" s="9">
        <v>22294</v>
      </c>
      <c r="B541" s="9" t="s">
        <v>40</v>
      </c>
      <c r="C541" s="9" t="s">
        <v>38</v>
      </c>
      <c r="D541" s="10">
        <v>70000</v>
      </c>
      <c r="E541" s="9" t="str" cm="1">
        <f t="array" ref="E541">_xlfn.IFS(D541&lt;= 60000, "Low Income",
D541&lt;=120000,"Medium Income",
D541&gt; 120000,"High Income"
)</f>
        <v>Medium Income</v>
      </c>
      <c r="F541" s="9">
        <v>0</v>
      </c>
      <c r="G541" s="9" t="s">
        <v>15</v>
      </c>
      <c r="H541" s="9" t="s">
        <v>23</v>
      </c>
      <c r="I541" s="9" t="s">
        <v>20</v>
      </c>
      <c r="J541" s="9">
        <v>1</v>
      </c>
      <c r="K541" s="9" t="s">
        <v>24</v>
      </c>
      <c r="L541" s="9" t="s">
        <v>35</v>
      </c>
      <c r="M541" s="9">
        <v>37</v>
      </c>
      <c r="N541" s="9" t="str" cm="1">
        <f t="array" ref="N541">_xlfn.IFS(
M541&lt;=12,"Children",
M541&lt;=19,"Teens",
M541&lt;=29,"Young Adults",
M541&lt;=39,"Adults",
M541&lt;=59,"Middle-Aged",
M541&gt;=60,"Seniors"
)</f>
        <v>Adults</v>
      </c>
      <c r="O541" s="9" t="s">
        <v>17</v>
      </c>
      <c r="P541" s="9">
        <f t="shared" si="16"/>
        <v>1</v>
      </c>
      <c r="Q541" s="9">
        <v>1</v>
      </c>
      <c r="R541" s="10">
        <f t="shared" si="17"/>
        <v>70000</v>
      </c>
    </row>
    <row r="542" spans="1:18" x14ac:dyDescent="0.3">
      <c r="A542" s="9">
        <v>12195</v>
      </c>
      <c r="B542" s="9" t="s">
        <v>40</v>
      </c>
      <c r="C542" s="9" t="s">
        <v>38</v>
      </c>
      <c r="D542" s="10">
        <v>70000</v>
      </c>
      <c r="E542" s="9" t="str" cm="1">
        <f t="array" ref="E542">_xlfn.IFS(D542&lt;= 60000, "Low Income",
D542&lt;=120000,"Medium Income",
D542&gt; 120000,"High Income"
)</f>
        <v>Medium Income</v>
      </c>
      <c r="F542" s="9">
        <v>3</v>
      </c>
      <c r="G542" s="9" t="s">
        <v>34</v>
      </c>
      <c r="H542" s="9" t="s">
        <v>31</v>
      </c>
      <c r="I542" s="9" t="s">
        <v>17</v>
      </c>
      <c r="J542" s="9">
        <v>2</v>
      </c>
      <c r="K542" s="9" t="s">
        <v>29</v>
      </c>
      <c r="L542" s="9" t="s">
        <v>35</v>
      </c>
      <c r="M542" s="9">
        <v>52</v>
      </c>
      <c r="N542" s="9" t="str" cm="1">
        <f t="array" ref="N542">_xlfn.IFS(
M542&lt;=12,"Children",
M542&lt;=19,"Teens",
M542&lt;=29,"Young Adults",
M542&lt;=39,"Adults",
M542&lt;=59,"Middle-Aged",
M542&gt;=60,"Seniors"
)</f>
        <v>Middle-Aged</v>
      </c>
      <c r="O542" s="9" t="s">
        <v>20</v>
      </c>
      <c r="P542" s="9">
        <f t="shared" si="16"/>
        <v>0</v>
      </c>
      <c r="Q542" s="9">
        <v>1</v>
      </c>
      <c r="R542" s="10">
        <f t="shared" si="17"/>
        <v>0</v>
      </c>
    </row>
    <row r="543" spans="1:18" x14ac:dyDescent="0.3">
      <c r="A543" s="9">
        <v>25375</v>
      </c>
      <c r="B543" s="9" t="s">
        <v>37</v>
      </c>
      <c r="C543" s="9" t="s">
        <v>39</v>
      </c>
      <c r="D543" s="10">
        <v>50000</v>
      </c>
      <c r="E543" s="9" t="str" cm="1">
        <f t="array" ref="E543">_xlfn.IFS(D543&lt;= 60000, "Low Income",
D543&lt;=120000,"Medium Income",
D543&gt; 120000,"High Income"
)</f>
        <v>Low Income</v>
      </c>
      <c r="F543" s="9">
        <v>1</v>
      </c>
      <c r="G543" s="9" t="s">
        <v>34</v>
      </c>
      <c r="H543" s="9" t="s">
        <v>16</v>
      </c>
      <c r="I543" s="9" t="s">
        <v>17</v>
      </c>
      <c r="J543" s="9">
        <v>0</v>
      </c>
      <c r="K543" s="9" t="s">
        <v>29</v>
      </c>
      <c r="L543" s="9" t="s">
        <v>35</v>
      </c>
      <c r="M543" s="9">
        <v>34</v>
      </c>
      <c r="N543" s="9" t="str" cm="1">
        <f t="array" ref="N543">_xlfn.IFS(
M543&lt;=12,"Children",
M543&lt;=19,"Teens",
M543&lt;=29,"Young Adults",
M543&lt;=39,"Adults",
M543&lt;=59,"Middle-Aged",
M543&gt;=60,"Seniors"
)</f>
        <v>Adults</v>
      </c>
      <c r="O543" s="9" t="s">
        <v>20</v>
      </c>
      <c r="P543" s="9">
        <f t="shared" si="16"/>
        <v>0</v>
      </c>
      <c r="Q543" s="9">
        <v>1</v>
      </c>
      <c r="R543" s="10">
        <f t="shared" si="17"/>
        <v>0</v>
      </c>
    </row>
    <row r="544" spans="1:18" x14ac:dyDescent="0.3">
      <c r="A544" s="9">
        <v>11143</v>
      </c>
      <c r="B544" s="9" t="s">
        <v>37</v>
      </c>
      <c r="C544" s="9" t="s">
        <v>39</v>
      </c>
      <c r="D544" s="10">
        <v>40000</v>
      </c>
      <c r="E544" s="9" t="str" cm="1">
        <f t="array" ref="E544">_xlfn.IFS(D544&lt;= 60000, "Low Income",
D544&lt;=120000,"Medium Income",
D544&gt; 120000,"High Income"
)</f>
        <v>Low Income</v>
      </c>
      <c r="F544" s="9">
        <v>0</v>
      </c>
      <c r="G544" s="9" t="s">
        <v>30</v>
      </c>
      <c r="H544" s="9" t="s">
        <v>16</v>
      </c>
      <c r="I544" s="9" t="s">
        <v>17</v>
      </c>
      <c r="J544" s="9">
        <v>2</v>
      </c>
      <c r="K544" s="9" t="s">
        <v>26</v>
      </c>
      <c r="L544" s="9" t="s">
        <v>35</v>
      </c>
      <c r="M544" s="9">
        <v>29</v>
      </c>
      <c r="N544" s="9" t="str" cm="1">
        <f t="array" ref="N544">_xlfn.IFS(
M544&lt;=12,"Children",
M544&lt;=19,"Teens",
M544&lt;=29,"Young Adults",
M544&lt;=39,"Adults",
M544&lt;=59,"Middle-Aged",
M544&gt;=60,"Seniors"
)</f>
        <v>Young Adults</v>
      </c>
      <c r="O544" s="9" t="s">
        <v>20</v>
      </c>
      <c r="P544" s="9">
        <f t="shared" si="16"/>
        <v>0</v>
      </c>
      <c r="Q544" s="9">
        <v>1</v>
      </c>
      <c r="R544" s="10">
        <f t="shared" si="17"/>
        <v>0</v>
      </c>
    </row>
    <row r="545" spans="1:18" x14ac:dyDescent="0.3">
      <c r="A545" s="9">
        <v>25898</v>
      </c>
      <c r="B545" s="9" t="s">
        <v>37</v>
      </c>
      <c r="C545" s="9" t="s">
        <v>38</v>
      </c>
      <c r="D545" s="10">
        <v>70000</v>
      </c>
      <c r="E545" s="9" t="str" cm="1">
        <f t="array" ref="E545">_xlfn.IFS(D545&lt;= 60000, "Low Income",
D545&lt;=120000,"Medium Income",
D545&gt; 120000,"High Income"
)</f>
        <v>Medium Income</v>
      </c>
      <c r="F545" s="9">
        <v>2</v>
      </c>
      <c r="G545" s="9" t="s">
        <v>30</v>
      </c>
      <c r="H545" s="9" t="s">
        <v>23</v>
      </c>
      <c r="I545" s="9" t="s">
        <v>17</v>
      </c>
      <c r="J545" s="9">
        <v>2</v>
      </c>
      <c r="K545" s="9" t="s">
        <v>24</v>
      </c>
      <c r="L545" s="9" t="s">
        <v>35</v>
      </c>
      <c r="M545" s="9">
        <v>53</v>
      </c>
      <c r="N545" s="9" t="str" cm="1">
        <f t="array" ref="N545">_xlfn.IFS(
M545&lt;=12,"Children",
M545&lt;=19,"Teens",
M545&lt;=29,"Young Adults",
M545&lt;=39,"Adults",
M545&lt;=59,"Middle-Aged",
M545&gt;=60,"Seniors"
)</f>
        <v>Middle-Aged</v>
      </c>
      <c r="O545" s="9" t="s">
        <v>20</v>
      </c>
      <c r="P545" s="9">
        <f t="shared" si="16"/>
        <v>0</v>
      </c>
      <c r="Q545" s="9">
        <v>1</v>
      </c>
      <c r="R545" s="10">
        <f t="shared" si="17"/>
        <v>0</v>
      </c>
    </row>
    <row r="546" spans="1:18" x14ac:dyDescent="0.3">
      <c r="A546" s="9">
        <v>24397</v>
      </c>
      <c r="B546" s="9" t="s">
        <v>40</v>
      </c>
      <c r="C546" s="9" t="s">
        <v>39</v>
      </c>
      <c r="D546" s="10">
        <v>120000</v>
      </c>
      <c r="E546" s="9" t="str" cm="1">
        <f t="array" ref="E546">_xlfn.IFS(D546&lt;= 60000, "Low Income",
D546&lt;=120000,"Medium Income",
D546&gt; 120000,"High Income"
)</f>
        <v>Medium Income</v>
      </c>
      <c r="F546" s="9">
        <v>2</v>
      </c>
      <c r="G546" s="9" t="s">
        <v>15</v>
      </c>
      <c r="H546" s="9" t="s">
        <v>31</v>
      </c>
      <c r="I546" s="9" t="s">
        <v>20</v>
      </c>
      <c r="J546" s="9">
        <v>4</v>
      </c>
      <c r="K546" s="9" t="s">
        <v>29</v>
      </c>
      <c r="L546" s="9" t="s">
        <v>35</v>
      </c>
      <c r="M546" s="9">
        <v>40</v>
      </c>
      <c r="N546" s="9" t="str" cm="1">
        <f t="array" ref="N546">_xlfn.IFS(
M546&lt;=12,"Children",
M546&lt;=19,"Teens",
M546&lt;=29,"Young Adults",
M546&lt;=39,"Adults",
M546&lt;=59,"Middle-Aged",
M546&gt;=60,"Seniors"
)</f>
        <v>Middle-Aged</v>
      </c>
      <c r="O546" s="9" t="s">
        <v>20</v>
      </c>
      <c r="P546" s="9">
        <f t="shared" si="16"/>
        <v>0</v>
      </c>
      <c r="Q546" s="9">
        <v>1</v>
      </c>
      <c r="R546" s="10">
        <f t="shared" si="17"/>
        <v>0</v>
      </c>
    </row>
    <row r="547" spans="1:18" x14ac:dyDescent="0.3">
      <c r="A547" s="9">
        <v>19758</v>
      </c>
      <c r="B547" s="9" t="s">
        <v>40</v>
      </c>
      <c r="C547" s="9" t="s">
        <v>39</v>
      </c>
      <c r="D547" s="10">
        <v>60000</v>
      </c>
      <c r="E547" s="9" t="str" cm="1">
        <f t="array" ref="E547">_xlfn.IFS(D547&lt;= 60000, "Low Income",
D547&lt;=120000,"Medium Income",
D547&gt; 120000,"High Income"
)</f>
        <v>Low Income</v>
      </c>
      <c r="F547" s="9">
        <v>0</v>
      </c>
      <c r="G547" s="9" t="s">
        <v>21</v>
      </c>
      <c r="H547" s="9" t="s">
        <v>16</v>
      </c>
      <c r="I547" s="9" t="s">
        <v>20</v>
      </c>
      <c r="J547" s="9">
        <v>2</v>
      </c>
      <c r="K547" s="9" t="s">
        <v>29</v>
      </c>
      <c r="L547" s="9" t="s">
        <v>35</v>
      </c>
      <c r="M547" s="9">
        <v>29</v>
      </c>
      <c r="N547" s="9" t="str" cm="1">
        <f t="array" ref="N547">_xlfn.IFS(
M547&lt;=12,"Children",
M547&lt;=19,"Teens",
M547&lt;=29,"Young Adults",
M547&lt;=39,"Adults",
M547&lt;=59,"Middle-Aged",
M547&gt;=60,"Seniors"
)</f>
        <v>Young Adults</v>
      </c>
      <c r="O547" s="9" t="s">
        <v>20</v>
      </c>
      <c r="P547" s="9">
        <f t="shared" si="16"/>
        <v>0</v>
      </c>
      <c r="Q547" s="9">
        <v>1</v>
      </c>
      <c r="R547" s="10">
        <f t="shared" si="17"/>
        <v>0</v>
      </c>
    </row>
    <row r="548" spans="1:18" x14ac:dyDescent="0.3">
      <c r="A548" s="9">
        <v>15529</v>
      </c>
      <c r="B548" s="9" t="s">
        <v>37</v>
      </c>
      <c r="C548" s="9" t="s">
        <v>39</v>
      </c>
      <c r="D548" s="10">
        <v>60000</v>
      </c>
      <c r="E548" s="9" t="str" cm="1">
        <f t="array" ref="E548">_xlfn.IFS(D548&lt;= 60000, "Low Income",
D548&lt;=120000,"Medium Income",
D548&gt; 120000,"High Income"
)</f>
        <v>Low Income</v>
      </c>
      <c r="F548" s="9">
        <v>4</v>
      </c>
      <c r="G548" s="9" t="s">
        <v>15</v>
      </c>
      <c r="H548" s="9" t="s">
        <v>23</v>
      </c>
      <c r="I548" s="9" t="s">
        <v>17</v>
      </c>
      <c r="J548" s="9">
        <v>2</v>
      </c>
      <c r="K548" s="9" t="s">
        <v>24</v>
      </c>
      <c r="L548" s="9" t="s">
        <v>35</v>
      </c>
      <c r="M548" s="9">
        <v>43</v>
      </c>
      <c r="N548" s="9" t="str" cm="1">
        <f t="array" ref="N548">_xlfn.IFS(
M548&lt;=12,"Children",
M548&lt;=19,"Teens",
M548&lt;=29,"Young Adults",
M548&lt;=39,"Adults",
M548&lt;=59,"Middle-Aged",
M548&gt;=60,"Seniors"
)</f>
        <v>Middle-Aged</v>
      </c>
      <c r="O548" s="9" t="s">
        <v>17</v>
      </c>
      <c r="P548" s="9">
        <f t="shared" si="16"/>
        <v>1</v>
      </c>
      <c r="Q548" s="9">
        <v>1</v>
      </c>
      <c r="R548" s="10">
        <f t="shared" si="17"/>
        <v>60000</v>
      </c>
    </row>
    <row r="549" spans="1:18" x14ac:dyDescent="0.3">
      <c r="A549" s="9">
        <v>19884</v>
      </c>
      <c r="B549" s="9" t="s">
        <v>37</v>
      </c>
      <c r="C549" s="9" t="s">
        <v>39</v>
      </c>
      <c r="D549" s="10">
        <v>60000</v>
      </c>
      <c r="E549" s="9" t="str" cm="1">
        <f t="array" ref="E549">_xlfn.IFS(D549&lt;= 60000, "Low Income",
D549&lt;=120000,"Medium Income",
D549&gt; 120000,"High Income"
)</f>
        <v>Low Income</v>
      </c>
      <c r="F549" s="9">
        <v>2</v>
      </c>
      <c r="G549" s="9" t="s">
        <v>30</v>
      </c>
      <c r="H549" s="9" t="s">
        <v>23</v>
      </c>
      <c r="I549" s="9" t="s">
        <v>17</v>
      </c>
      <c r="J549" s="9">
        <v>2</v>
      </c>
      <c r="K549" s="9" t="s">
        <v>24</v>
      </c>
      <c r="L549" s="9" t="s">
        <v>35</v>
      </c>
      <c r="M549" s="9">
        <v>55</v>
      </c>
      <c r="N549" s="9" t="str" cm="1">
        <f t="array" ref="N549">_xlfn.IFS(
M549&lt;=12,"Children",
M549&lt;=19,"Teens",
M549&lt;=29,"Young Adults",
M549&lt;=39,"Adults",
M549&lt;=59,"Middle-Aged",
M549&gt;=60,"Seniors"
)</f>
        <v>Middle-Aged</v>
      </c>
      <c r="O549" s="9" t="s">
        <v>17</v>
      </c>
      <c r="P549" s="9">
        <f t="shared" si="16"/>
        <v>1</v>
      </c>
      <c r="Q549" s="9">
        <v>1</v>
      </c>
      <c r="R549" s="10">
        <f t="shared" si="17"/>
        <v>60000</v>
      </c>
    </row>
    <row r="550" spans="1:18" x14ac:dyDescent="0.3">
      <c r="A550" s="9">
        <v>18674</v>
      </c>
      <c r="B550" s="9" t="s">
        <v>40</v>
      </c>
      <c r="C550" s="9" t="s">
        <v>38</v>
      </c>
      <c r="D550" s="10">
        <v>80000</v>
      </c>
      <c r="E550" s="9" t="str" cm="1">
        <f t="array" ref="E550">_xlfn.IFS(D550&lt;= 60000, "Low Income",
D550&lt;=120000,"Medium Income",
D550&gt; 120000,"High Income"
)</f>
        <v>Medium Income</v>
      </c>
      <c r="F550" s="9">
        <v>4</v>
      </c>
      <c r="G550" s="9" t="s">
        <v>34</v>
      </c>
      <c r="H550" s="9" t="s">
        <v>16</v>
      </c>
      <c r="I550" s="9" t="s">
        <v>20</v>
      </c>
      <c r="J550" s="9">
        <v>0</v>
      </c>
      <c r="K550" s="9" t="s">
        <v>18</v>
      </c>
      <c r="L550" s="9" t="s">
        <v>35</v>
      </c>
      <c r="M550" s="9">
        <v>48</v>
      </c>
      <c r="N550" s="9" t="str" cm="1">
        <f t="array" ref="N550">_xlfn.IFS(
M550&lt;=12,"Children",
M550&lt;=19,"Teens",
M550&lt;=29,"Young Adults",
M550&lt;=39,"Adults",
M550&lt;=59,"Middle-Aged",
M550&gt;=60,"Seniors"
)</f>
        <v>Middle-Aged</v>
      </c>
      <c r="O550" s="9" t="s">
        <v>20</v>
      </c>
      <c r="P550" s="9">
        <f t="shared" si="16"/>
        <v>0</v>
      </c>
      <c r="Q550" s="9">
        <v>1</v>
      </c>
      <c r="R550" s="10">
        <f t="shared" si="17"/>
        <v>0</v>
      </c>
    </row>
    <row r="551" spans="1:18" x14ac:dyDescent="0.3">
      <c r="A551" s="9">
        <v>13453</v>
      </c>
      <c r="B551" s="9" t="s">
        <v>37</v>
      </c>
      <c r="C551" s="9" t="s">
        <v>38</v>
      </c>
      <c r="D551" s="10">
        <v>130000</v>
      </c>
      <c r="E551" s="9" t="str" cm="1">
        <f t="array" ref="E551">_xlfn.IFS(D551&lt;= 60000, "Low Income",
D551&lt;=120000,"Medium Income",
D551&gt; 120000,"High Income"
)</f>
        <v>High Income</v>
      </c>
      <c r="F551" s="9">
        <v>3</v>
      </c>
      <c r="G551" s="9" t="s">
        <v>15</v>
      </c>
      <c r="H551" s="9" t="s">
        <v>31</v>
      </c>
      <c r="I551" s="9" t="s">
        <v>17</v>
      </c>
      <c r="J551" s="9">
        <v>3</v>
      </c>
      <c r="K551" s="9" t="s">
        <v>18</v>
      </c>
      <c r="L551" s="9" t="s">
        <v>35</v>
      </c>
      <c r="M551" s="9">
        <v>45</v>
      </c>
      <c r="N551" s="9" t="str" cm="1">
        <f t="array" ref="N551">_xlfn.IFS(
M551&lt;=12,"Children",
M551&lt;=19,"Teens",
M551&lt;=29,"Young Adults",
M551&lt;=39,"Adults",
M551&lt;=59,"Middle-Aged",
M551&gt;=60,"Seniors"
)</f>
        <v>Middle-Aged</v>
      </c>
      <c r="O551" s="9" t="s">
        <v>17</v>
      </c>
      <c r="P551" s="9">
        <f t="shared" si="16"/>
        <v>1</v>
      </c>
      <c r="Q551" s="9">
        <v>1</v>
      </c>
      <c r="R551" s="10">
        <f t="shared" si="17"/>
        <v>130000</v>
      </c>
    </row>
    <row r="552" spans="1:18" x14ac:dyDescent="0.3">
      <c r="A552" s="9">
        <v>14063</v>
      </c>
      <c r="B552" s="9" t="s">
        <v>40</v>
      </c>
      <c r="C552" s="9" t="s">
        <v>38</v>
      </c>
      <c r="D552" s="10">
        <v>70000</v>
      </c>
      <c r="E552" s="9" t="str" cm="1">
        <f t="array" ref="E552">_xlfn.IFS(D552&lt;= 60000, "Low Income",
D552&lt;=120000,"Medium Income",
D552&gt; 120000,"High Income"
)</f>
        <v>Medium Income</v>
      </c>
      <c r="F552" s="9">
        <v>0</v>
      </c>
      <c r="G552" s="9" t="s">
        <v>15</v>
      </c>
      <c r="H552" s="9" t="s">
        <v>23</v>
      </c>
      <c r="I552" s="9" t="s">
        <v>20</v>
      </c>
      <c r="J552" s="9">
        <v>1</v>
      </c>
      <c r="K552" s="9" t="s">
        <v>18</v>
      </c>
      <c r="L552" s="9" t="s">
        <v>27</v>
      </c>
      <c r="M552" s="9">
        <v>42</v>
      </c>
      <c r="N552" s="9" t="str" cm="1">
        <f t="array" ref="N552">_xlfn.IFS(
M552&lt;=12,"Children",
M552&lt;=19,"Teens",
M552&lt;=29,"Young Adults",
M552&lt;=39,"Adults",
M552&lt;=59,"Middle-Aged",
M552&gt;=60,"Seniors"
)</f>
        <v>Middle-Aged</v>
      </c>
      <c r="O552" s="9" t="s">
        <v>17</v>
      </c>
      <c r="P552" s="9">
        <f t="shared" si="16"/>
        <v>1</v>
      </c>
      <c r="Q552" s="9">
        <v>1</v>
      </c>
      <c r="R552" s="10">
        <f t="shared" si="17"/>
        <v>70000</v>
      </c>
    </row>
    <row r="553" spans="1:18" x14ac:dyDescent="0.3">
      <c r="A553" s="9">
        <v>27393</v>
      </c>
      <c r="B553" s="9" t="s">
        <v>37</v>
      </c>
      <c r="C553" s="9" t="s">
        <v>38</v>
      </c>
      <c r="D553" s="10">
        <v>50000</v>
      </c>
      <c r="E553" s="9" t="str" cm="1">
        <f t="array" ref="E553">_xlfn.IFS(D553&lt;= 60000, "Low Income",
D553&lt;=120000,"Medium Income",
D553&gt; 120000,"High Income"
)</f>
        <v>Low Income</v>
      </c>
      <c r="F553" s="9">
        <v>4</v>
      </c>
      <c r="G553" s="9" t="s">
        <v>15</v>
      </c>
      <c r="H553" s="9" t="s">
        <v>31</v>
      </c>
      <c r="I553" s="9" t="s">
        <v>17</v>
      </c>
      <c r="J553" s="9">
        <v>2</v>
      </c>
      <c r="K553" s="9" t="s">
        <v>41</v>
      </c>
      <c r="L553" s="9" t="s">
        <v>35</v>
      </c>
      <c r="M553" s="9">
        <v>63</v>
      </c>
      <c r="N553" s="9" t="str" cm="1">
        <f t="array" ref="N553">_xlfn.IFS(
M553&lt;=12,"Children",
M553&lt;=19,"Teens",
M553&lt;=29,"Young Adults",
M553&lt;=39,"Adults",
M553&lt;=59,"Middle-Aged",
M553&gt;=60,"Seniors"
)</f>
        <v>Seniors</v>
      </c>
      <c r="O553" s="9" t="s">
        <v>20</v>
      </c>
      <c r="P553" s="9">
        <f t="shared" si="16"/>
        <v>0</v>
      </c>
      <c r="Q553" s="9">
        <v>1</v>
      </c>
      <c r="R553" s="10">
        <f t="shared" si="17"/>
        <v>0</v>
      </c>
    </row>
    <row r="554" spans="1:18" x14ac:dyDescent="0.3">
      <c r="A554" s="9">
        <v>14417</v>
      </c>
      <c r="B554" s="9" t="s">
        <v>40</v>
      </c>
      <c r="C554" s="9" t="s">
        <v>39</v>
      </c>
      <c r="D554" s="10">
        <v>60000</v>
      </c>
      <c r="E554" s="9" t="str" cm="1">
        <f t="array" ref="E554">_xlfn.IFS(D554&lt;= 60000, "Low Income",
D554&lt;=120000,"Medium Income",
D554&gt; 120000,"High Income"
)</f>
        <v>Low Income</v>
      </c>
      <c r="F554" s="9">
        <v>3</v>
      </c>
      <c r="G554" s="9" t="s">
        <v>30</v>
      </c>
      <c r="H554" s="9" t="s">
        <v>23</v>
      </c>
      <c r="I554" s="9" t="s">
        <v>17</v>
      </c>
      <c r="J554" s="9">
        <v>2</v>
      </c>
      <c r="K554" s="9" t="s">
        <v>41</v>
      </c>
      <c r="L554" s="9" t="s">
        <v>35</v>
      </c>
      <c r="M554" s="9">
        <v>54</v>
      </c>
      <c r="N554" s="9" t="str" cm="1">
        <f t="array" ref="N554">_xlfn.IFS(
M554&lt;=12,"Children",
M554&lt;=19,"Teens",
M554&lt;=29,"Young Adults",
M554&lt;=39,"Adults",
M554&lt;=59,"Middle-Aged",
M554&gt;=60,"Seniors"
)</f>
        <v>Middle-Aged</v>
      </c>
      <c r="O554" s="9" t="s">
        <v>17</v>
      </c>
      <c r="P554" s="9">
        <f t="shared" si="16"/>
        <v>1</v>
      </c>
      <c r="Q554" s="9">
        <v>1</v>
      </c>
      <c r="R554" s="10">
        <f t="shared" si="17"/>
        <v>60000</v>
      </c>
    </row>
    <row r="555" spans="1:18" x14ac:dyDescent="0.3">
      <c r="A555" s="9">
        <v>17533</v>
      </c>
      <c r="B555" s="9" t="s">
        <v>37</v>
      </c>
      <c r="C555" s="9" t="s">
        <v>39</v>
      </c>
      <c r="D555" s="10">
        <v>40000</v>
      </c>
      <c r="E555" s="9" t="str" cm="1">
        <f t="array" ref="E555">_xlfn.IFS(D555&lt;= 60000, "Low Income",
D555&lt;=120000,"Medium Income",
D555&gt; 120000,"High Income"
)</f>
        <v>Low Income</v>
      </c>
      <c r="F555" s="9">
        <v>3</v>
      </c>
      <c r="G555" s="9" t="s">
        <v>21</v>
      </c>
      <c r="H555" s="9" t="s">
        <v>23</v>
      </c>
      <c r="I555" s="9" t="s">
        <v>20</v>
      </c>
      <c r="J555" s="9">
        <v>2</v>
      </c>
      <c r="K555" s="9" t="s">
        <v>26</v>
      </c>
      <c r="L555" s="9" t="s">
        <v>35</v>
      </c>
      <c r="M555" s="9">
        <v>73</v>
      </c>
      <c r="N555" s="9" t="str" cm="1">
        <f t="array" ref="N555">_xlfn.IFS(
M555&lt;=12,"Children",
M555&lt;=19,"Teens",
M555&lt;=29,"Young Adults",
M555&lt;=39,"Adults",
M555&lt;=59,"Middle-Aged",
M555&gt;=60,"Seniors"
)</f>
        <v>Seniors</v>
      </c>
      <c r="O555" s="9" t="s">
        <v>17</v>
      </c>
      <c r="P555" s="9">
        <f t="shared" si="16"/>
        <v>1</v>
      </c>
      <c r="Q555" s="9">
        <v>1</v>
      </c>
      <c r="R555" s="10">
        <f t="shared" si="17"/>
        <v>40000</v>
      </c>
    </row>
    <row r="556" spans="1:18" x14ac:dyDescent="0.3">
      <c r="A556" s="9">
        <v>18580</v>
      </c>
      <c r="B556" s="9" t="s">
        <v>37</v>
      </c>
      <c r="C556" s="9" t="s">
        <v>38</v>
      </c>
      <c r="D556" s="10">
        <v>60000</v>
      </c>
      <c r="E556" s="9" t="str" cm="1">
        <f t="array" ref="E556">_xlfn.IFS(D556&lt;= 60000, "Low Income",
D556&lt;=120000,"Medium Income",
D556&gt; 120000,"High Income"
)</f>
        <v>Low Income</v>
      </c>
      <c r="F556" s="9">
        <v>2</v>
      </c>
      <c r="G556" s="9" t="s">
        <v>34</v>
      </c>
      <c r="H556" s="9" t="s">
        <v>23</v>
      </c>
      <c r="I556" s="9" t="s">
        <v>17</v>
      </c>
      <c r="J556" s="9">
        <v>0</v>
      </c>
      <c r="K556" s="9" t="s">
        <v>24</v>
      </c>
      <c r="L556" s="9" t="s">
        <v>35</v>
      </c>
      <c r="M556" s="9">
        <v>40</v>
      </c>
      <c r="N556" s="9" t="str" cm="1">
        <f t="array" ref="N556">_xlfn.IFS(
M556&lt;=12,"Children",
M556&lt;=19,"Teens",
M556&lt;=29,"Young Adults",
M556&lt;=39,"Adults",
M556&lt;=59,"Middle-Aged",
M556&gt;=60,"Seniors"
)</f>
        <v>Middle-Aged</v>
      </c>
      <c r="O556" s="9" t="s">
        <v>17</v>
      </c>
      <c r="P556" s="9">
        <f t="shared" si="16"/>
        <v>1</v>
      </c>
      <c r="Q556" s="9">
        <v>1</v>
      </c>
      <c r="R556" s="10">
        <f t="shared" si="17"/>
        <v>60000</v>
      </c>
    </row>
    <row r="557" spans="1:18" x14ac:dyDescent="0.3">
      <c r="A557" s="9">
        <v>17025</v>
      </c>
      <c r="B557" s="9" t="s">
        <v>40</v>
      </c>
      <c r="C557" s="9" t="s">
        <v>39</v>
      </c>
      <c r="D557" s="10">
        <v>50000</v>
      </c>
      <c r="E557" s="9" t="str" cm="1">
        <f t="array" ref="E557">_xlfn.IFS(D557&lt;= 60000, "Low Income",
D557&lt;=120000,"Medium Income",
D557&gt; 120000,"High Income"
)</f>
        <v>Low Income</v>
      </c>
      <c r="F557" s="9">
        <v>0</v>
      </c>
      <c r="G557" s="9" t="s">
        <v>21</v>
      </c>
      <c r="H557" s="9" t="s">
        <v>16</v>
      </c>
      <c r="I557" s="9" t="s">
        <v>20</v>
      </c>
      <c r="J557" s="9">
        <v>1</v>
      </c>
      <c r="K557" s="9" t="s">
        <v>24</v>
      </c>
      <c r="L557" s="9" t="s">
        <v>35</v>
      </c>
      <c r="M557" s="9">
        <v>39</v>
      </c>
      <c r="N557" s="9" t="str" cm="1">
        <f t="array" ref="N557">_xlfn.IFS(
M557&lt;=12,"Children",
M557&lt;=19,"Teens",
M557&lt;=29,"Young Adults",
M557&lt;=39,"Adults",
M557&lt;=59,"Middle-Aged",
M557&gt;=60,"Seniors"
)</f>
        <v>Adults</v>
      </c>
      <c r="O557" s="9" t="s">
        <v>17</v>
      </c>
      <c r="P557" s="9">
        <f t="shared" si="16"/>
        <v>1</v>
      </c>
      <c r="Q557" s="9">
        <v>1</v>
      </c>
      <c r="R557" s="10">
        <f t="shared" si="17"/>
        <v>50000</v>
      </c>
    </row>
    <row r="558" spans="1:18" x14ac:dyDescent="0.3">
      <c r="A558" s="9">
        <v>25293</v>
      </c>
      <c r="B558" s="9" t="s">
        <v>37</v>
      </c>
      <c r="C558" s="9" t="s">
        <v>39</v>
      </c>
      <c r="D558" s="10">
        <v>80000</v>
      </c>
      <c r="E558" s="9" t="str" cm="1">
        <f t="array" ref="E558">_xlfn.IFS(D558&lt;= 60000, "Low Income",
D558&lt;=120000,"Medium Income",
D558&gt; 120000,"High Income"
)</f>
        <v>Medium Income</v>
      </c>
      <c r="F558" s="9">
        <v>4</v>
      </c>
      <c r="G558" s="9" t="s">
        <v>15</v>
      </c>
      <c r="H558" s="9" t="s">
        <v>31</v>
      </c>
      <c r="I558" s="9" t="s">
        <v>17</v>
      </c>
      <c r="J558" s="9">
        <v>0</v>
      </c>
      <c r="K558" s="9" t="s">
        <v>29</v>
      </c>
      <c r="L558" s="9" t="s">
        <v>35</v>
      </c>
      <c r="M558" s="9">
        <v>42</v>
      </c>
      <c r="N558" s="9" t="str" cm="1">
        <f t="array" ref="N558">_xlfn.IFS(
M558&lt;=12,"Children",
M558&lt;=19,"Teens",
M558&lt;=29,"Young Adults",
M558&lt;=39,"Adults",
M558&lt;=59,"Middle-Aged",
M558&gt;=60,"Seniors"
)</f>
        <v>Middle-Aged</v>
      </c>
      <c r="O558" s="9" t="s">
        <v>20</v>
      </c>
      <c r="P558" s="9">
        <f t="shared" si="16"/>
        <v>0</v>
      </c>
      <c r="Q558" s="9">
        <v>1</v>
      </c>
      <c r="R558" s="10">
        <f t="shared" si="17"/>
        <v>0</v>
      </c>
    </row>
    <row r="559" spans="1:18" x14ac:dyDescent="0.3">
      <c r="A559" s="9">
        <v>24725</v>
      </c>
      <c r="B559" s="9" t="s">
        <v>37</v>
      </c>
      <c r="C559" s="9" t="s">
        <v>38</v>
      </c>
      <c r="D559" s="10">
        <v>40000</v>
      </c>
      <c r="E559" s="9" t="str" cm="1">
        <f t="array" ref="E559">_xlfn.IFS(D559&lt;= 60000, "Low Income",
D559&lt;=120000,"Medium Income",
D559&gt; 120000,"High Income"
)</f>
        <v>Low Income</v>
      </c>
      <c r="F559" s="9">
        <v>3</v>
      </c>
      <c r="G559" s="9" t="s">
        <v>21</v>
      </c>
      <c r="H559" s="9" t="s">
        <v>22</v>
      </c>
      <c r="I559" s="9" t="s">
        <v>17</v>
      </c>
      <c r="J559" s="9">
        <v>0</v>
      </c>
      <c r="K559" s="9" t="s">
        <v>29</v>
      </c>
      <c r="L559" s="9" t="s">
        <v>35</v>
      </c>
      <c r="M559" s="9">
        <v>31</v>
      </c>
      <c r="N559" s="9" t="str" cm="1">
        <f t="array" ref="N559">_xlfn.IFS(
M559&lt;=12,"Children",
M559&lt;=19,"Teens",
M559&lt;=29,"Young Adults",
M559&lt;=39,"Adults",
M559&lt;=59,"Middle-Aged",
M559&gt;=60,"Seniors"
)</f>
        <v>Adults</v>
      </c>
      <c r="O559" s="9" t="s">
        <v>20</v>
      </c>
      <c r="P559" s="9">
        <f t="shared" si="16"/>
        <v>0</v>
      </c>
      <c r="Q559" s="9">
        <v>1</v>
      </c>
      <c r="R559" s="10">
        <f t="shared" si="17"/>
        <v>0</v>
      </c>
    </row>
    <row r="560" spans="1:18" x14ac:dyDescent="0.3">
      <c r="A560" s="9">
        <v>23200</v>
      </c>
      <c r="B560" s="9" t="s">
        <v>37</v>
      </c>
      <c r="C560" s="9" t="s">
        <v>38</v>
      </c>
      <c r="D560" s="10">
        <v>50000</v>
      </c>
      <c r="E560" s="9" t="str" cm="1">
        <f t="array" ref="E560">_xlfn.IFS(D560&lt;= 60000, "Low Income",
D560&lt;=120000,"Medium Income",
D560&gt; 120000,"High Income"
)</f>
        <v>Low Income</v>
      </c>
      <c r="F560" s="9">
        <v>3</v>
      </c>
      <c r="G560" s="9" t="s">
        <v>15</v>
      </c>
      <c r="H560" s="9" t="s">
        <v>16</v>
      </c>
      <c r="I560" s="9" t="s">
        <v>17</v>
      </c>
      <c r="J560" s="9">
        <v>2</v>
      </c>
      <c r="K560" s="9" t="s">
        <v>18</v>
      </c>
      <c r="L560" s="9" t="s">
        <v>35</v>
      </c>
      <c r="M560" s="9">
        <v>41</v>
      </c>
      <c r="N560" s="9" t="str" cm="1">
        <f t="array" ref="N560">_xlfn.IFS(
M560&lt;=12,"Children",
M560&lt;=19,"Teens",
M560&lt;=29,"Young Adults",
M560&lt;=39,"Adults",
M560&lt;=59,"Middle-Aged",
M560&gt;=60,"Seniors"
)</f>
        <v>Middle-Aged</v>
      </c>
      <c r="O560" s="9" t="s">
        <v>20</v>
      </c>
      <c r="P560" s="9">
        <f t="shared" si="16"/>
        <v>0</v>
      </c>
      <c r="Q560" s="9">
        <v>1</v>
      </c>
      <c r="R560" s="10">
        <f t="shared" si="17"/>
        <v>0</v>
      </c>
    </row>
    <row r="561" spans="1:18" x14ac:dyDescent="0.3">
      <c r="A561" s="9">
        <v>15895</v>
      </c>
      <c r="B561" s="9" t="s">
        <v>40</v>
      </c>
      <c r="C561" s="9" t="s">
        <v>38</v>
      </c>
      <c r="D561" s="10">
        <v>60000</v>
      </c>
      <c r="E561" s="9" t="str" cm="1">
        <f t="array" ref="E561">_xlfn.IFS(D561&lt;= 60000, "Low Income",
D561&lt;=120000,"Medium Income",
D561&gt; 120000,"High Income"
)</f>
        <v>Low Income</v>
      </c>
      <c r="F561" s="9">
        <v>2</v>
      </c>
      <c r="G561" s="9" t="s">
        <v>15</v>
      </c>
      <c r="H561" s="9" t="s">
        <v>31</v>
      </c>
      <c r="I561" s="9" t="s">
        <v>17</v>
      </c>
      <c r="J561" s="9">
        <v>0</v>
      </c>
      <c r="K561" s="9" t="s">
        <v>41</v>
      </c>
      <c r="L561" s="9" t="s">
        <v>35</v>
      </c>
      <c r="M561" s="9">
        <v>58</v>
      </c>
      <c r="N561" s="9" t="str" cm="1">
        <f t="array" ref="N561">_xlfn.IFS(
M561&lt;=12,"Children",
M561&lt;=19,"Teens",
M561&lt;=29,"Young Adults",
M561&lt;=39,"Adults",
M561&lt;=59,"Middle-Aged",
M561&gt;=60,"Seniors"
)</f>
        <v>Middle-Aged</v>
      </c>
      <c r="O561" s="9" t="s">
        <v>20</v>
      </c>
      <c r="P561" s="9">
        <f t="shared" si="16"/>
        <v>0</v>
      </c>
      <c r="Q561" s="9">
        <v>1</v>
      </c>
      <c r="R561" s="10">
        <f t="shared" si="17"/>
        <v>0</v>
      </c>
    </row>
    <row r="562" spans="1:18" x14ac:dyDescent="0.3">
      <c r="A562" s="9">
        <v>18577</v>
      </c>
      <c r="B562" s="9" t="s">
        <v>37</v>
      </c>
      <c r="C562" s="9" t="s">
        <v>38</v>
      </c>
      <c r="D562" s="10">
        <v>60000</v>
      </c>
      <c r="E562" s="9" t="str" cm="1">
        <f t="array" ref="E562">_xlfn.IFS(D562&lt;= 60000, "Low Income",
D562&lt;=120000,"Medium Income",
D562&gt; 120000,"High Income"
)</f>
        <v>Low Income</v>
      </c>
      <c r="F562" s="9">
        <v>0</v>
      </c>
      <c r="G562" s="9" t="s">
        <v>34</v>
      </c>
      <c r="H562" s="9" t="s">
        <v>23</v>
      </c>
      <c r="I562" s="9" t="s">
        <v>17</v>
      </c>
      <c r="J562" s="9">
        <v>0</v>
      </c>
      <c r="K562" s="9" t="s">
        <v>18</v>
      </c>
      <c r="L562" s="9" t="s">
        <v>35</v>
      </c>
      <c r="M562" s="9">
        <v>40</v>
      </c>
      <c r="N562" s="9" t="str" cm="1">
        <f t="array" ref="N562">_xlfn.IFS(
M562&lt;=12,"Children",
M562&lt;=19,"Teens",
M562&lt;=29,"Young Adults",
M562&lt;=39,"Adults",
M562&lt;=59,"Middle-Aged",
M562&gt;=60,"Seniors"
)</f>
        <v>Middle-Aged</v>
      </c>
      <c r="O562" s="9" t="s">
        <v>20</v>
      </c>
      <c r="P562" s="9">
        <f t="shared" si="16"/>
        <v>0</v>
      </c>
      <c r="Q562" s="9">
        <v>1</v>
      </c>
      <c r="R562" s="10">
        <f t="shared" si="17"/>
        <v>0</v>
      </c>
    </row>
    <row r="563" spans="1:18" x14ac:dyDescent="0.3">
      <c r="A563" s="9">
        <v>27218</v>
      </c>
      <c r="B563" s="9" t="s">
        <v>37</v>
      </c>
      <c r="C563" s="9" t="s">
        <v>38</v>
      </c>
      <c r="D563" s="10">
        <v>20000</v>
      </c>
      <c r="E563" s="9" t="str" cm="1">
        <f t="array" ref="E563">_xlfn.IFS(D563&lt;= 60000, "Low Income",
D563&lt;=120000,"Medium Income",
D563&gt; 120000,"High Income"
)</f>
        <v>Low Income</v>
      </c>
      <c r="F563" s="9">
        <v>2</v>
      </c>
      <c r="G563" s="9" t="s">
        <v>32</v>
      </c>
      <c r="H563" s="9" t="s">
        <v>22</v>
      </c>
      <c r="I563" s="9" t="s">
        <v>20</v>
      </c>
      <c r="J563" s="9">
        <v>0</v>
      </c>
      <c r="K563" s="9" t="s">
        <v>18</v>
      </c>
      <c r="L563" s="9" t="s">
        <v>35</v>
      </c>
      <c r="M563" s="9">
        <v>48</v>
      </c>
      <c r="N563" s="9" t="str" cm="1">
        <f t="array" ref="N563">_xlfn.IFS(
M563&lt;=12,"Children",
M563&lt;=19,"Teens",
M563&lt;=29,"Young Adults",
M563&lt;=39,"Adults",
M563&lt;=59,"Middle-Aged",
M563&gt;=60,"Seniors"
)</f>
        <v>Middle-Aged</v>
      </c>
      <c r="O563" s="9" t="s">
        <v>20</v>
      </c>
      <c r="P563" s="9">
        <f t="shared" si="16"/>
        <v>0</v>
      </c>
      <c r="Q563" s="9">
        <v>1</v>
      </c>
      <c r="R563" s="10">
        <f t="shared" si="17"/>
        <v>0</v>
      </c>
    </row>
    <row r="564" spans="1:18" x14ac:dyDescent="0.3">
      <c r="A564" s="9">
        <v>18560</v>
      </c>
      <c r="B564" s="9" t="s">
        <v>37</v>
      </c>
      <c r="C564" s="9" t="s">
        <v>38</v>
      </c>
      <c r="D564" s="10">
        <v>70000</v>
      </c>
      <c r="E564" s="9" t="str" cm="1">
        <f t="array" ref="E564">_xlfn.IFS(D564&lt;= 60000, "Low Income",
D564&lt;=120000,"Medium Income",
D564&gt; 120000,"High Income"
)</f>
        <v>Medium Income</v>
      </c>
      <c r="F564" s="9">
        <v>2</v>
      </c>
      <c r="G564" s="9" t="s">
        <v>34</v>
      </c>
      <c r="H564" s="9" t="s">
        <v>23</v>
      </c>
      <c r="I564" s="9" t="s">
        <v>17</v>
      </c>
      <c r="J564" s="9">
        <v>0</v>
      </c>
      <c r="K564" s="9" t="s">
        <v>24</v>
      </c>
      <c r="L564" s="9" t="s">
        <v>35</v>
      </c>
      <c r="M564" s="9">
        <v>34</v>
      </c>
      <c r="N564" s="9" t="str" cm="1">
        <f t="array" ref="N564">_xlfn.IFS(
M564&lt;=12,"Children",
M564&lt;=19,"Teens",
M564&lt;=29,"Young Adults",
M564&lt;=39,"Adults",
M564&lt;=59,"Middle-Aged",
M564&gt;=60,"Seniors"
)</f>
        <v>Adults</v>
      </c>
      <c r="O564" s="9" t="s">
        <v>17</v>
      </c>
      <c r="P564" s="9">
        <f t="shared" si="16"/>
        <v>1</v>
      </c>
      <c r="Q564" s="9">
        <v>1</v>
      </c>
      <c r="R564" s="10">
        <f t="shared" si="17"/>
        <v>70000</v>
      </c>
    </row>
    <row r="565" spans="1:18" x14ac:dyDescent="0.3">
      <c r="A565" s="9">
        <v>25006</v>
      </c>
      <c r="B565" s="9" t="s">
        <v>40</v>
      </c>
      <c r="C565" s="9" t="s">
        <v>38</v>
      </c>
      <c r="D565" s="10">
        <v>30000</v>
      </c>
      <c r="E565" s="9" t="str" cm="1">
        <f t="array" ref="E565">_xlfn.IFS(D565&lt;= 60000, "Low Income",
D565&lt;=120000,"Medium Income",
D565&gt; 120000,"High Income"
)</f>
        <v>Low Income</v>
      </c>
      <c r="F565" s="9">
        <v>0</v>
      </c>
      <c r="G565" s="9" t="s">
        <v>21</v>
      </c>
      <c r="H565" s="9" t="s">
        <v>16</v>
      </c>
      <c r="I565" s="9" t="s">
        <v>17</v>
      </c>
      <c r="J565" s="9">
        <v>1</v>
      </c>
      <c r="K565" s="9" t="s">
        <v>26</v>
      </c>
      <c r="L565" s="9" t="s">
        <v>35</v>
      </c>
      <c r="M565" s="9">
        <v>28</v>
      </c>
      <c r="N565" s="9" t="str" cm="1">
        <f t="array" ref="N565">_xlfn.IFS(
M565&lt;=12,"Children",
M565&lt;=19,"Teens",
M565&lt;=29,"Young Adults",
M565&lt;=39,"Adults",
M565&lt;=59,"Middle-Aged",
M565&gt;=60,"Seniors"
)</f>
        <v>Young Adults</v>
      </c>
      <c r="O565" s="9" t="s">
        <v>20</v>
      </c>
      <c r="P565" s="9">
        <f t="shared" si="16"/>
        <v>0</v>
      </c>
      <c r="Q565" s="9">
        <v>1</v>
      </c>
      <c r="R565" s="10">
        <f t="shared" si="17"/>
        <v>0</v>
      </c>
    </row>
    <row r="566" spans="1:18" x14ac:dyDescent="0.3">
      <c r="A566" s="9">
        <v>17369</v>
      </c>
      <c r="B566" s="9" t="s">
        <v>40</v>
      </c>
      <c r="C566" s="9" t="s">
        <v>39</v>
      </c>
      <c r="D566" s="10">
        <v>30000</v>
      </c>
      <c r="E566" s="9" t="str" cm="1">
        <f t="array" ref="E566">_xlfn.IFS(D566&lt;= 60000, "Low Income",
D566&lt;=120000,"Medium Income",
D566&gt; 120000,"High Income"
)</f>
        <v>Low Income</v>
      </c>
      <c r="F566" s="9">
        <v>0</v>
      </c>
      <c r="G566" s="9" t="s">
        <v>21</v>
      </c>
      <c r="H566" s="9" t="s">
        <v>16</v>
      </c>
      <c r="I566" s="9" t="s">
        <v>17</v>
      </c>
      <c r="J566" s="9">
        <v>1</v>
      </c>
      <c r="K566" s="9" t="s">
        <v>26</v>
      </c>
      <c r="L566" s="9" t="s">
        <v>35</v>
      </c>
      <c r="M566" s="9">
        <v>27</v>
      </c>
      <c r="N566" s="9" t="str" cm="1">
        <f t="array" ref="N566">_xlfn.IFS(
M566&lt;=12,"Children",
M566&lt;=19,"Teens",
M566&lt;=29,"Young Adults",
M566&lt;=39,"Adults",
M566&lt;=59,"Middle-Aged",
M566&gt;=60,"Seniors"
)</f>
        <v>Young Adults</v>
      </c>
      <c r="O566" s="9" t="s">
        <v>20</v>
      </c>
      <c r="P566" s="9">
        <f t="shared" si="16"/>
        <v>0</v>
      </c>
      <c r="Q566" s="9">
        <v>1</v>
      </c>
      <c r="R566" s="10">
        <f t="shared" si="17"/>
        <v>0</v>
      </c>
    </row>
    <row r="567" spans="1:18" x14ac:dyDescent="0.3">
      <c r="A567" s="9">
        <v>14495</v>
      </c>
      <c r="B567" s="9" t="s">
        <v>37</v>
      </c>
      <c r="C567" s="9" t="s">
        <v>39</v>
      </c>
      <c r="D567" s="10">
        <v>40000</v>
      </c>
      <c r="E567" s="9" t="str" cm="1">
        <f t="array" ref="E567">_xlfn.IFS(D567&lt;= 60000, "Low Income",
D567&lt;=120000,"Medium Income",
D567&gt; 120000,"High Income"
)</f>
        <v>Low Income</v>
      </c>
      <c r="F567" s="9">
        <v>3</v>
      </c>
      <c r="G567" s="9" t="s">
        <v>21</v>
      </c>
      <c r="H567" s="9" t="s">
        <v>23</v>
      </c>
      <c r="I567" s="9" t="s">
        <v>20</v>
      </c>
      <c r="J567" s="9">
        <v>2</v>
      </c>
      <c r="K567" s="9" t="s">
        <v>26</v>
      </c>
      <c r="L567" s="9" t="s">
        <v>35</v>
      </c>
      <c r="M567" s="9">
        <v>54</v>
      </c>
      <c r="N567" s="9" t="str" cm="1">
        <f t="array" ref="N567">_xlfn.IFS(
M567&lt;=12,"Children",
M567&lt;=19,"Teens",
M567&lt;=29,"Young Adults",
M567&lt;=39,"Adults",
M567&lt;=59,"Middle-Aged",
M567&gt;=60,"Seniors"
)</f>
        <v>Middle-Aged</v>
      </c>
      <c r="O567" s="9" t="s">
        <v>17</v>
      </c>
      <c r="P567" s="9">
        <f t="shared" si="16"/>
        <v>1</v>
      </c>
      <c r="Q567" s="9">
        <v>1</v>
      </c>
      <c r="R567" s="10">
        <f t="shared" si="17"/>
        <v>40000</v>
      </c>
    </row>
    <row r="568" spans="1:18" x14ac:dyDescent="0.3">
      <c r="A568" s="9">
        <v>18847</v>
      </c>
      <c r="B568" s="9" t="s">
        <v>37</v>
      </c>
      <c r="C568" s="9" t="s">
        <v>38</v>
      </c>
      <c r="D568" s="10">
        <v>60000</v>
      </c>
      <c r="E568" s="9" t="str" cm="1">
        <f t="array" ref="E568">_xlfn.IFS(D568&lt;= 60000, "Low Income",
D568&lt;=120000,"Medium Income",
D568&gt; 120000,"High Income"
)</f>
        <v>Low Income</v>
      </c>
      <c r="F568" s="9">
        <v>2</v>
      </c>
      <c r="G568" s="9" t="s">
        <v>34</v>
      </c>
      <c r="H568" s="9" t="s">
        <v>31</v>
      </c>
      <c r="I568" s="9" t="s">
        <v>17</v>
      </c>
      <c r="J568" s="9">
        <v>2</v>
      </c>
      <c r="K568" s="9" t="s">
        <v>26</v>
      </c>
      <c r="L568" s="9" t="s">
        <v>35</v>
      </c>
      <c r="M568" s="9">
        <v>70</v>
      </c>
      <c r="N568" s="9" t="str" cm="1">
        <f t="array" ref="N568">_xlfn.IFS(
M568&lt;=12,"Children",
M568&lt;=19,"Teens",
M568&lt;=29,"Young Adults",
M568&lt;=39,"Adults",
M568&lt;=59,"Middle-Aged",
M568&gt;=60,"Seniors"
)</f>
        <v>Seniors</v>
      </c>
      <c r="O568" s="9" t="s">
        <v>20</v>
      </c>
      <c r="P568" s="9">
        <f t="shared" si="16"/>
        <v>0</v>
      </c>
      <c r="Q568" s="9">
        <v>1</v>
      </c>
      <c r="R568" s="10">
        <f t="shared" si="17"/>
        <v>0</v>
      </c>
    </row>
    <row r="569" spans="1:18" x14ac:dyDescent="0.3">
      <c r="A569" s="9">
        <v>14754</v>
      </c>
      <c r="B569" s="9" t="s">
        <v>37</v>
      </c>
      <c r="C569" s="9" t="s">
        <v>39</v>
      </c>
      <c r="D569" s="10">
        <v>40000</v>
      </c>
      <c r="E569" s="9" t="str" cm="1">
        <f t="array" ref="E569">_xlfn.IFS(D569&lt;= 60000, "Low Income",
D569&lt;=120000,"Medium Income",
D569&gt; 120000,"High Income"
)</f>
        <v>Low Income</v>
      </c>
      <c r="F569" s="9">
        <v>1</v>
      </c>
      <c r="G569" s="9" t="s">
        <v>21</v>
      </c>
      <c r="H569" s="9" t="s">
        <v>22</v>
      </c>
      <c r="I569" s="9" t="s">
        <v>17</v>
      </c>
      <c r="J569" s="9">
        <v>1</v>
      </c>
      <c r="K569" s="9" t="s">
        <v>29</v>
      </c>
      <c r="L569" s="9" t="s">
        <v>35</v>
      </c>
      <c r="M569" s="9">
        <v>48</v>
      </c>
      <c r="N569" s="9" t="str" cm="1">
        <f t="array" ref="N569">_xlfn.IFS(
M569&lt;=12,"Children",
M569&lt;=19,"Teens",
M569&lt;=29,"Young Adults",
M569&lt;=39,"Adults",
M569&lt;=59,"Middle-Aged",
M569&gt;=60,"Seniors"
)</f>
        <v>Middle-Aged</v>
      </c>
      <c r="O569" s="9" t="s">
        <v>17</v>
      </c>
      <c r="P569" s="9">
        <f t="shared" si="16"/>
        <v>1</v>
      </c>
      <c r="Q569" s="9">
        <v>1</v>
      </c>
      <c r="R569" s="10">
        <f t="shared" si="17"/>
        <v>40000</v>
      </c>
    </row>
    <row r="570" spans="1:18" x14ac:dyDescent="0.3">
      <c r="A570" s="9">
        <v>23378</v>
      </c>
      <c r="B570" s="9" t="s">
        <v>37</v>
      </c>
      <c r="C570" s="9" t="s">
        <v>39</v>
      </c>
      <c r="D570" s="10">
        <v>70000</v>
      </c>
      <c r="E570" s="9" t="str" cm="1">
        <f t="array" ref="E570">_xlfn.IFS(D570&lt;= 60000, "Low Income",
D570&lt;=120000,"Medium Income",
D570&gt; 120000,"High Income"
)</f>
        <v>Medium Income</v>
      </c>
      <c r="F570" s="9">
        <v>1</v>
      </c>
      <c r="G570" s="9" t="s">
        <v>21</v>
      </c>
      <c r="H570" s="9" t="s">
        <v>16</v>
      </c>
      <c r="I570" s="9" t="s">
        <v>17</v>
      </c>
      <c r="J570" s="9">
        <v>1</v>
      </c>
      <c r="K570" s="9" t="s">
        <v>24</v>
      </c>
      <c r="L570" s="9" t="s">
        <v>35</v>
      </c>
      <c r="M570" s="9">
        <v>44</v>
      </c>
      <c r="N570" s="9" t="str" cm="1">
        <f t="array" ref="N570">_xlfn.IFS(
M570&lt;=12,"Children",
M570&lt;=19,"Teens",
M570&lt;=29,"Young Adults",
M570&lt;=39,"Adults",
M570&lt;=59,"Middle-Aged",
M570&gt;=60,"Seniors"
)</f>
        <v>Middle-Aged</v>
      </c>
      <c r="O570" s="9" t="s">
        <v>17</v>
      </c>
      <c r="P570" s="9">
        <f t="shared" si="16"/>
        <v>1</v>
      </c>
      <c r="Q570" s="9">
        <v>1</v>
      </c>
      <c r="R570" s="10">
        <f t="shared" si="17"/>
        <v>70000</v>
      </c>
    </row>
    <row r="571" spans="1:18" x14ac:dyDescent="0.3">
      <c r="A571" s="9">
        <v>26452</v>
      </c>
      <c r="B571" s="9" t="s">
        <v>40</v>
      </c>
      <c r="C571" s="9" t="s">
        <v>39</v>
      </c>
      <c r="D571" s="10">
        <v>50000</v>
      </c>
      <c r="E571" s="9" t="str" cm="1">
        <f t="array" ref="E571">_xlfn.IFS(D571&lt;= 60000, "Low Income",
D571&lt;=120000,"Medium Income",
D571&gt; 120000,"High Income"
)</f>
        <v>Low Income</v>
      </c>
      <c r="F571" s="9">
        <v>3</v>
      </c>
      <c r="G571" s="9" t="s">
        <v>34</v>
      </c>
      <c r="H571" s="9" t="s">
        <v>31</v>
      </c>
      <c r="I571" s="9" t="s">
        <v>17</v>
      </c>
      <c r="J571" s="9">
        <v>2</v>
      </c>
      <c r="K571" s="9" t="s">
        <v>41</v>
      </c>
      <c r="L571" s="9" t="s">
        <v>35</v>
      </c>
      <c r="M571" s="9">
        <v>69</v>
      </c>
      <c r="N571" s="9" t="str" cm="1">
        <f t="array" ref="N571">_xlfn.IFS(
M571&lt;=12,"Children",
M571&lt;=19,"Teens",
M571&lt;=29,"Young Adults",
M571&lt;=39,"Adults",
M571&lt;=59,"Middle-Aged",
M571&gt;=60,"Seniors"
)</f>
        <v>Seniors</v>
      </c>
      <c r="O571" s="9" t="s">
        <v>20</v>
      </c>
      <c r="P571" s="9">
        <f t="shared" si="16"/>
        <v>0</v>
      </c>
      <c r="Q571" s="9">
        <v>1</v>
      </c>
      <c r="R571" s="10">
        <f t="shared" si="17"/>
        <v>0</v>
      </c>
    </row>
    <row r="572" spans="1:18" x14ac:dyDescent="0.3">
      <c r="A572" s="9">
        <v>20370</v>
      </c>
      <c r="B572" s="9" t="s">
        <v>37</v>
      </c>
      <c r="C572" s="9" t="s">
        <v>39</v>
      </c>
      <c r="D572" s="10">
        <v>70000</v>
      </c>
      <c r="E572" s="9" t="str" cm="1">
        <f t="array" ref="E572">_xlfn.IFS(D572&lt;= 60000, "Low Income",
D572&lt;=120000,"Medium Income",
D572&gt; 120000,"High Income"
)</f>
        <v>Medium Income</v>
      </c>
      <c r="F572" s="9">
        <v>3</v>
      </c>
      <c r="G572" s="9" t="s">
        <v>32</v>
      </c>
      <c r="H572" s="9" t="s">
        <v>16</v>
      </c>
      <c r="I572" s="9" t="s">
        <v>17</v>
      </c>
      <c r="J572" s="9">
        <v>2</v>
      </c>
      <c r="K572" s="9" t="s">
        <v>26</v>
      </c>
      <c r="L572" s="9" t="s">
        <v>35</v>
      </c>
      <c r="M572" s="9">
        <v>52</v>
      </c>
      <c r="N572" s="9" t="str" cm="1">
        <f t="array" ref="N572">_xlfn.IFS(
M572&lt;=12,"Children",
M572&lt;=19,"Teens",
M572&lt;=29,"Young Adults",
M572&lt;=39,"Adults",
M572&lt;=59,"Middle-Aged",
M572&gt;=60,"Seniors"
)</f>
        <v>Middle-Aged</v>
      </c>
      <c r="O572" s="9" t="s">
        <v>20</v>
      </c>
      <c r="P572" s="9">
        <f t="shared" si="16"/>
        <v>0</v>
      </c>
      <c r="Q572" s="9">
        <v>1</v>
      </c>
      <c r="R572" s="10">
        <f t="shared" si="17"/>
        <v>0</v>
      </c>
    </row>
    <row r="573" spans="1:18" x14ac:dyDescent="0.3">
      <c r="A573" s="9">
        <v>20528</v>
      </c>
      <c r="B573" s="9" t="s">
        <v>37</v>
      </c>
      <c r="C573" s="9" t="s">
        <v>39</v>
      </c>
      <c r="D573" s="10">
        <v>40000</v>
      </c>
      <c r="E573" s="9" t="str" cm="1">
        <f t="array" ref="E573">_xlfn.IFS(D573&lt;= 60000, "Low Income",
D573&lt;=120000,"Medium Income",
D573&gt; 120000,"High Income"
)</f>
        <v>Low Income</v>
      </c>
      <c r="F573" s="9">
        <v>2</v>
      </c>
      <c r="G573" s="9" t="s">
        <v>32</v>
      </c>
      <c r="H573" s="9" t="s">
        <v>16</v>
      </c>
      <c r="I573" s="9" t="s">
        <v>17</v>
      </c>
      <c r="J573" s="9">
        <v>2</v>
      </c>
      <c r="K573" s="9" t="s">
        <v>24</v>
      </c>
      <c r="L573" s="9" t="s">
        <v>35</v>
      </c>
      <c r="M573" s="9">
        <v>55</v>
      </c>
      <c r="N573" s="9" t="str" cm="1">
        <f t="array" ref="N573">_xlfn.IFS(
M573&lt;=12,"Children",
M573&lt;=19,"Teens",
M573&lt;=29,"Young Adults",
M573&lt;=39,"Adults",
M573&lt;=59,"Middle-Aged",
M573&gt;=60,"Seniors"
)</f>
        <v>Middle-Aged</v>
      </c>
      <c r="O573" s="9" t="s">
        <v>20</v>
      </c>
      <c r="P573" s="9">
        <f t="shared" si="16"/>
        <v>0</v>
      </c>
      <c r="Q573" s="9">
        <v>1</v>
      </c>
      <c r="R573" s="10">
        <f t="shared" si="17"/>
        <v>0</v>
      </c>
    </row>
    <row r="574" spans="1:18" x14ac:dyDescent="0.3">
      <c r="A574" s="9">
        <v>23549</v>
      </c>
      <c r="B574" s="9" t="s">
        <v>40</v>
      </c>
      <c r="C574" s="9" t="s">
        <v>39</v>
      </c>
      <c r="D574" s="10">
        <v>30000</v>
      </c>
      <c r="E574" s="9" t="str" cm="1">
        <f t="array" ref="E574">_xlfn.IFS(D574&lt;= 60000, "Low Income",
D574&lt;=120000,"Medium Income",
D574&gt; 120000,"High Income"
)</f>
        <v>Low Income</v>
      </c>
      <c r="F574" s="9">
        <v>0</v>
      </c>
      <c r="G574" s="9" t="s">
        <v>30</v>
      </c>
      <c r="H574" s="9" t="s">
        <v>16</v>
      </c>
      <c r="I574" s="9" t="s">
        <v>17</v>
      </c>
      <c r="J574" s="9">
        <v>2</v>
      </c>
      <c r="K574" s="9" t="s">
        <v>26</v>
      </c>
      <c r="L574" s="9" t="s">
        <v>35</v>
      </c>
      <c r="M574" s="9">
        <v>30</v>
      </c>
      <c r="N574" s="9" t="str" cm="1">
        <f t="array" ref="N574">_xlfn.IFS(
M574&lt;=12,"Children",
M574&lt;=19,"Teens",
M574&lt;=29,"Young Adults",
M574&lt;=39,"Adults",
M574&lt;=59,"Middle-Aged",
M574&gt;=60,"Seniors"
)</f>
        <v>Adults</v>
      </c>
      <c r="O574" s="9" t="s">
        <v>20</v>
      </c>
      <c r="P574" s="9">
        <f t="shared" si="16"/>
        <v>0</v>
      </c>
      <c r="Q574" s="9">
        <v>1</v>
      </c>
      <c r="R574" s="10">
        <f t="shared" si="17"/>
        <v>0</v>
      </c>
    </row>
    <row r="575" spans="1:18" x14ac:dyDescent="0.3">
      <c r="A575" s="9">
        <v>21751</v>
      </c>
      <c r="B575" s="9" t="s">
        <v>37</v>
      </c>
      <c r="C575" s="9" t="s">
        <v>39</v>
      </c>
      <c r="D575" s="10">
        <v>60000</v>
      </c>
      <c r="E575" s="9" t="str" cm="1">
        <f t="array" ref="E575">_xlfn.IFS(D575&lt;= 60000, "Low Income",
D575&lt;=120000,"Medium Income",
D575&gt; 120000,"High Income"
)</f>
        <v>Low Income</v>
      </c>
      <c r="F575" s="9">
        <v>3</v>
      </c>
      <c r="G575" s="9" t="s">
        <v>34</v>
      </c>
      <c r="H575" s="9" t="s">
        <v>31</v>
      </c>
      <c r="I575" s="9" t="s">
        <v>17</v>
      </c>
      <c r="J575" s="9">
        <v>2</v>
      </c>
      <c r="K575" s="9" t="s">
        <v>29</v>
      </c>
      <c r="L575" s="9" t="s">
        <v>35</v>
      </c>
      <c r="M575" s="9">
        <v>63</v>
      </c>
      <c r="N575" s="9" t="str" cm="1">
        <f t="array" ref="N575">_xlfn.IFS(
M575&lt;=12,"Children",
M575&lt;=19,"Teens",
M575&lt;=29,"Young Adults",
M575&lt;=39,"Adults",
M575&lt;=59,"Middle-Aged",
M575&gt;=60,"Seniors"
)</f>
        <v>Seniors</v>
      </c>
      <c r="O575" s="9" t="s">
        <v>20</v>
      </c>
      <c r="P575" s="9">
        <f t="shared" si="16"/>
        <v>0</v>
      </c>
      <c r="Q575" s="9">
        <v>1</v>
      </c>
      <c r="R575" s="10">
        <f t="shared" si="17"/>
        <v>0</v>
      </c>
    </row>
    <row r="576" spans="1:18" x14ac:dyDescent="0.3">
      <c r="A576" s="9">
        <v>21266</v>
      </c>
      <c r="B576" s="9" t="s">
        <v>40</v>
      </c>
      <c r="C576" s="9" t="s">
        <v>38</v>
      </c>
      <c r="D576" s="10">
        <v>80000</v>
      </c>
      <c r="E576" s="9" t="str" cm="1">
        <f t="array" ref="E576">_xlfn.IFS(D576&lt;= 60000, "Low Income",
D576&lt;=120000,"Medium Income",
D576&gt; 120000,"High Income"
)</f>
        <v>Medium Income</v>
      </c>
      <c r="F576" s="9">
        <v>0</v>
      </c>
      <c r="G576" s="9" t="s">
        <v>15</v>
      </c>
      <c r="H576" s="9" t="s">
        <v>31</v>
      </c>
      <c r="I576" s="9" t="s">
        <v>17</v>
      </c>
      <c r="J576" s="9">
        <v>1</v>
      </c>
      <c r="K576" s="9" t="s">
        <v>29</v>
      </c>
      <c r="L576" s="9" t="s">
        <v>35</v>
      </c>
      <c r="M576" s="9">
        <v>34</v>
      </c>
      <c r="N576" s="9" t="str" cm="1">
        <f t="array" ref="N576">_xlfn.IFS(
M576&lt;=12,"Children",
M576&lt;=19,"Teens",
M576&lt;=29,"Young Adults",
M576&lt;=39,"Adults",
M576&lt;=59,"Middle-Aged",
M576&gt;=60,"Seniors"
)</f>
        <v>Adults</v>
      </c>
      <c r="O576" s="9" t="s">
        <v>17</v>
      </c>
      <c r="P576" s="9">
        <f t="shared" si="16"/>
        <v>1</v>
      </c>
      <c r="Q576" s="9">
        <v>1</v>
      </c>
      <c r="R576" s="10">
        <f t="shared" si="17"/>
        <v>80000</v>
      </c>
    </row>
    <row r="577" spans="1:18" x14ac:dyDescent="0.3">
      <c r="A577" s="9">
        <v>13388</v>
      </c>
      <c r="B577" s="9" t="s">
        <v>40</v>
      </c>
      <c r="C577" s="9" t="s">
        <v>39</v>
      </c>
      <c r="D577" s="10">
        <v>60000</v>
      </c>
      <c r="E577" s="9" t="str" cm="1">
        <f t="array" ref="E577">_xlfn.IFS(D577&lt;= 60000, "Low Income",
D577&lt;=120000,"Medium Income",
D577&gt; 120000,"High Income"
)</f>
        <v>Low Income</v>
      </c>
      <c r="F577" s="9">
        <v>2</v>
      </c>
      <c r="G577" s="9" t="s">
        <v>21</v>
      </c>
      <c r="H577" s="9" t="s">
        <v>23</v>
      </c>
      <c r="I577" s="9" t="s">
        <v>17</v>
      </c>
      <c r="J577" s="9">
        <v>1</v>
      </c>
      <c r="K577" s="9" t="s">
        <v>41</v>
      </c>
      <c r="L577" s="9" t="s">
        <v>35</v>
      </c>
      <c r="M577" s="9">
        <v>56</v>
      </c>
      <c r="N577" s="9" t="str" cm="1">
        <f t="array" ref="N577">_xlfn.IFS(
M577&lt;=12,"Children",
M577&lt;=19,"Teens",
M577&lt;=29,"Young Adults",
M577&lt;=39,"Adults",
M577&lt;=59,"Middle-Aged",
M577&gt;=60,"Seniors"
)</f>
        <v>Middle-Aged</v>
      </c>
      <c r="O577" s="9" t="s">
        <v>20</v>
      </c>
      <c r="P577" s="9">
        <f t="shared" si="16"/>
        <v>0</v>
      </c>
      <c r="Q577" s="9">
        <v>1</v>
      </c>
      <c r="R577" s="10">
        <f t="shared" si="17"/>
        <v>0</v>
      </c>
    </row>
    <row r="578" spans="1:18" x14ac:dyDescent="0.3">
      <c r="A578" s="9">
        <v>18752</v>
      </c>
      <c r="B578" s="9" t="s">
        <v>40</v>
      </c>
      <c r="C578" s="9" t="s">
        <v>38</v>
      </c>
      <c r="D578" s="10">
        <v>40000</v>
      </c>
      <c r="E578" s="9" t="str" cm="1">
        <f t="array" ref="E578">_xlfn.IFS(D578&lt;= 60000, "Low Income",
D578&lt;=120000,"Medium Income",
D578&gt; 120000,"High Income"
)</f>
        <v>Low Income</v>
      </c>
      <c r="F578" s="9">
        <v>0</v>
      </c>
      <c r="G578" s="9" t="s">
        <v>30</v>
      </c>
      <c r="H578" s="9" t="s">
        <v>16</v>
      </c>
      <c r="I578" s="9" t="s">
        <v>17</v>
      </c>
      <c r="J578" s="9">
        <v>1</v>
      </c>
      <c r="K578" s="9" t="s">
        <v>26</v>
      </c>
      <c r="L578" s="9" t="s">
        <v>35</v>
      </c>
      <c r="M578" s="9">
        <v>31</v>
      </c>
      <c r="N578" s="9" t="str" cm="1">
        <f t="array" ref="N578">_xlfn.IFS(
M578&lt;=12,"Children",
M578&lt;=19,"Teens",
M578&lt;=29,"Young Adults",
M578&lt;=39,"Adults",
M578&lt;=59,"Middle-Aged",
M578&gt;=60,"Seniors"
)</f>
        <v>Adults</v>
      </c>
      <c r="O578" s="9" t="s">
        <v>20</v>
      </c>
      <c r="P578" s="9">
        <f t="shared" si="16"/>
        <v>0</v>
      </c>
      <c r="Q578" s="9">
        <v>1</v>
      </c>
      <c r="R578" s="10">
        <f t="shared" si="17"/>
        <v>0</v>
      </c>
    </row>
    <row r="579" spans="1:18" x14ac:dyDescent="0.3">
      <c r="A579" s="9">
        <v>16917</v>
      </c>
      <c r="B579" s="9" t="s">
        <v>37</v>
      </c>
      <c r="C579" s="9" t="s">
        <v>39</v>
      </c>
      <c r="D579" s="10">
        <v>120000</v>
      </c>
      <c r="E579" s="9" t="str" cm="1">
        <f t="array" ref="E579">_xlfn.IFS(D579&lt;= 60000, "Low Income",
D579&lt;=120000,"Medium Income",
D579&gt; 120000,"High Income"
)</f>
        <v>Medium Income</v>
      </c>
      <c r="F579" s="9">
        <v>1</v>
      </c>
      <c r="G579" s="9" t="s">
        <v>15</v>
      </c>
      <c r="H579" s="9" t="s">
        <v>31</v>
      </c>
      <c r="I579" s="9" t="s">
        <v>17</v>
      </c>
      <c r="J579" s="9">
        <v>4</v>
      </c>
      <c r="K579" s="9" t="s">
        <v>18</v>
      </c>
      <c r="L579" s="9" t="s">
        <v>35</v>
      </c>
      <c r="M579" s="9">
        <v>38</v>
      </c>
      <c r="N579" s="9" t="str" cm="1">
        <f t="array" ref="N579">_xlfn.IFS(
M579&lt;=12,"Children",
M579&lt;=19,"Teens",
M579&lt;=29,"Young Adults",
M579&lt;=39,"Adults",
M579&lt;=59,"Middle-Aged",
M579&gt;=60,"Seniors"
)</f>
        <v>Adults</v>
      </c>
      <c r="O579" s="9" t="s">
        <v>20</v>
      </c>
      <c r="P579" s="9">
        <f t="shared" ref="P579:P642" si="18">IF(O579="No", 0, 1)</f>
        <v>0</v>
      </c>
      <c r="Q579" s="9">
        <v>1</v>
      </c>
      <c r="R579" s="10">
        <f t="shared" ref="R579:R642" si="19">IF(P579=1, D579, 0)</f>
        <v>0</v>
      </c>
    </row>
    <row r="580" spans="1:18" x14ac:dyDescent="0.3">
      <c r="A580" s="9">
        <v>15313</v>
      </c>
      <c r="B580" s="9" t="s">
        <v>37</v>
      </c>
      <c r="C580" s="9" t="s">
        <v>39</v>
      </c>
      <c r="D580" s="10">
        <v>60000</v>
      </c>
      <c r="E580" s="9" t="str" cm="1">
        <f t="array" ref="E580">_xlfn.IFS(D580&lt;= 60000, "Low Income",
D580&lt;=120000,"Medium Income",
D580&gt; 120000,"High Income"
)</f>
        <v>Low Income</v>
      </c>
      <c r="F580" s="9">
        <v>4</v>
      </c>
      <c r="G580" s="9" t="s">
        <v>15</v>
      </c>
      <c r="H580" s="9" t="s">
        <v>31</v>
      </c>
      <c r="I580" s="9" t="s">
        <v>17</v>
      </c>
      <c r="J580" s="9">
        <v>2</v>
      </c>
      <c r="K580" s="9" t="s">
        <v>24</v>
      </c>
      <c r="L580" s="9" t="s">
        <v>35</v>
      </c>
      <c r="M580" s="9">
        <v>59</v>
      </c>
      <c r="N580" s="9" t="str" cm="1">
        <f t="array" ref="N580">_xlfn.IFS(
M580&lt;=12,"Children",
M580&lt;=19,"Teens",
M580&lt;=29,"Young Adults",
M580&lt;=39,"Adults",
M580&lt;=59,"Middle-Aged",
M580&gt;=60,"Seniors"
)</f>
        <v>Middle-Aged</v>
      </c>
      <c r="O580" s="9" t="s">
        <v>20</v>
      </c>
      <c r="P580" s="9">
        <f t="shared" si="18"/>
        <v>0</v>
      </c>
      <c r="Q580" s="9">
        <v>1</v>
      </c>
      <c r="R580" s="10">
        <f t="shared" si="19"/>
        <v>0</v>
      </c>
    </row>
    <row r="581" spans="1:18" x14ac:dyDescent="0.3">
      <c r="A581" s="9">
        <v>25329</v>
      </c>
      <c r="B581" s="9" t="s">
        <v>40</v>
      </c>
      <c r="C581" s="9" t="s">
        <v>38</v>
      </c>
      <c r="D581" s="10">
        <v>40000</v>
      </c>
      <c r="E581" s="9" t="str" cm="1">
        <f t="array" ref="E581">_xlfn.IFS(D581&lt;= 60000, "Low Income",
D581&lt;=120000,"Medium Income",
D581&gt; 120000,"High Income"
)</f>
        <v>Low Income</v>
      </c>
      <c r="F581" s="9">
        <v>3</v>
      </c>
      <c r="G581" s="9" t="s">
        <v>21</v>
      </c>
      <c r="H581" s="9" t="s">
        <v>22</v>
      </c>
      <c r="I581" s="9" t="s">
        <v>20</v>
      </c>
      <c r="J581" s="9">
        <v>2</v>
      </c>
      <c r="K581" s="9" t="s">
        <v>18</v>
      </c>
      <c r="L581" s="9" t="s">
        <v>35</v>
      </c>
      <c r="M581" s="9">
        <v>32</v>
      </c>
      <c r="N581" s="9" t="str" cm="1">
        <f t="array" ref="N581">_xlfn.IFS(
M581&lt;=12,"Children",
M581&lt;=19,"Teens",
M581&lt;=29,"Young Adults",
M581&lt;=39,"Adults",
M581&lt;=59,"Middle-Aged",
M581&gt;=60,"Seniors"
)</f>
        <v>Adults</v>
      </c>
      <c r="O581" s="9" t="s">
        <v>20</v>
      </c>
      <c r="P581" s="9">
        <f t="shared" si="18"/>
        <v>0</v>
      </c>
      <c r="Q581" s="9">
        <v>1</v>
      </c>
      <c r="R581" s="10">
        <f t="shared" si="19"/>
        <v>0</v>
      </c>
    </row>
    <row r="582" spans="1:18" x14ac:dyDescent="0.3">
      <c r="A582" s="9">
        <v>20380</v>
      </c>
      <c r="B582" s="9" t="s">
        <v>37</v>
      </c>
      <c r="C582" s="9" t="s">
        <v>38</v>
      </c>
      <c r="D582" s="10">
        <v>60000</v>
      </c>
      <c r="E582" s="9" t="str" cm="1">
        <f t="array" ref="E582">_xlfn.IFS(D582&lt;= 60000, "Low Income",
D582&lt;=120000,"Medium Income",
D582&gt; 120000,"High Income"
)</f>
        <v>Low Income</v>
      </c>
      <c r="F582" s="9">
        <v>3</v>
      </c>
      <c r="G582" s="9" t="s">
        <v>34</v>
      </c>
      <c r="H582" s="9" t="s">
        <v>31</v>
      </c>
      <c r="I582" s="9" t="s">
        <v>17</v>
      </c>
      <c r="J582" s="9">
        <v>2</v>
      </c>
      <c r="K582" s="9" t="s">
        <v>41</v>
      </c>
      <c r="L582" s="9" t="s">
        <v>35</v>
      </c>
      <c r="M582" s="9">
        <v>69</v>
      </c>
      <c r="N582" s="9" t="str" cm="1">
        <f t="array" ref="N582">_xlfn.IFS(
M582&lt;=12,"Children",
M582&lt;=19,"Teens",
M582&lt;=29,"Young Adults",
M582&lt;=39,"Adults",
M582&lt;=59,"Middle-Aged",
M582&gt;=60,"Seniors"
)</f>
        <v>Seniors</v>
      </c>
      <c r="O582" s="9" t="s">
        <v>20</v>
      </c>
      <c r="P582" s="9">
        <f t="shared" si="18"/>
        <v>0</v>
      </c>
      <c r="Q582" s="9">
        <v>1</v>
      </c>
      <c r="R582" s="10">
        <f t="shared" si="19"/>
        <v>0</v>
      </c>
    </row>
    <row r="583" spans="1:18" x14ac:dyDescent="0.3">
      <c r="A583" s="9">
        <v>23089</v>
      </c>
      <c r="B583" s="9" t="s">
        <v>37</v>
      </c>
      <c r="C583" s="9" t="s">
        <v>39</v>
      </c>
      <c r="D583" s="10">
        <v>40000</v>
      </c>
      <c r="E583" s="9" t="str" cm="1">
        <f t="array" ref="E583">_xlfn.IFS(D583&lt;= 60000, "Low Income",
D583&lt;=120000,"Medium Income",
D583&gt; 120000,"High Income"
)</f>
        <v>Low Income</v>
      </c>
      <c r="F583" s="9">
        <v>0</v>
      </c>
      <c r="G583" s="9" t="s">
        <v>21</v>
      </c>
      <c r="H583" s="9" t="s">
        <v>16</v>
      </c>
      <c r="I583" s="9" t="s">
        <v>17</v>
      </c>
      <c r="J583" s="9">
        <v>1</v>
      </c>
      <c r="K583" s="9" t="s">
        <v>26</v>
      </c>
      <c r="L583" s="9" t="s">
        <v>35</v>
      </c>
      <c r="M583" s="9">
        <v>28</v>
      </c>
      <c r="N583" s="9" t="str" cm="1">
        <f t="array" ref="N583">_xlfn.IFS(
M583&lt;=12,"Children",
M583&lt;=19,"Teens",
M583&lt;=29,"Young Adults",
M583&lt;=39,"Adults",
M583&lt;=59,"Middle-Aged",
M583&gt;=60,"Seniors"
)</f>
        <v>Young Adults</v>
      </c>
      <c r="O583" s="9" t="s">
        <v>20</v>
      </c>
      <c r="P583" s="9">
        <f t="shared" si="18"/>
        <v>0</v>
      </c>
      <c r="Q583" s="9">
        <v>1</v>
      </c>
      <c r="R583" s="10">
        <f t="shared" si="19"/>
        <v>0</v>
      </c>
    </row>
    <row r="584" spans="1:18" x14ac:dyDescent="0.3">
      <c r="A584" s="9">
        <v>13749</v>
      </c>
      <c r="B584" s="9" t="s">
        <v>37</v>
      </c>
      <c r="C584" s="9" t="s">
        <v>39</v>
      </c>
      <c r="D584" s="10">
        <v>80000</v>
      </c>
      <c r="E584" s="9" t="str" cm="1">
        <f t="array" ref="E584">_xlfn.IFS(D584&lt;= 60000, "Low Income",
D584&lt;=120000,"Medium Income",
D584&gt; 120000,"High Income"
)</f>
        <v>Medium Income</v>
      </c>
      <c r="F584" s="9">
        <v>4</v>
      </c>
      <c r="G584" s="9" t="s">
        <v>34</v>
      </c>
      <c r="H584" s="9" t="s">
        <v>16</v>
      </c>
      <c r="I584" s="9" t="s">
        <v>17</v>
      </c>
      <c r="J584" s="9">
        <v>0</v>
      </c>
      <c r="K584" s="9" t="s">
        <v>29</v>
      </c>
      <c r="L584" s="9" t="s">
        <v>35</v>
      </c>
      <c r="M584" s="9">
        <v>47</v>
      </c>
      <c r="N584" s="9" t="str" cm="1">
        <f t="array" ref="N584">_xlfn.IFS(
M584&lt;=12,"Children",
M584&lt;=19,"Teens",
M584&lt;=29,"Young Adults",
M584&lt;=39,"Adults",
M584&lt;=59,"Middle-Aged",
M584&gt;=60,"Seniors"
)</f>
        <v>Middle-Aged</v>
      </c>
      <c r="O584" s="9" t="s">
        <v>20</v>
      </c>
      <c r="P584" s="9">
        <f t="shared" si="18"/>
        <v>0</v>
      </c>
      <c r="Q584" s="9">
        <v>1</v>
      </c>
      <c r="R584" s="10">
        <f t="shared" si="19"/>
        <v>0</v>
      </c>
    </row>
    <row r="585" spans="1:18" x14ac:dyDescent="0.3">
      <c r="A585" s="9">
        <v>24943</v>
      </c>
      <c r="B585" s="9" t="s">
        <v>37</v>
      </c>
      <c r="C585" s="9" t="s">
        <v>39</v>
      </c>
      <c r="D585" s="10">
        <v>60000</v>
      </c>
      <c r="E585" s="9" t="str" cm="1">
        <f t="array" ref="E585">_xlfn.IFS(D585&lt;= 60000, "Low Income",
D585&lt;=120000,"Medium Income",
D585&gt; 120000,"High Income"
)</f>
        <v>Low Income</v>
      </c>
      <c r="F585" s="9">
        <v>3</v>
      </c>
      <c r="G585" s="9" t="s">
        <v>15</v>
      </c>
      <c r="H585" s="9" t="s">
        <v>31</v>
      </c>
      <c r="I585" s="9" t="s">
        <v>17</v>
      </c>
      <c r="J585" s="9">
        <v>2</v>
      </c>
      <c r="K585" s="9" t="s">
        <v>41</v>
      </c>
      <c r="L585" s="9" t="s">
        <v>35</v>
      </c>
      <c r="M585" s="9">
        <v>66</v>
      </c>
      <c r="N585" s="9" t="str" cm="1">
        <f t="array" ref="N585">_xlfn.IFS(
M585&lt;=12,"Children",
M585&lt;=19,"Teens",
M585&lt;=29,"Young Adults",
M585&lt;=39,"Adults",
M585&lt;=59,"Middle-Aged",
M585&gt;=60,"Seniors"
)</f>
        <v>Seniors</v>
      </c>
      <c r="O585" s="9" t="s">
        <v>20</v>
      </c>
      <c r="P585" s="9">
        <f t="shared" si="18"/>
        <v>0</v>
      </c>
      <c r="Q585" s="9">
        <v>1</v>
      </c>
      <c r="R585" s="10">
        <f t="shared" si="19"/>
        <v>0</v>
      </c>
    </row>
    <row r="586" spans="1:18" x14ac:dyDescent="0.3">
      <c r="A586" s="9">
        <v>28667</v>
      </c>
      <c r="B586" s="9" t="s">
        <v>40</v>
      </c>
      <c r="C586" s="9" t="s">
        <v>39</v>
      </c>
      <c r="D586" s="10">
        <v>70000</v>
      </c>
      <c r="E586" s="9" t="str" cm="1">
        <f t="array" ref="E586">_xlfn.IFS(D586&lt;= 60000, "Low Income",
D586&lt;=120000,"Medium Income",
D586&gt; 120000,"High Income"
)</f>
        <v>Medium Income</v>
      </c>
      <c r="F586" s="9">
        <v>2</v>
      </c>
      <c r="G586" s="9" t="s">
        <v>15</v>
      </c>
      <c r="H586" s="9" t="s">
        <v>16</v>
      </c>
      <c r="I586" s="9" t="s">
        <v>20</v>
      </c>
      <c r="J586" s="9">
        <v>1</v>
      </c>
      <c r="K586" s="9" t="s">
        <v>18</v>
      </c>
      <c r="L586" s="9" t="s">
        <v>35</v>
      </c>
      <c r="M586" s="9">
        <v>37</v>
      </c>
      <c r="N586" s="9" t="str" cm="1">
        <f t="array" ref="N586">_xlfn.IFS(
M586&lt;=12,"Children",
M586&lt;=19,"Teens",
M586&lt;=29,"Young Adults",
M586&lt;=39,"Adults",
M586&lt;=59,"Middle-Aged",
M586&gt;=60,"Seniors"
)</f>
        <v>Adults</v>
      </c>
      <c r="O586" s="9" t="s">
        <v>17</v>
      </c>
      <c r="P586" s="9">
        <f t="shared" si="18"/>
        <v>1</v>
      </c>
      <c r="Q586" s="9">
        <v>1</v>
      </c>
      <c r="R586" s="10">
        <f t="shared" si="19"/>
        <v>70000</v>
      </c>
    </row>
    <row r="587" spans="1:18" x14ac:dyDescent="0.3">
      <c r="A587" s="9">
        <v>15194</v>
      </c>
      <c r="B587" s="9" t="s">
        <v>40</v>
      </c>
      <c r="C587" s="9" t="s">
        <v>39</v>
      </c>
      <c r="D587" s="10">
        <v>120000</v>
      </c>
      <c r="E587" s="9" t="str" cm="1">
        <f t="array" ref="E587">_xlfn.IFS(D587&lt;= 60000, "Low Income",
D587&lt;=120000,"Medium Income",
D587&gt; 120000,"High Income"
)</f>
        <v>Medium Income</v>
      </c>
      <c r="F587" s="9">
        <v>2</v>
      </c>
      <c r="G587" s="9" t="s">
        <v>15</v>
      </c>
      <c r="H587" s="9" t="s">
        <v>31</v>
      </c>
      <c r="I587" s="9" t="s">
        <v>20</v>
      </c>
      <c r="J587" s="9">
        <v>3</v>
      </c>
      <c r="K587" s="9" t="s">
        <v>18</v>
      </c>
      <c r="L587" s="9" t="s">
        <v>35</v>
      </c>
      <c r="M587" s="9">
        <v>39</v>
      </c>
      <c r="N587" s="9" t="str" cm="1">
        <f t="array" ref="N587">_xlfn.IFS(
M587&lt;=12,"Children",
M587&lt;=19,"Teens",
M587&lt;=29,"Young Adults",
M587&lt;=39,"Adults",
M587&lt;=59,"Middle-Aged",
M587&gt;=60,"Seniors"
)</f>
        <v>Adults</v>
      </c>
      <c r="O587" s="9" t="s">
        <v>17</v>
      </c>
      <c r="P587" s="9">
        <f t="shared" si="18"/>
        <v>1</v>
      </c>
      <c r="Q587" s="9">
        <v>1</v>
      </c>
      <c r="R587" s="10">
        <f t="shared" si="19"/>
        <v>120000</v>
      </c>
    </row>
    <row r="588" spans="1:18" x14ac:dyDescent="0.3">
      <c r="A588" s="9">
        <v>17436</v>
      </c>
      <c r="B588" s="9" t="s">
        <v>37</v>
      </c>
      <c r="C588" s="9" t="s">
        <v>39</v>
      </c>
      <c r="D588" s="10">
        <v>60000</v>
      </c>
      <c r="E588" s="9" t="str" cm="1">
        <f t="array" ref="E588">_xlfn.IFS(D588&lt;= 60000, "Low Income",
D588&lt;=120000,"Medium Income",
D588&gt; 120000,"High Income"
)</f>
        <v>Low Income</v>
      </c>
      <c r="F588" s="9">
        <v>2</v>
      </c>
      <c r="G588" s="9" t="s">
        <v>30</v>
      </c>
      <c r="H588" s="9" t="s">
        <v>23</v>
      </c>
      <c r="I588" s="9" t="s">
        <v>20</v>
      </c>
      <c r="J588" s="9">
        <v>2</v>
      </c>
      <c r="K588" s="9" t="s">
        <v>29</v>
      </c>
      <c r="L588" s="9" t="s">
        <v>35</v>
      </c>
      <c r="M588" s="9">
        <v>51</v>
      </c>
      <c r="N588" s="9" t="str" cm="1">
        <f t="array" ref="N588">_xlfn.IFS(
M588&lt;=12,"Children",
M588&lt;=19,"Teens",
M588&lt;=29,"Young Adults",
M588&lt;=39,"Adults",
M588&lt;=59,"Middle-Aged",
M588&gt;=60,"Seniors"
)</f>
        <v>Middle-Aged</v>
      </c>
      <c r="O588" s="9" t="s">
        <v>20</v>
      </c>
      <c r="P588" s="9">
        <f t="shared" si="18"/>
        <v>0</v>
      </c>
      <c r="Q588" s="9">
        <v>1</v>
      </c>
      <c r="R588" s="10">
        <f t="shared" si="19"/>
        <v>0</v>
      </c>
    </row>
    <row r="589" spans="1:18" x14ac:dyDescent="0.3">
      <c r="A589" s="9">
        <v>18935</v>
      </c>
      <c r="B589" s="9" t="s">
        <v>37</v>
      </c>
      <c r="C589" s="9" t="s">
        <v>38</v>
      </c>
      <c r="D589" s="10">
        <v>130000</v>
      </c>
      <c r="E589" s="9" t="str" cm="1">
        <f t="array" ref="E589">_xlfn.IFS(D589&lt;= 60000, "Low Income",
D589&lt;=120000,"Medium Income",
D589&gt; 120000,"High Income"
)</f>
        <v>High Income</v>
      </c>
      <c r="F589" s="9">
        <v>0</v>
      </c>
      <c r="G589" s="9" t="s">
        <v>34</v>
      </c>
      <c r="H589" s="9" t="s">
        <v>31</v>
      </c>
      <c r="I589" s="9" t="s">
        <v>17</v>
      </c>
      <c r="J589" s="9">
        <v>3</v>
      </c>
      <c r="K589" s="9" t="s">
        <v>29</v>
      </c>
      <c r="L589" s="9" t="s">
        <v>35</v>
      </c>
      <c r="M589" s="9">
        <v>40</v>
      </c>
      <c r="N589" s="9" t="str" cm="1">
        <f t="array" ref="N589">_xlfn.IFS(
M589&lt;=12,"Children",
M589&lt;=19,"Teens",
M589&lt;=29,"Young Adults",
M589&lt;=39,"Adults",
M589&lt;=59,"Middle-Aged",
M589&gt;=60,"Seniors"
)</f>
        <v>Middle-Aged</v>
      </c>
      <c r="O589" s="9" t="s">
        <v>20</v>
      </c>
      <c r="P589" s="9">
        <f t="shared" si="18"/>
        <v>0</v>
      </c>
      <c r="Q589" s="9">
        <v>1</v>
      </c>
      <c r="R589" s="10">
        <f t="shared" si="19"/>
        <v>0</v>
      </c>
    </row>
    <row r="590" spans="1:18" x14ac:dyDescent="0.3">
      <c r="A590" s="9">
        <v>16871</v>
      </c>
      <c r="B590" s="9" t="s">
        <v>37</v>
      </c>
      <c r="C590" s="9" t="s">
        <v>38</v>
      </c>
      <c r="D590" s="10">
        <v>90000</v>
      </c>
      <c r="E590" s="9" t="str" cm="1">
        <f t="array" ref="E590">_xlfn.IFS(D590&lt;= 60000, "Low Income",
D590&lt;=120000,"Medium Income",
D590&gt; 120000,"High Income"
)</f>
        <v>Medium Income</v>
      </c>
      <c r="F590" s="9">
        <v>2</v>
      </c>
      <c r="G590" s="9" t="s">
        <v>30</v>
      </c>
      <c r="H590" s="9" t="s">
        <v>23</v>
      </c>
      <c r="I590" s="9" t="s">
        <v>17</v>
      </c>
      <c r="J590" s="9">
        <v>1</v>
      </c>
      <c r="K590" s="9" t="s">
        <v>41</v>
      </c>
      <c r="L590" s="9" t="s">
        <v>35</v>
      </c>
      <c r="M590" s="9">
        <v>51</v>
      </c>
      <c r="N590" s="9" t="str" cm="1">
        <f t="array" ref="N590">_xlfn.IFS(
M590&lt;=12,"Children",
M590&lt;=19,"Teens",
M590&lt;=29,"Young Adults",
M590&lt;=39,"Adults",
M590&lt;=59,"Middle-Aged",
M590&gt;=60,"Seniors"
)</f>
        <v>Middle-Aged</v>
      </c>
      <c r="O590" s="9" t="s">
        <v>17</v>
      </c>
      <c r="P590" s="9">
        <f t="shared" si="18"/>
        <v>1</v>
      </c>
      <c r="Q590" s="9">
        <v>1</v>
      </c>
      <c r="R590" s="10">
        <f t="shared" si="19"/>
        <v>90000</v>
      </c>
    </row>
    <row r="591" spans="1:18" x14ac:dyDescent="0.3">
      <c r="A591" s="9">
        <v>12100</v>
      </c>
      <c r="B591" s="9" t="s">
        <v>40</v>
      </c>
      <c r="C591" s="9" t="s">
        <v>39</v>
      </c>
      <c r="D591" s="10">
        <v>60000</v>
      </c>
      <c r="E591" s="9" t="str" cm="1">
        <f t="array" ref="E591">_xlfn.IFS(D591&lt;= 60000, "Low Income",
D591&lt;=120000,"Medium Income",
D591&gt; 120000,"High Income"
)</f>
        <v>Low Income</v>
      </c>
      <c r="F591" s="9">
        <v>2</v>
      </c>
      <c r="G591" s="9" t="s">
        <v>15</v>
      </c>
      <c r="H591" s="9" t="s">
        <v>31</v>
      </c>
      <c r="I591" s="9" t="s">
        <v>17</v>
      </c>
      <c r="J591" s="9">
        <v>0</v>
      </c>
      <c r="K591" s="9" t="s">
        <v>41</v>
      </c>
      <c r="L591" s="9" t="s">
        <v>35</v>
      </c>
      <c r="M591" s="9">
        <v>57</v>
      </c>
      <c r="N591" s="9" t="str" cm="1">
        <f t="array" ref="N591">_xlfn.IFS(
M591&lt;=12,"Children",
M591&lt;=19,"Teens",
M591&lt;=29,"Young Adults",
M591&lt;=39,"Adults",
M591&lt;=59,"Middle-Aged",
M591&gt;=60,"Seniors"
)</f>
        <v>Middle-Aged</v>
      </c>
      <c r="O591" s="9" t="s">
        <v>20</v>
      </c>
      <c r="P591" s="9">
        <f t="shared" si="18"/>
        <v>0</v>
      </c>
      <c r="Q591" s="9">
        <v>1</v>
      </c>
      <c r="R591" s="10">
        <f t="shared" si="19"/>
        <v>0</v>
      </c>
    </row>
    <row r="592" spans="1:18" x14ac:dyDescent="0.3">
      <c r="A592" s="9">
        <v>23158</v>
      </c>
      <c r="B592" s="9" t="s">
        <v>37</v>
      </c>
      <c r="C592" s="9" t="s">
        <v>38</v>
      </c>
      <c r="D592" s="10">
        <v>60000</v>
      </c>
      <c r="E592" s="9" t="str" cm="1">
        <f t="array" ref="E592">_xlfn.IFS(D592&lt;= 60000, "Low Income",
D592&lt;=120000,"Medium Income",
D592&gt; 120000,"High Income"
)</f>
        <v>Low Income</v>
      </c>
      <c r="F592" s="9">
        <v>1</v>
      </c>
      <c r="G592" s="9" t="s">
        <v>34</v>
      </c>
      <c r="H592" s="9" t="s">
        <v>23</v>
      </c>
      <c r="I592" s="9" t="s">
        <v>20</v>
      </c>
      <c r="J592" s="9">
        <v>0</v>
      </c>
      <c r="K592" s="9" t="s">
        <v>18</v>
      </c>
      <c r="L592" s="9" t="s">
        <v>35</v>
      </c>
      <c r="M592" s="9">
        <v>35</v>
      </c>
      <c r="N592" s="9" t="str" cm="1">
        <f t="array" ref="N592">_xlfn.IFS(
M592&lt;=12,"Children",
M592&lt;=19,"Teens",
M592&lt;=29,"Young Adults",
M592&lt;=39,"Adults",
M592&lt;=59,"Middle-Aged",
M592&gt;=60,"Seniors"
)</f>
        <v>Adults</v>
      </c>
      <c r="O592" s="9" t="s">
        <v>17</v>
      </c>
      <c r="P592" s="9">
        <f t="shared" si="18"/>
        <v>1</v>
      </c>
      <c r="Q592" s="9">
        <v>1</v>
      </c>
      <c r="R592" s="10">
        <f t="shared" si="19"/>
        <v>60000</v>
      </c>
    </row>
    <row r="593" spans="1:18" x14ac:dyDescent="0.3">
      <c r="A593" s="9">
        <v>18545</v>
      </c>
      <c r="B593" s="9" t="s">
        <v>37</v>
      </c>
      <c r="C593" s="9" t="s">
        <v>39</v>
      </c>
      <c r="D593" s="10">
        <v>40000</v>
      </c>
      <c r="E593" s="9" t="str" cm="1">
        <f t="array" ref="E593">_xlfn.IFS(D593&lt;= 60000, "Low Income",
D593&lt;=120000,"Medium Income",
D593&gt; 120000,"High Income"
)</f>
        <v>Low Income</v>
      </c>
      <c r="F593" s="9">
        <v>4</v>
      </c>
      <c r="G593" s="9" t="s">
        <v>30</v>
      </c>
      <c r="H593" s="9" t="s">
        <v>23</v>
      </c>
      <c r="I593" s="9" t="s">
        <v>20</v>
      </c>
      <c r="J593" s="9">
        <v>2</v>
      </c>
      <c r="K593" s="9" t="s">
        <v>41</v>
      </c>
      <c r="L593" s="9" t="s">
        <v>35</v>
      </c>
      <c r="M593" s="9">
        <v>61</v>
      </c>
      <c r="N593" s="9" t="str" cm="1">
        <f t="array" ref="N593">_xlfn.IFS(
M593&lt;=12,"Children",
M593&lt;=19,"Teens",
M593&lt;=29,"Young Adults",
M593&lt;=39,"Adults",
M593&lt;=59,"Middle-Aged",
M593&gt;=60,"Seniors"
)</f>
        <v>Seniors</v>
      </c>
      <c r="O593" s="9" t="s">
        <v>17</v>
      </c>
      <c r="P593" s="9">
        <f t="shared" si="18"/>
        <v>1</v>
      </c>
      <c r="Q593" s="9">
        <v>1</v>
      </c>
      <c r="R593" s="10">
        <f t="shared" si="19"/>
        <v>40000</v>
      </c>
    </row>
    <row r="594" spans="1:18" x14ac:dyDescent="0.3">
      <c r="A594" s="9">
        <v>18391</v>
      </c>
      <c r="B594" s="9" t="s">
        <v>40</v>
      </c>
      <c r="C594" s="9" t="s">
        <v>38</v>
      </c>
      <c r="D594" s="10">
        <v>80000</v>
      </c>
      <c r="E594" s="9" t="str" cm="1">
        <f t="array" ref="E594">_xlfn.IFS(D594&lt;= 60000, "Low Income",
D594&lt;=120000,"Medium Income",
D594&gt; 120000,"High Income"
)</f>
        <v>Medium Income</v>
      </c>
      <c r="F594" s="9">
        <v>5</v>
      </c>
      <c r="G594" s="9" t="s">
        <v>21</v>
      </c>
      <c r="H594" s="9" t="s">
        <v>23</v>
      </c>
      <c r="I594" s="9" t="s">
        <v>17</v>
      </c>
      <c r="J594" s="9">
        <v>2</v>
      </c>
      <c r="K594" s="9" t="s">
        <v>26</v>
      </c>
      <c r="L594" s="9" t="s">
        <v>35</v>
      </c>
      <c r="M594" s="9">
        <v>44</v>
      </c>
      <c r="N594" s="9" t="str" cm="1">
        <f t="array" ref="N594">_xlfn.IFS(
M594&lt;=12,"Children",
M594&lt;=19,"Teens",
M594&lt;=29,"Young Adults",
M594&lt;=39,"Adults",
M594&lt;=59,"Middle-Aged",
M594&gt;=60,"Seniors"
)</f>
        <v>Middle-Aged</v>
      </c>
      <c r="O594" s="9" t="s">
        <v>20</v>
      </c>
      <c r="P594" s="9">
        <f t="shared" si="18"/>
        <v>0</v>
      </c>
      <c r="Q594" s="9">
        <v>1</v>
      </c>
      <c r="R594" s="10">
        <f t="shared" si="19"/>
        <v>0</v>
      </c>
    </row>
    <row r="595" spans="1:18" x14ac:dyDescent="0.3">
      <c r="A595" s="9">
        <v>19812</v>
      </c>
      <c r="B595" s="9" t="s">
        <v>40</v>
      </c>
      <c r="C595" s="9" t="s">
        <v>38</v>
      </c>
      <c r="D595" s="10">
        <v>70000</v>
      </c>
      <c r="E595" s="9" t="str" cm="1">
        <f t="array" ref="E595">_xlfn.IFS(D595&lt;= 60000, "Low Income",
D595&lt;=120000,"Medium Income",
D595&gt; 120000,"High Income"
)</f>
        <v>Medium Income</v>
      </c>
      <c r="F595" s="9">
        <v>2</v>
      </c>
      <c r="G595" s="9" t="s">
        <v>21</v>
      </c>
      <c r="H595" s="9" t="s">
        <v>23</v>
      </c>
      <c r="I595" s="9" t="s">
        <v>17</v>
      </c>
      <c r="J595" s="9">
        <v>0</v>
      </c>
      <c r="K595" s="9" t="s">
        <v>26</v>
      </c>
      <c r="L595" s="9" t="s">
        <v>35</v>
      </c>
      <c r="M595" s="9">
        <v>49</v>
      </c>
      <c r="N595" s="9" t="str" cm="1">
        <f t="array" ref="N595">_xlfn.IFS(
M595&lt;=12,"Children",
M595&lt;=19,"Teens",
M595&lt;=29,"Young Adults",
M595&lt;=39,"Adults",
M595&lt;=59,"Middle-Aged",
M595&gt;=60,"Seniors"
)</f>
        <v>Middle-Aged</v>
      </c>
      <c r="O595" s="9" t="s">
        <v>17</v>
      </c>
      <c r="P595" s="9">
        <f t="shared" si="18"/>
        <v>1</v>
      </c>
      <c r="Q595" s="9">
        <v>1</v>
      </c>
      <c r="R595" s="10">
        <f t="shared" si="19"/>
        <v>70000</v>
      </c>
    </row>
    <row r="596" spans="1:18" x14ac:dyDescent="0.3">
      <c r="A596" s="9">
        <v>27660</v>
      </c>
      <c r="B596" s="9" t="s">
        <v>37</v>
      </c>
      <c r="C596" s="9" t="s">
        <v>39</v>
      </c>
      <c r="D596" s="10">
        <v>80000</v>
      </c>
      <c r="E596" s="9" t="str" cm="1">
        <f t="array" ref="E596">_xlfn.IFS(D596&lt;= 60000, "Low Income",
D596&lt;=120000,"Medium Income",
D596&gt; 120000,"High Income"
)</f>
        <v>Medium Income</v>
      </c>
      <c r="F596" s="9">
        <v>4</v>
      </c>
      <c r="G596" s="9" t="s">
        <v>34</v>
      </c>
      <c r="H596" s="9" t="s">
        <v>31</v>
      </c>
      <c r="I596" s="9" t="s">
        <v>17</v>
      </c>
      <c r="J596" s="9">
        <v>2</v>
      </c>
      <c r="K596" s="9" t="s">
        <v>26</v>
      </c>
      <c r="L596" s="9" t="s">
        <v>35</v>
      </c>
      <c r="M596" s="9">
        <v>70</v>
      </c>
      <c r="N596" s="9" t="str" cm="1">
        <f t="array" ref="N596">_xlfn.IFS(
M596&lt;=12,"Children",
M596&lt;=19,"Teens",
M596&lt;=29,"Young Adults",
M596&lt;=39,"Adults",
M596&lt;=59,"Middle-Aged",
M596&gt;=60,"Seniors"
)</f>
        <v>Seniors</v>
      </c>
      <c r="O596" s="9" t="s">
        <v>20</v>
      </c>
      <c r="P596" s="9">
        <f t="shared" si="18"/>
        <v>0</v>
      </c>
      <c r="Q596" s="9">
        <v>1</v>
      </c>
      <c r="R596" s="10">
        <f t="shared" si="19"/>
        <v>0</v>
      </c>
    </row>
    <row r="597" spans="1:18" x14ac:dyDescent="0.3">
      <c r="A597" s="9">
        <v>18058</v>
      </c>
      <c r="B597" s="9" t="s">
        <v>40</v>
      </c>
      <c r="C597" s="9" t="s">
        <v>38</v>
      </c>
      <c r="D597" s="10">
        <v>20000</v>
      </c>
      <c r="E597" s="9" t="str" cm="1">
        <f t="array" ref="E597">_xlfn.IFS(D597&lt;= 60000, "Low Income",
D597&lt;=120000,"Medium Income",
D597&gt; 120000,"High Income"
)</f>
        <v>Low Income</v>
      </c>
      <c r="F597" s="9">
        <v>3</v>
      </c>
      <c r="G597" s="9" t="s">
        <v>30</v>
      </c>
      <c r="H597" s="9" t="s">
        <v>16</v>
      </c>
      <c r="I597" s="9" t="s">
        <v>17</v>
      </c>
      <c r="J597" s="9">
        <v>2</v>
      </c>
      <c r="K597" s="9" t="s">
        <v>24</v>
      </c>
      <c r="L597" s="9" t="s">
        <v>35</v>
      </c>
      <c r="M597" s="9">
        <v>78</v>
      </c>
      <c r="N597" s="9" t="str" cm="1">
        <f t="array" ref="N597">_xlfn.IFS(
M597&lt;=12,"Children",
M597&lt;=19,"Teens",
M597&lt;=29,"Young Adults",
M597&lt;=39,"Adults",
M597&lt;=59,"Middle-Aged",
M597&gt;=60,"Seniors"
)</f>
        <v>Seniors</v>
      </c>
      <c r="O597" s="9" t="s">
        <v>20</v>
      </c>
      <c r="P597" s="9">
        <f t="shared" si="18"/>
        <v>0</v>
      </c>
      <c r="Q597" s="9">
        <v>1</v>
      </c>
      <c r="R597" s="10">
        <f t="shared" si="19"/>
        <v>0</v>
      </c>
    </row>
    <row r="598" spans="1:18" x14ac:dyDescent="0.3">
      <c r="A598" s="9">
        <v>20343</v>
      </c>
      <c r="B598" s="9" t="s">
        <v>37</v>
      </c>
      <c r="C598" s="9" t="s">
        <v>38</v>
      </c>
      <c r="D598" s="10">
        <v>90000</v>
      </c>
      <c r="E598" s="9" t="str" cm="1">
        <f t="array" ref="E598">_xlfn.IFS(D598&lt;= 60000, "Low Income",
D598&lt;=120000,"Medium Income",
D598&gt; 120000,"High Income"
)</f>
        <v>Medium Income</v>
      </c>
      <c r="F598" s="9">
        <v>4</v>
      </c>
      <c r="G598" s="9" t="s">
        <v>21</v>
      </c>
      <c r="H598" s="9" t="s">
        <v>23</v>
      </c>
      <c r="I598" s="9" t="s">
        <v>17</v>
      </c>
      <c r="J598" s="9">
        <v>1</v>
      </c>
      <c r="K598" s="9" t="s">
        <v>29</v>
      </c>
      <c r="L598" s="9" t="s">
        <v>35</v>
      </c>
      <c r="M598" s="9">
        <v>45</v>
      </c>
      <c r="N598" s="9" t="str" cm="1">
        <f t="array" ref="N598">_xlfn.IFS(
M598&lt;=12,"Children",
M598&lt;=19,"Teens",
M598&lt;=29,"Young Adults",
M598&lt;=39,"Adults",
M598&lt;=59,"Middle-Aged",
M598&gt;=60,"Seniors"
)</f>
        <v>Middle-Aged</v>
      </c>
      <c r="O598" s="9" t="s">
        <v>20</v>
      </c>
      <c r="P598" s="9">
        <f t="shared" si="18"/>
        <v>0</v>
      </c>
      <c r="Q598" s="9">
        <v>1</v>
      </c>
      <c r="R598" s="10">
        <f t="shared" si="19"/>
        <v>0</v>
      </c>
    </row>
    <row r="599" spans="1:18" x14ac:dyDescent="0.3">
      <c r="A599" s="9">
        <v>28997</v>
      </c>
      <c r="B599" s="9" t="s">
        <v>40</v>
      </c>
      <c r="C599" s="9" t="s">
        <v>39</v>
      </c>
      <c r="D599" s="10">
        <v>40000</v>
      </c>
      <c r="E599" s="9" t="str" cm="1">
        <f t="array" ref="E599">_xlfn.IFS(D599&lt;= 60000, "Low Income",
D599&lt;=120000,"Medium Income",
D599&gt; 120000,"High Income"
)</f>
        <v>Low Income</v>
      </c>
      <c r="F599" s="9">
        <v>2</v>
      </c>
      <c r="G599" s="9" t="s">
        <v>30</v>
      </c>
      <c r="H599" s="9" t="s">
        <v>23</v>
      </c>
      <c r="I599" s="9" t="s">
        <v>20</v>
      </c>
      <c r="J599" s="9">
        <v>1</v>
      </c>
      <c r="K599" s="9" t="s">
        <v>24</v>
      </c>
      <c r="L599" s="9" t="s">
        <v>35</v>
      </c>
      <c r="M599" s="9">
        <v>58</v>
      </c>
      <c r="N599" s="9" t="str" cm="1">
        <f t="array" ref="N599">_xlfn.IFS(
M599&lt;=12,"Children",
M599&lt;=19,"Teens",
M599&lt;=29,"Young Adults",
M599&lt;=39,"Adults",
M599&lt;=59,"Middle-Aged",
M599&gt;=60,"Seniors"
)</f>
        <v>Middle-Aged</v>
      </c>
      <c r="O599" s="9" t="s">
        <v>17</v>
      </c>
      <c r="P599" s="9">
        <f t="shared" si="18"/>
        <v>1</v>
      </c>
      <c r="Q599" s="9">
        <v>1</v>
      </c>
      <c r="R599" s="10">
        <f t="shared" si="19"/>
        <v>40000</v>
      </c>
    </row>
    <row r="600" spans="1:18" x14ac:dyDescent="0.3">
      <c r="A600" s="9">
        <v>24398</v>
      </c>
      <c r="B600" s="9" t="s">
        <v>37</v>
      </c>
      <c r="C600" s="9" t="s">
        <v>39</v>
      </c>
      <c r="D600" s="10">
        <v>130000</v>
      </c>
      <c r="E600" s="9" t="str" cm="1">
        <f t="array" ref="E600">_xlfn.IFS(D600&lt;= 60000, "Low Income",
D600&lt;=120000,"Medium Income",
D600&gt; 120000,"High Income"
)</f>
        <v>High Income</v>
      </c>
      <c r="F600" s="9">
        <v>1</v>
      </c>
      <c r="G600" s="9" t="s">
        <v>34</v>
      </c>
      <c r="H600" s="9" t="s">
        <v>31</v>
      </c>
      <c r="I600" s="9" t="s">
        <v>17</v>
      </c>
      <c r="J600" s="9">
        <v>4</v>
      </c>
      <c r="K600" s="9" t="s">
        <v>18</v>
      </c>
      <c r="L600" s="9" t="s">
        <v>35</v>
      </c>
      <c r="M600" s="9">
        <v>41</v>
      </c>
      <c r="N600" s="9" t="str" cm="1">
        <f t="array" ref="N600">_xlfn.IFS(
M600&lt;=12,"Children",
M600&lt;=19,"Teens",
M600&lt;=29,"Young Adults",
M600&lt;=39,"Adults",
M600&lt;=59,"Middle-Aged",
M600&gt;=60,"Seniors"
)</f>
        <v>Middle-Aged</v>
      </c>
      <c r="O600" s="9" t="s">
        <v>20</v>
      </c>
      <c r="P600" s="9">
        <f t="shared" si="18"/>
        <v>0</v>
      </c>
      <c r="Q600" s="9">
        <v>1</v>
      </c>
      <c r="R600" s="10">
        <f t="shared" si="19"/>
        <v>0</v>
      </c>
    </row>
    <row r="601" spans="1:18" x14ac:dyDescent="0.3">
      <c r="A601" s="9">
        <v>19002</v>
      </c>
      <c r="B601" s="9" t="s">
        <v>37</v>
      </c>
      <c r="C601" s="9" t="s">
        <v>38</v>
      </c>
      <c r="D601" s="10">
        <v>60000</v>
      </c>
      <c r="E601" s="9" t="str" cm="1">
        <f t="array" ref="E601">_xlfn.IFS(D601&lt;= 60000, "Low Income",
D601&lt;=120000,"Medium Income",
D601&gt; 120000,"High Income"
)</f>
        <v>Low Income</v>
      </c>
      <c r="F601" s="9">
        <v>2</v>
      </c>
      <c r="G601" s="9" t="s">
        <v>21</v>
      </c>
      <c r="H601" s="9" t="s">
        <v>23</v>
      </c>
      <c r="I601" s="9" t="s">
        <v>17</v>
      </c>
      <c r="J601" s="9">
        <v>1</v>
      </c>
      <c r="K601" s="9" t="s">
        <v>24</v>
      </c>
      <c r="L601" s="9" t="s">
        <v>35</v>
      </c>
      <c r="M601" s="9">
        <v>57</v>
      </c>
      <c r="N601" s="9" t="str" cm="1">
        <f t="array" ref="N601">_xlfn.IFS(
M601&lt;=12,"Children",
M601&lt;=19,"Teens",
M601&lt;=29,"Young Adults",
M601&lt;=39,"Adults",
M601&lt;=59,"Middle-Aged",
M601&gt;=60,"Seniors"
)</f>
        <v>Middle-Aged</v>
      </c>
      <c r="O601" s="9" t="s">
        <v>17</v>
      </c>
      <c r="P601" s="9">
        <f t="shared" si="18"/>
        <v>1</v>
      </c>
      <c r="Q601" s="9">
        <v>1</v>
      </c>
      <c r="R601" s="10">
        <f t="shared" si="19"/>
        <v>60000</v>
      </c>
    </row>
    <row r="602" spans="1:18" x14ac:dyDescent="0.3">
      <c r="A602" s="9">
        <v>28609</v>
      </c>
      <c r="B602" s="9" t="s">
        <v>37</v>
      </c>
      <c r="C602" s="9" t="s">
        <v>39</v>
      </c>
      <c r="D602" s="10">
        <v>30000</v>
      </c>
      <c r="E602" s="9" t="str" cm="1">
        <f t="array" ref="E602">_xlfn.IFS(D602&lt;= 60000, "Low Income",
D602&lt;=120000,"Medium Income",
D602&gt; 120000,"High Income"
)</f>
        <v>Low Income</v>
      </c>
      <c r="F602" s="9">
        <v>2</v>
      </c>
      <c r="G602" s="9" t="s">
        <v>30</v>
      </c>
      <c r="H602" s="9" t="s">
        <v>16</v>
      </c>
      <c r="I602" s="9" t="s">
        <v>20</v>
      </c>
      <c r="J602" s="9">
        <v>2</v>
      </c>
      <c r="K602" s="9" t="s">
        <v>18</v>
      </c>
      <c r="L602" s="9" t="s">
        <v>35</v>
      </c>
      <c r="M602" s="9">
        <v>49</v>
      </c>
      <c r="N602" s="9" t="str" cm="1">
        <f t="array" ref="N602">_xlfn.IFS(
M602&lt;=12,"Children",
M602&lt;=19,"Teens",
M602&lt;=29,"Young Adults",
M602&lt;=39,"Adults",
M602&lt;=59,"Middle-Aged",
M602&gt;=60,"Seniors"
)</f>
        <v>Middle-Aged</v>
      </c>
      <c r="O602" s="9" t="s">
        <v>20</v>
      </c>
      <c r="P602" s="9">
        <f t="shared" si="18"/>
        <v>0</v>
      </c>
      <c r="Q602" s="9">
        <v>1</v>
      </c>
      <c r="R602" s="10">
        <f t="shared" si="19"/>
        <v>0</v>
      </c>
    </row>
    <row r="603" spans="1:18" x14ac:dyDescent="0.3">
      <c r="A603" s="9">
        <v>29231</v>
      </c>
      <c r="B603" s="9" t="s">
        <v>40</v>
      </c>
      <c r="C603" s="9" t="s">
        <v>39</v>
      </c>
      <c r="D603" s="10">
        <v>80000</v>
      </c>
      <c r="E603" s="9" t="str" cm="1">
        <f t="array" ref="E603">_xlfn.IFS(D603&lt;= 60000, "Low Income",
D603&lt;=120000,"Medium Income",
D603&gt; 120000,"High Income"
)</f>
        <v>Medium Income</v>
      </c>
      <c r="F603" s="9">
        <v>4</v>
      </c>
      <c r="G603" s="9" t="s">
        <v>21</v>
      </c>
      <c r="H603" s="9" t="s">
        <v>23</v>
      </c>
      <c r="I603" s="9" t="s">
        <v>20</v>
      </c>
      <c r="J603" s="9">
        <v>2</v>
      </c>
      <c r="K603" s="9" t="s">
        <v>18</v>
      </c>
      <c r="L603" s="9" t="s">
        <v>35</v>
      </c>
      <c r="M603" s="9">
        <v>43</v>
      </c>
      <c r="N603" s="9" t="str" cm="1">
        <f t="array" ref="N603">_xlfn.IFS(
M603&lt;=12,"Children",
M603&lt;=19,"Teens",
M603&lt;=29,"Young Adults",
M603&lt;=39,"Adults",
M603&lt;=59,"Middle-Aged",
M603&gt;=60,"Seniors"
)</f>
        <v>Middle-Aged</v>
      </c>
      <c r="O603" s="9" t="s">
        <v>20</v>
      </c>
      <c r="P603" s="9">
        <f t="shared" si="18"/>
        <v>0</v>
      </c>
      <c r="Q603" s="9">
        <v>1</v>
      </c>
      <c r="R603" s="10">
        <f t="shared" si="19"/>
        <v>0</v>
      </c>
    </row>
    <row r="604" spans="1:18" x14ac:dyDescent="0.3">
      <c r="A604" s="9">
        <v>18858</v>
      </c>
      <c r="B604" s="9" t="s">
        <v>40</v>
      </c>
      <c r="C604" s="9" t="s">
        <v>39</v>
      </c>
      <c r="D604" s="10">
        <v>60000</v>
      </c>
      <c r="E604" s="9" t="str" cm="1">
        <f t="array" ref="E604">_xlfn.IFS(D604&lt;= 60000, "Low Income",
D604&lt;=120000,"Medium Income",
D604&gt; 120000,"High Income"
)</f>
        <v>Low Income</v>
      </c>
      <c r="F604" s="9">
        <v>2</v>
      </c>
      <c r="G604" s="9" t="s">
        <v>32</v>
      </c>
      <c r="H604" s="9" t="s">
        <v>16</v>
      </c>
      <c r="I604" s="9" t="s">
        <v>17</v>
      </c>
      <c r="J604" s="9">
        <v>2</v>
      </c>
      <c r="K604" s="9" t="s">
        <v>26</v>
      </c>
      <c r="L604" s="9" t="s">
        <v>35</v>
      </c>
      <c r="M604" s="9">
        <v>52</v>
      </c>
      <c r="N604" s="9" t="str" cm="1">
        <f t="array" ref="N604">_xlfn.IFS(
M604&lt;=12,"Children",
M604&lt;=19,"Teens",
M604&lt;=29,"Young Adults",
M604&lt;=39,"Adults",
M604&lt;=59,"Middle-Aged",
M604&gt;=60,"Seniors"
)</f>
        <v>Middle-Aged</v>
      </c>
      <c r="O604" s="9" t="s">
        <v>17</v>
      </c>
      <c r="P604" s="9">
        <f t="shared" si="18"/>
        <v>1</v>
      </c>
      <c r="Q604" s="9">
        <v>1</v>
      </c>
      <c r="R604" s="10">
        <f t="shared" si="19"/>
        <v>60000</v>
      </c>
    </row>
    <row r="605" spans="1:18" x14ac:dyDescent="0.3">
      <c r="A605" s="9">
        <v>20000</v>
      </c>
      <c r="B605" s="9" t="s">
        <v>37</v>
      </c>
      <c r="C605" s="9" t="s">
        <v>39</v>
      </c>
      <c r="D605" s="10">
        <v>60000</v>
      </c>
      <c r="E605" s="9" t="str" cm="1">
        <f t="array" ref="E605">_xlfn.IFS(D605&lt;= 60000, "Low Income",
D605&lt;=120000,"Medium Income",
D605&gt; 120000,"High Income"
)</f>
        <v>Low Income</v>
      </c>
      <c r="F605" s="9">
        <v>1</v>
      </c>
      <c r="G605" s="9" t="s">
        <v>34</v>
      </c>
      <c r="H605" s="9" t="s">
        <v>23</v>
      </c>
      <c r="I605" s="9" t="s">
        <v>17</v>
      </c>
      <c r="J605" s="9">
        <v>0</v>
      </c>
      <c r="K605" s="9" t="s">
        <v>18</v>
      </c>
      <c r="L605" s="9" t="s">
        <v>35</v>
      </c>
      <c r="M605" s="9">
        <v>35</v>
      </c>
      <c r="N605" s="9" t="str" cm="1">
        <f t="array" ref="N605">_xlfn.IFS(
M605&lt;=12,"Children",
M605&lt;=19,"Teens",
M605&lt;=29,"Young Adults",
M605&lt;=39,"Adults",
M605&lt;=59,"Middle-Aged",
M605&gt;=60,"Seniors"
)</f>
        <v>Adults</v>
      </c>
      <c r="O605" s="9" t="s">
        <v>17</v>
      </c>
      <c r="P605" s="9">
        <f t="shared" si="18"/>
        <v>1</v>
      </c>
      <c r="Q605" s="9">
        <v>1</v>
      </c>
      <c r="R605" s="10">
        <f t="shared" si="19"/>
        <v>60000</v>
      </c>
    </row>
    <row r="606" spans="1:18" x14ac:dyDescent="0.3">
      <c r="A606" s="9">
        <v>25261</v>
      </c>
      <c r="B606" s="9" t="s">
        <v>37</v>
      </c>
      <c r="C606" s="9" t="s">
        <v>39</v>
      </c>
      <c r="D606" s="10">
        <v>40000</v>
      </c>
      <c r="E606" s="9" t="str" cm="1">
        <f t="array" ref="E606">_xlfn.IFS(D606&lt;= 60000, "Low Income",
D606&lt;=120000,"Medium Income",
D606&gt; 120000,"High Income"
)</f>
        <v>Low Income</v>
      </c>
      <c r="F606" s="9">
        <v>0</v>
      </c>
      <c r="G606" s="9" t="s">
        <v>30</v>
      </c>
      <c r="H606" s="9" t="s">
        <v>16</v>
      </c>
      <c r="I606" s="9" t="s">
        <v>17</v>
      </c>
      <c r="J606" s="9">
        <v>2</v>
      </c>
      <c r="K606" s="9" t="s">
        <v>26</v>
      </c>
      <c r="L606" s="9" t="s">
        <v>35</v>
      </c>
      <c r="M606" s="9">
        <v>27</v>
      </c>
      <c r="N606" s="9" t="str" cm="1">
        <f t="array" ref="N606">_xlfn.IFS(
M606&lt;=12,"Children",
M606&lt;=19,"Teens",
M606&lt;=29,"Young Adults",
M606&lt;=39,"Adults",
M606&lt;=59,"Middle-Aged",
M606&gt;=60,"Seniors"
)</f>
        <v>Young Adults</v>
      </c>
      <c r="O606" s="9" t="s">
        <v>20</v>
      </c>
      <c r="P606" s="9">
        <f t="shared" si="18"/>
        <v>0</v>
      </c>
      <c r="Q606" s="9">
        <v>1</v>
      </c>
      <c r="R606" s="10">
        <f t="shared" si="19"/>
        <v>0</v>
      </c>
    </row>
    <row r="607" spans="1:18" x14ac:dyDescent="0.3">
      <c r="A607" s="9">
        <v>17458</v>
      </c>
      <c r="B607" s="9" t="s">
        <v>40</v>
      </c>
      <c r="C607" s="9" t="s">
        <v>39</v>
      </c>
      <c r="D607" s="10">
        <v>70000</v>
      </c>
      <c r="E607" s="9" t="str" cm="1">
        <f t="array" ref="E607">_xlfn.IFS(D607&lt;= 60000, "Low Income",
D607&lt;=120000,"Medium Income",
D607&gt; 120000,"High Income"
)</f>
        <v>Medium Income</v>
      </c>
      <c r="F607" s="9">
        <v>3</v>
      </c>
      <c r="G607" s="9" t="s">
        <v>30</v>
      </c>
      <c r="H607" s="9" t="s">
        <v>23</v>
      </c>
      <c r="I607" s="9" t="s">
        <v>17</v>
      </c>
      <c r="J607" s="9">
        <v>0</v>
      </c>
      <c r="K607" s="9" t="s">
        <v>26</v>
      </c>
      <c r="L607" s="9" t="s">
        <v>35</v>
      </c>
      <c r="M607" s="9">
        <v>52</v>
      </c>
      <c r="N607" s="9" t="str" cm="1">
        <f t="array" ref="N607">_xlfn.IFS(
M607&lt;=12,"Children",
M607&lt;=19,"Teens",
M607&lt;=29,"Young Adults",
M607&lt;=39,"Adults",
M607&lt;=59,"Middle-Aged",
M607&gt;=60,"Seniors"
)</f>
        <v>Middle-Aged</v>
      </c>
      <c r="O607" s="9" t="s">
        <v>17</v>
      </c>
      <c r="P607" s="9">
        <f t="shared" si="18"/>
        <v>1</v>
      </c>
      <c r="Q607" s="9">
        <v>1</v>
      </c>
      <c r="R607" s="10">
        <f t="shared" si="19"/>
        <v>70000</v>
      </c>
    </row>
    <row r="608" spans="1:18" x14ac:dyDescent="0.3">
      <c r="A608" s="9">
        <v>11644</v>
      </c>
      <c r="B608" s="9" t="s">
        <v>40</v>
      </c>
      <c r="C608" s="9" t="s">
        <v>39</v>
      </c>
      <c r="D608" s="10">
        <v>40000</v>
      </c>
      <c r="E608" s="9" t="str" cm="1">
        <f t="array" ref="E608">_xlfn.IFS(D608&lt;= 60000, "Low Income",
D608&lt;=120000,"Medium Income",
D608&gt; 120000,"High Income"
)</f>
        <v>Low Income</v>
      </c>
      <c r="F608" s="9">
        <v>2</v>
      </c>
      <c r="G608" s="9" t="s">
        <v>15</v>
      </c>
      <c r="H608" s="9" t="s">
        <v>16</v>
      </c>
      <c r="I608" s="9" t="s">
        <v>17</v>
      </c>
      <c r="J608" s="9">
        <v>0</v>
      </c>
      <c r="K608" s="9" t="s">
        <v>24</v>
      </c>
      <c r="L608" s="9" t="s">
        <v>35</v>
      </c>
      <c r="M608" s="9">
        <v>36</v>
      </c>
      <c r="N608" s="9" t="str" cm="1">
        <f t="array" ref="N608">_xlfn.IFS(
M608&lt;=12,"Children",
M608&lt;=19,"Teens",
M608&lt;=29,"Young Adults",
M608&lt;=39,"Adults",
M608&lt;=59,"Middle-Aged",
M608&gt;=60,"Seniors"
)</f>
        <v>Adults</v>
      </c>
      <c r="O608" s="9" t="s">
        <v>20</v>
      </c>
      <c r="P608" s="9">
        <f t="shared" si="18"/>
        <v>0</v>
      </c>
      <c r="Q608" s="9">
        <v>1</v>
      </c>
      <c r="R608" s="10">
        <f t="shared" si="19"/>
        <v>0</v>
      </c>
    </row>
    <row r="609" spans="1:18" x14ac:dyDescent="0.3">
      <c r="A609" s="9">
        <v>16145</v>
      </c>
      <c r="B609" s="9" t="s">
        <v>40</v>
      </c>
      <c r="C609" s="9" t="s">
        <v>38</v>
      </c>
      <c r="D609" s="10">
        <v>70000</v>
      </c>
      <c r="E609" s="9" t="str" cm="1">
        <f t="array" ref="E609">_xlfn.IFS(D609&lt;= 60000, "Low Income",
D609&lt;=120000,"Medium Income",
D609&gt; 120000,"High Income"
)</f>
        <v>Medium Income</v>
      </c>
      <c r="F609" s="9">
        <v>5</v>
      </c>
      <c r="G609" s="9" t="s">
        <v>34</v>
      </c>
      <c r="H609" s="9" t="s">
        <v>23</v>
      </c>
      <c r="I609" s="9" t="s">
        <v>17</v>
      </c>
      <c r="J609" s="9">
        <v>3</v>
      </c>
      <c r="K609" s="9" t="s">
        <v>41</v>
      </c>
      <c r="L609" s="9" t="s">
        <v>35</v>
      </c>
      <c r="M609" s="9">
        <v>46</v>
      </c>
      <c r="N609" s="9" t="str" cm="1">
        <f t="array" ref="N609">_xlfn.IFS(
M609&lt;=12,"Children",
M609&lt;=19,"Teens",
M609&lt;=29,"Young Adults",
M609&lt;=39,"Adults",
M609&lt;=59,"Middle-Aged",
M609&gt;=60,"Seniors"
)</f>
        <v>Middle-Aged</v>
      </c>
      <c r="O609" s="9" t="s">
        <v>17</v>
      </c>
      <c r="P609" s="9">
        <f t="shared" si="18"/>
        <v>1</v>
      </c>
      <c r="Q609" s="9">
        <v>1</v>
      </c>
      <c r="R609" s="10">
        <f t="shared" si="19"/>
        <v>70000</v>
      </c>
    </row>
    <row r="610" spans="1:18" x14ac:dyDescent="0.3">
      <c r="A610" s="9">
        <v>16890</v>
      </c>
      <c r="B610" s="9" t="s">
        <v>37</v>
      </c>
      <c r="C610" s="9" t="s">
        <v>39</v>
      </c>
      <c r="D610" s="10">
        <v>60000</v>
      </c>
      <c r="E610" s="9" t="str" cm="1">
        <f t="array" ref="E610">_xlfn.IFS(D610&lt;= 60000, "Low Income",
D610&lt;=120000,"Medium Income",
D610&gt; 120000,"High Income"
)</f>
        <v>Low Income</v>
      </c>
      <c r="F610" s="9">
        <v>3</v>
      </c>
      <c r="G610" s="9" t="s">
        <v>32</v>
      </c>
      <c r="H610" s="9" t="s">
        <v>16</v>
      </c>
      <c r="I610" s="9" t="s">
        <v>17</v>
      </c>
      <c r="J610" s="9">
        <v>2</v>
      </c>
      <c r="K610" s="9" t="s">
        <v>26</v>
      </c>
      <c r="L610" s="9" t="s">
        <v>35</v>
      </c>
      <c r="M610" s="9">
        <v>52</v>
      </c>
      <c r="N610" s="9" t="str" cm="1">
        <f t="array" ref="N610">_xlfn.IFS(
M610&lt;=12,"Children",
M610&lt;=19,"Teens",
M610&lt;=29,"Young Adults",
M610&lt;=39,"Adults",
M610&lt;=59,"Middle-Aged",
M610&gt;=60,"Seniors"
)</f>
        <v>Middle-Aged</v>
      </c>
      <c r="O610" s="9" t="s">
        <v>17</v>
      </c>
      <c r="P610" s="9">
        <f t="shared" si="18"/>
        <v>1</v>
      </c>
      <c r="Q610" s="9">
        <v>1</v>
      </c>
      <c r="R610" s="10">
        <f t="shared" si="19"/>
        <v>60000</v>
      </c>
    </row>
    <row r="611" spans="1:18" x14ac:dyDescent="0.3">
      <c r="A611" s="9">
        <v>25983</v>
      </c>
      <c r="B611" s="9" t="s">
        <v>37</v>
      </c>
      <c r="C611" s="9" t="s">
        <v>39</v>
      </c>
      <c r="D611" s="10">
        <v>70000</v>
      </c>
      <c r="E611" s="9" t="str" cm="1">
        <f t="array" ref="E611">_xlfn.IFS(D611&lt;= 60000, "Low Income",
D611&lt;=120000,"Medium Income",
D611&gt; 120000,"High Income"
)</f>
        <v>Medium Income</v>
      </c>
      <c r="F611" s="9">
        <v>0</v>
      </c>
      <c r="G611" s="9" t="s">
        <v>15</v>
      </c>
      <c r="H611" s="9" t="s">
        <v>23</v>
      </c>
      <c r="I611" s="9" t="s">
        <v>20</v>
      </c>
      <c r="J611" s="9">
        <v>1</v>
      </c>
      <c r="K611" s="9" t="s">
        <v>18</v>
      </c>
      <c r="L611" s="9" t="s">
        <v>35</v>
      </c>
      <c r="M611" s="9">
        <v>43</v>
      </c>
      <c r="N611" s="9" t="str" cm="1">
        <f t="array" ref="N611">_xlfn.IFS(
M611&lt;=12,"Children",
M611&lt;=19,"Teens",
M611&lt;=29,"Young Adults",
M611&lt;=39,"Adults",
M611&lt;=59,"Middle-Aged",
M611&gt;=60,"Seniors"
)</f>
        <v>Middle-Aged</v>
      </c>
      <c r="O611" s="9" t="s">
        <v>20</v>
      </c>
      <c r="P611" s="9">
        <f t="shared" si="18"/>
        <v>0</v>
      </c>
      <c r="Q611" s="9">
        <v>1</v>
      </c>
      <c r="R611" s="10">
        <f t="shared" si="19"/>
        <v>0</v>
      </c>
    </row>
    <row r="612" spans="1:18" x14ac:dyDescent="0.3">
      <c r="A612" s="9">
        <v>14633</v>
      </c>
      <c r="B612" s="9" t="s">
        <v>37</v>
      </c>
      <c r="C612" s="9" t="s">
        <v>39</v>
      </c>
      <c r="D612" s="10">
        <v>60000</v>
      </c>
      <c r="E612" s="9" t="str" cm="1">
        <f t="array" ref="E612">_xlfn.IFS(D612&lt;= 60000, "Low Income",
D612&lt;=120000,"Medium Income",
D612&gt; 120000,"High Income"
)</f>
        <v>Low Income</v>
      </c>
      <c r="F612" s="9">
        <v>1</v>
      </c>
      <c r="G612" s="9" t="s">
        <v>21</v>
      </c>
      <c r="H612" s="9" t="s">
        <v>16</v>
      </c>
      <c r="I612" s="9" t="s">
        <v>17</v>
      </c>
      <c r="J612" s="9">
        <v>1</v>
      </c>
      <c r="K612" s="9" t="s">
        <v>24</v>
      </c>
      <c r="L612" s="9" t="s">
        <v>35</v>
      </c>
      <c r="M612" s="9">
        <v>44</v>
      </c>
      <c r="N612" s="9" t="str" cm="1">
        <f t="array" ref="N612">_xlfn.IFS(
M612&lt;=12,"Children",
M612&lt;=19,"Teens",
M612&lt;=29,"Young Adults",
M612&lt;=39,"Adults",
M612&lt;=59,"Middle-Aged",
M612&gt;=60,"Seniors"
)</f>
        <v>Middle-Aged</v>
      </c>
      <c r="O612" s="9" t="s">
        <v>20</v>
      </c>
      <c r="P612" s="9">
        <f t="shared" si="18"/>
        <v>0</v>
      </c>
      <c r="Q612" s="9">
        <v>1</v>
      </c>
      <c r="R612" s="10">
        <f t="shared" si="19"/>
        <v>0</v>
      </c>
    </row>
    <row r="613" spans="1:18" x14ac:dyDescent="0.3">
      <c r="A613" s="9">
        <v>22994</v>
      </c>
      <c r="B613" s="9" t="s">
        <v>37</v>
      </c>
      <c r="C613" s="9" t="s">
        <v>38</v>
      </c>
      <c r="D613" s="10">
        <v>80000</v>
      </c>
      <c r="E613" s="9" t="str" cm="1">
        <f t="array" ref="E613">_xlfn.IFS(D613&lt;= 60000, "Low Income",
D613&lt;=120000,"Medium Income",
D613&gt; 120000,"High Income"
)</f>
        <v>Medium Income</v>
      </c>
      <c r="F613" s="9">
        <v>0</v>
      </c>
      <c r="G613" s="9" t="s">
        <v>15</v>
      </c>
      <c r="H613" s="9" t="s">
        <v>31</v>
      </c>
      <c r="I613" s="9" t="s">
        <v>17</v>
      </c>
      <c r="J613" s="9">
        <v>1</v>
      </c>
      <c r="K613" s="9" t="s">
        <v>29</v>
      </c>
      <c r="L613" s="9" t="s">
        <v>35</v>
      </c>
      <c r="M613" s="9">
        <v>34</v>
      </c>
      <c r="N613" s="9" t="str" cm="1">
        <f t="array" ref="N613">_xlfn.IFS(
M613&lt;=12,"Children",
M613&lt;=19,"Teens",
M613&lt;=29,"Young Adults",
M613&lt;=39,"Adults",
M613&lt;=59,"Middle-Aged",
M613&gt;=60,"Seniors"
)</f>
        <v>Adults</v>
      </c>
      <c r="O613" s="9" t="s">
        <v>17</v>
      </c>
      <c r="P613" s="9">
        <f t="shared" si="18"/>
        <v>1</v>
      </c>
      <c r="Q613" s="9">
        <v>1</v>
      </c>
      <c r="R613" s="10">
        <f t="shared" si="19"/>
        <v>80000</v>
      </c>
    </row>
    <row r="614" spans="1:18" x14ac:dyDescent="0.3">
      <c r="A614" s="9">
        <v>22983</v>
      </c>
      <c r="B614" s="9" t="s">
        <v>40</v>
      </c>
      <c r="C614" s="9" t="s">
        <v>38</v>
      </c>
      <c r="D614" s="10">
        <v>30000</v>
      </c>
      <c r="E614" s="9" t="str" cm="1">
        <f t="array" ref="E614">_xlfn.IFS(D614&lt;= 60000, "Low Income",
D614&lt;=120000,"Medium Income",
D614&gt; 120000,"High Income"
)</f>
        <v>Low Income</v>
      </c>
      <c r="F614" s="9">
        <v>0</v>
      </c>
      <c r="G614" s="9" t="s">
        <v>32</v>
      </c>
      <c r="H614" s="9" t="s">
        <v>22</v>
      </c>
      <c r="I614" s="9" t="s">
        <v>17</v>
      </c>
      <c r="J614" s="9">
        <v>2</v>
      </c>
      <c r="K614" s="9" t="s">
        <v>26</v>
      </c>
      <c r="L614" s="9" t="s">
        <v>35</v>
      </c>
      <c r="M614" s="9">
        <v>27</v>
      </c>
      <c r="N614" s="9" t="str" cm="1">
        <f t="array" ref="N614">_xlfn.IFS(
M614&lt;=12,"Children",
M614&lt;=19,"Teens",
M614&lt;=29,"Young Adults",
M614&lt;=39,"Adults",
M614&lt;=59,"Middle-Aged",
M614&gt;=60,"Seniors"
)</f>
        <v>Young Adults</v>
      </c>
      <c r="O614" s="9" t="s">
        <v>20</v>
      </c>
      <c r="P614" s="9">
        <f t="shared" si="18"/>
        <v>0</v>
      </c>
      <c r="Q614" s="9">
        <v>1</v>
      </c>
      <c r="R614" s="10">
        <f t="shared" si="19"/>
        <v>0</v>
      </c>
    </row>
    <row r="615" spans="1:18" x14ac:dyDescent="0.3">
      <c r="A615" s="9">
        <v>25184</v>
      </c>
      <c r="B615" s="9" t="s">
        <v>40</v>
      </c>
      <c r="C615" s="9" t="s">
        <v>39</v>
      </c>
      <c r="D615" s="10">
        <v>110000</v>
      </c>
      <c r="E615" s="9" t="str" cm="1">
        <f t="array" ref="E615">_xlfn.IFS(D615&lt;= 60000, "Low Income",
D615&lt;=120000,"Medium Income",
D615&gt; 120000,"High Income"
)</f>
        <v>Medium Income</v>
      </c>
      <c r="F615" s="9">
        <v>1</v>
      </c>
      <c r="G615" s="9" t="s">
        <v>21</v>
      </c>
      <c r="H615" s="9" t="s">
        <v>23</v>
      </c>
      <c r="I615" s="9" t="s">
        <v>17</v>
      </c>
      <c r="J615" s="9">
        <v>4</v>
      </c>
      <c r="K615" s="9" t="s">
        <v>26</v>
      </c>
      <c r="L615" s="9" t="s">
        <v>35</v>
      </c>
      <c r="M615" s="9">
        <v>45</v>
      </c>
      <c r="N615" s="9" t="str" cm="1">
        <f t="array" ref="N615">_xlfn.IFS(
M615&lt;=12,"Children",
M615&lt;=19,"Teens",
M615&lt;=29,"Young Adults",
M615&lt;=39,"Adults",
M615&lt;=59,"Middle-Aged",
M615&gt;=60,"Seniors"
)</f>
        <v>Middle-Aged</v>
      </c>
      <c r="O615" s="9" t="s">
        <v>17</v>
      </c>
      <c r="P615" s="9">
        <f t="shared" si="18"/>
        <v>1</v>
      </c>
      <c r="Q615" s="9">
        <v>1</v>
      </c>
      <c r="R615" s="10">
        <f t="shared" si="19"/>
        <v>110000</v>
      </c>
    </row>
    <row r="616" spans="1:18" x14ac:dyDescent="0.3">
      <c r="A616" s="9">
        <v>14469</v>
      </c>
      <c r="B616" s="9" t="s">
        <v>37</v>
      </c>
      <c r="C616" s="9" t="s">
        <v>38</v>
      </c>
      <c r="D616" s="10">
        <v>100000</v>
      </c>
      <c r="E616" s="9" t="str" cm="1">
        <f t="array" ref="E616">_xlfn.IFS(D616&lt;= 60000, "Low Income",
D616&lt;=120000,"Medium Income",
D616&gt; 120000,"High Income"
)</f>
        <v>Medium Income</v>
      </c>
      <c r="F616" s="9">
        <v>3</v>
      </c>
      <c r="G616" s="9" t="s">
        <v>21</v>
      </c>
      <c r="H616" s="9" t="s">
        <v>23</v>
      </c>
      <c r="I616" s="9" t="s">
        <v>17</v>
      </c>
      <c r="J616" s="9">
        <v>4</v>
      </c>
      <c r="K616" s="9" t="s">
        <v>29</v>
      </c>
      <c r="L616" s="9" t="s">
        <v>35</v>
      </c>
      <c r="M616" s="9">
        <v>45</v>
      </c>
      <c r="N616" s="9" t="str" cm="1">
        <f t="array" ref="N616">_xlfn.IFS(
M616&lt;=12,"Children",
M616&lt;=19,"Teens",
M616&lt;=29,"Young Adults",
M616&lt;=39,"Adults",
M616&lt;=59,"Middle-Aged",
M616&gt;=60,"Seniors"
)</f>
        <v>Middle-Aged</v>
      </c>
      <c r="O616" s="9" t="s">
        <v>20</v>
      </c>
      <c r="P616" s="9">
        <f t="shared" si="18"/>
        <v>0</v>
      </c>
      <c r="Q616" s="9">
        <v>1</v>
      </c>
      <c r="R616" s="10">
        <f t="shared" si="19"/>
        <v>0</v>
      </c>
    </row>
    <row r="617" spans="1:18" x14ac:dyDescent="0.3">
      <c r="A617" s="9">
        <v>11538</v>
      </c>
      <c r="B617" s="9" t="s">
        <v>40</v>
      </c>
      <c r="C617" s="9" t="s">
        <v>38</v>
      </c>
      <c r="D617" s="10">
        <v>60000</v>
      </c>
      <c r="E617" s="9" t="str" cm="1">
        <f t="array" ref="E617">_xlfn.IFS(D617&lt;= 60000, "Low Income",
D617&lt;=120000,"Medium Income",
D617&gt; 120000,"High Income"
)</f>
        <v>Low Income</v>
      </c>
      <c r="F617" s="9">
        <v>4</v>
      </c>
      <c r="G617" s="9" t="s">
        <v>34</v>
      </c>
      <c r="H617" s="9" t="s">
        <v>16</v>
      </c>
      <c r="I617" s="9" t="s">
        <v>20</v>
      </c>
      <c r="J617" s="9">
        <v>0</v>
      </c>
      <c r="K617" s="9" t="s">
        <v>18</v>
      </c>
      <c r="L617" s="9" t="s">
        <v>35</v>
      </c>
      <c r="M617" s="9">
        <v>47</v>
      </c>
      <c r="N617" s="9" t="str" cm="1">
        <f t="array" ref="N617">_xlfn.IFS(
M617&lt;=12,"Children",
M617&lt;=19,"Teens",
M617&lt;=29,"Young Adults",
M617&lt;=39,"Adults",
M617&lt;=59,"Middle-Aged",
M617&gt;=60,"Seniors"
)</f>
        <v>Middle-Aged</v>
      </c>
      <c r="O617" s="9" t="s">
        <v>17</v>
      </c>
      <c r="P617" s="9">
        <f t="shared" si="18"/>
        <v>1</v>
      </c>
      <c r="Q617" s="9">
        <v>1</v>
      </c>
      <c r="R617" s="10">
        <f t="shared" si="19"/>
        <v>60000</v>
      </c>
    </row>
    <row r="618" spans="1:18" x14ac:dyDescent="0.3">
      <c r="A618" s="9">
        <v>16245</v>
      </c>
      <c r="B618" s="9" t="s">
        <v>40</v>
      </c>
      <c r="C618" s="9" t="s">
        <v>38</v>
      </c>
      <c r="D618" s="10">
        <v>80000</v>
      </c>
      <c r="E618" s="9" t="str" cm="1">
        <f t="array" ref="E618">_xlfn.IFS(D618&lt;= 60000, "Low Income",
D618&lt;=120000,"Medium Income",
D618&gt; 120000,"High Income"
)</f>
        <v>Medium Income</v>
      </c>
      <c r="F618" s="9">
        <v>4</v>
      </c>
      <c r="G618" s="9" t="s">
        <v>34</v>
      </c>
      <c r="H618" s="9" t="s">
        <v>16</v>
      </c>
      <c r="I618" s="9" t="s">
        <v>17</v>
      </c>
      <c r="J618" s="9">
        <v>0</v>
      </c>
      <c r="K618" s="9" t="s">
        <v>29</v>
      </c>
      <c r="L618" s="9" t="s">
        <v>35</v>
      </c>
      <c r="M618" s="9">
        <v>47</v>
      </c>
      <c r="N618" s="9" t="str" cm="1">
        <f t="array" ref="N618">_xlfn.IFS(
M618&lt;=12,"Children",
M618&lt;=19,"Teens",
M618&lt;=29,"Young Adults",
M618&lt;=39,"Adults",
M618&lt;=59,"Middle-Aged",
M618&gt;=60,"Seniors"
)</f>
        <v>Middle-Aged</v>
      </c>
      <c r="O618" s="9" t="s">
        <v>20</v>
      </c>
      <c r="P618" s="9">
        <f t="shared" si="18"/>
        <v>0</v>
      </c>
      <c r="Q618" s="9">
        <v>1</v>
      </c>
      <c r="R618" s="10">
        <f t="shared" si="19"/>
        <v>0</v>
      </c>
    </row>
    <row r="619" spans="1:18" x14ac:dyDescent="0.3">
      <c r="A619" s="9">
        <v>17858</v>
      </c>
      <c r="B619" s="9" t="s">
        <v>37</v>
      </c>
      <c r="C619" s="9" t="s">
        <v>39</v>
      </c>
      <c r="D619" s="10">
        <v>40000</v>
      </c>
      <c r="E619" s="9" t="str" cm="1">
        <f t="array" ref="E619">_xlfn.IFS(D619&lt;= 60000, "Low Income",
D619&lt;=120000,"Medium Income",
D619&gt; 120000,"High Income"
)</f>
        <v>Low Income</v>
      </c>
      <c r="F619" s="9">
        <v>4</v>
      </c>
      <c r="G619" s="9" t="s">
        <v>30</v>
      </c>
      <c r="H619" s="9" t="s">
        <v>16</v>
      </c>
      <c r="I619" s="9" t="s">
        <v>17</v>
      </c>
      <c r="J619" s="9">
        <v>2</v>
      </c>
      <c r="K619" s="9" t="s">
        <v>24</v>
      </c>
      <c r="L619" s="9" t="s">
        <v>35</v>
      </c>
      <c r="M619" s="9">
        <v>44</v>
      </c>
      <c r="N619" s="9" t="str" cm="1">
        <f t="array" ref="N619">_xlfn.IFS(
M619&lt;=12,"Children",
M619&lt;=19,"Teens",
M619&lt;=29,"Young Adults",
M619&lt;=39,"Adults",
M619&lt;=59,"Middle-Aged",
M619&gt;=60,"Seniors"
)</f>
        <v>Middle-Aged</v>
      </c>
      <c r="O619" s="9" t="s">
        <v>17</v>
      </c>
      <c r="P619" s="9">
        <f t="shared" si="18"/>
        <v>1</v>
      </c>
      <c r="Q619" s="9">
        <v>1</v>
      </c>
      <c r="R619" s="10">
        <f t="shared" si="19"/>
        <v>40000</v>
      </c>
    </row>
    <row r="620" spans="1:18" x14ac:dyDescent="0.3">
      <c r="A620" s="9">
        <v>25347</v>
      </c>
      <c r="B620" s="9" t="s">
        <v>40</v>
      </c>
      <c r="C620" s="9" t="s">
        <v>38</v>
      </c>
      <c r="D620" s="10">
        <v>20000</v>
      </c>
      <c r="E620" s="9" t="str" cm="1">
        <f t="array" ref="E620">_xlfn.IFS(D620&lt;= 60000, "Low Income",
D620&lt;=120000,"Medium Income",
D620&gt; 120000,"High Income"
)</f>
        <v>Low Income</v>
      </c>
      <c r="F620" s="9">
        <v>3</v>
      </c>
      <c r="G620" s="9" t="s">
        <v>32</v>
      </c>
      <c r="H620" s="9" t="s">
        <v>22</v>
      </c>
      <c r="I620" s="9" t="s">
        <v>20</v>
      </c>
      <c r="J620" s="9">
        <v>2</v>
      </c>
      <c r="K620" s="9" t="s">
        <v>18</v>
      </c>
      <c r="L620" s="9" t="s">
        <v>35</v>
      </c>
      <c r="M620" s="9">
        <v>49</v>
      </c>
      <c r="N620" s="9" t="str" cm="1">
        <f t="array" ref="N620">_xlfn.IFS(
M620&lt;=12,"Children",
M620&lt;=19,"Teens",
M620&lt;=29,"Young Adults",
M620&lt;=39,"Adults",
M620&lt;=59,"Middle-Aged",
M620&gt;=60,"Seniors"
)</f>
        <v>Middle-Aged</v>
      </c>
      <c r="O620" s="9" t="s">
        <v>20</v>
      </c>
      <c r="P620" s="9">
        <f t="shared" si="18"/>
        <v>0</v>
      </c>
      <c r="Q620" s="9">
        <v>1</v>
      </c>
      <c r="R620" s="10">
        <f t="shared" si="19"/>
        <v>0</v>
      </c>
    </row>
    <row r="621" spans="1:18" x14ac:dyDescent="0.3">
      <c r="A621" s="9">
        <v>15814</v>
      </c>
      <c r="B621" s="9" t="s">
        <v>40</v>
      </c>
      <c r="C621" s="9" t="s">
        <v>38</v>
      </c>
      <c r="D621" s="10">
        <v>40000</v>
      </c>
      <c r="E621" s="9" t="str" cm="1">
        <f t="array" ref="E621">_xlfn.IFS(D621&lt;= 60000, "Low Income",
D621&lt;=120000,"Medium Income",
D621&gt; 120000,"High Income"
)</f>
        <v>Low Income</v>
      </c>
      <c r="F621" s="9">
        <v>0</v>
      </c>
      <c r="G621" s="9" t="s">
        <v>30</v>
      </c>
      <c r="H621" s="9" t="s">
        <v>16</v>
      </c>
      <c r="I621" s="9" t="s">
        <v>17</v>
      </c>
      <c r="J621" s="9">
        <v>1</v>
      </c>
      <c r="K621" s="9" t="s">
        <v>26</v>
      </c>
      <c r="L621" s="9" t="s">
        <v>35</v>
      </c>
      <c r="M621" s="9">
        <v>30</v>
      </c>
      <c r="N621" s="9" t="str" cm="1">
        <f t="array" ref="N621">_xlfn.IFS(
M621&lt;=12,"Children",
M621&lt;=19,"Teens",
M621&lt;=29,"Young Adults",
M621&lt;=39,"Adults",
M621&lt;=59,"Middle-Aged",
M621&gt;=60,"Seniors"
)</f>
        <v>Adults</v>
      </c>
      <c r="O621" s="9" t="s">
        <v>20</v>
      </c>
      <c r="P621" s="9">
        <f t="shared" si="18"/>
        <v>0</v>
      </c>
      <c r="Q621" s="9">
        <v>1</v>
      </c>
      <c r="R621" s="10">
        <f t="shared" si="19"/>
        <v>0</v>
      </c>
    </row>
    <row r="622" spans="1:18" x14ac:dyDescent="0.3">
      <c r="A622" s="9">
        <v>11259</v>
      </c>
      <c r="B622" s="9" t="s">
        <v>37</v>
      </c>
      <c r="C622" s="9" t="s">
        <v>38</v>
      </c>
      <c r="D622" s="10">
        <v>100000</v>
      </c>
      <c r="E622" s="9" t="str" cm="1">
        <f t="array" ref="E622">_xlfn.IFS(D622&lt;= 60000, "Low Income",
D622&lt;=120000,"Medium Income",
D622&gt; 120000,"High Income"
)</f>
        <v>Medium Income</v>
      </c>
      <c r="F622" s="9">
        <v>4</v>
      </c>
      <c r="G622" s="9" t="s">
        <v>21</v>
      </c>
      <c r="H622" s="9" t="s">
        <v>23</v>
      </c>
      <c r="I622" s="9" t="s">
        <v>17</v>
      </c>
      <c r="J622" s="9">
        <v>4</v>
      </c>
      <c r="K622" s="9" t="s">
        <v>24</v>
      </c>
      <c r="L622" s="9" t="s">
        <v>35</v>
      </c>
      <c r="M622" s="9">
        <v>41</v>
      </c>
      <c r="N622" s="9" t="str" cm="1">
        <f t="array" ref="N622">_xlfn.IFS(
M622&lt;=12,"Children",
M622&lt;=19,"Teens",
M622&lt;=29,"Young Adults",
M622&lt;=39,"Adults",
M622&lt;=59,"Middle-Aged",
M622&gt;=60,"Seniors"
)</f>
        <v>Middle-Aged</v>
      </c>
      <c r="O622" s="9" t="s">
        <v>17</v>
      </c>
      <c r="P622" s="9">
        <f t="shared" si="18"/>
        <v>1</v>
      </c>
      <c r="Q622" s="9">
        <v>1</v>
      </c>
      <c r="R622" s="10">
        <f t="shared" si="19"/>
        <v>100000</v>
      </c>
    </row>
    <row r="623" spans="1:18" x14ac:dyDescent="0.3">
      <c r="A623" s="9">
        <v>11200</v>
      </c>
      <c r="B623" s="9" t="s">
        <v>37</v>
      </c>
      <c r="C623" s="9" t="s">
        <v>39</v>
      </c>
      <c r="D623" s="10">
        <v>70000</v>
      </c>
      <c r="E623" s="9" t="str" cm="1">
        <f t="array" ref="E623">_xlfn.IFS(D623&lt;= 60000, "Low Income",
D623&lt;=120000,"Medium Income",
D623&gt; 120000,"High Income"
)</f>
        <v>Medium Income</v>
      </c>
      <c r="F623" s="9">
        <v>4</v>
      </c>
      <c r="G623" s="9" t="s">
        <v>15</v>
      </c>
      <c r="H623" s="9" t="s">
        <v>31</v>
      </c>
      <c r="I623" s="9" t="s">
        <v>17</v>
      </c>
      <c r="J623" s="9">
        <v>1</v>
      </c>
      <c r="K623" s="9" t="s">
        <v>29</v>
      </c>
      <c r="L623" s="9" t="s">
        <v>35</v>
      </c>
      <c r="M623" s="9">
        <v>58</v>
      </c>
      <c r="N623" s="9" t="str" cm="1">
        <f t="array" ref="N623">_xlfn.IFS(
M623&lt;=12,"Children",
M623&lt;=19,"Teens",
M623&lt;=29,"Young Adults",
M623&lt;=39,"Adults",
M623&lt;=59,"Middle-Aged",
M623&gt;=60,"Seniors"
)</f>
        <v>Middle-Aged</v>
      </c>
      <c r="O623" s="9" t="s">
        <v>20</v>
      </c>
      <c r="P623" s="9">
        <f t="shared" si="18"/>
        <v>0</v>
      </c>
      <c r="Q623" s="9">
        <v>1</v>
      </c>
      <c r="R623" s="10">
        <f t="shared" si="19"/>
        <v>0</v>
      </c>
    </row>
    <row r="624" spans="1:18" x14ac:dyDescent="0.3">
      <c r="A624" s="9">
        <v>25101</v>
      </c>
      <c r="B624" s="9" t="s">
        <v>37</v>
      </c>
      <c r="C624" s="9" t="s">
        <v>39</v>
      </c>
      <c r="D624" s="10">
        <v>60000</v>
      </c>
      <c r="E624" s="9" t="str" cm="1">
        <f t="array" ref="E624">_xlfn.IFS(D624&lt;= 60000, "Low Income",
D624&lt;=120000,"Medium Income",
D624&gt; 120000,"High Income"
)</f>
        <v>Low Income</v>
      </c>
      <c r="F624" s="9">
        <v>5</v>
      </c>
      <c r="G624" s="9" t="s">
        <v>15</v>
      </c>
      <c r="H624" s="9" t="s">
        <v>23</v>
      </c>
      <c r="I624" s="9" t="s">
        <v>17</v>
      </c>
      <c r="J624" s="9">
        <v>1</v>
      </c>
      <c r="K624" s="9" t="s">
        <v>24</v>
      </c>
      <c r="L624" s="9" t="s">
        <v>35</v>
      </c>
      <c r="M624" s="9">
        <v>47</v>
      </c>
      <c r="N624" s="9" t="str" cm="1">
        <f t="array" ref="N624">_xlfn.IFS(
M624&lt;=12,"Children",
M624&lt;=19,"Teens",
M624&lt;=29,"Young Adults",
M624&lt;=39,"Adults",
M624&lt;=59,"Middle-Aged",
M624&gt;=60,"Seniors"
)</f>
        <v>Middle-Aged</v>
      </c>
      <c r="O624" s="9" t="s">
        <v>20</v>
      </c>
      <c r="P624" s="9">
        <f t="shared" si="18"/>
        <v>0</v>
      </c>
      <c r="Q624" s="9">
        <v>1</v>
      </c>
      <c r="R624" s="10">
        <f t="shared" si="19"/>
        <v>0</v>
      </c>
    </row>
    <row r="625" spans="1:18" x14ac:dyDescent="0.3">
      <c r="A625" s="9">
        <v>21801</v>
      </c>
      <c r="B625" s="9" t="s">
        <v>37</v>
      </c>
      <c r="C625" s="9" t="s">
        <v>38</v>
      </c>
      <c r="D625" s="10">
        <v>70000</v>
      </c>
      <c r="E625" s="9" t="str" cm="1">
        <f t="array" ref="E625">_xlfn.IFS(D625&lt;= 60000, "Low Income",
D625&lt;=120000,"Medium Income",
D625&gt; 120000,"High Income"
)</f>
        <v>Medium Income</v>
      </c>
      <c r="F625" s="9">
        <v>4</v>
      </c>
      <c r="G625" s="9" t="s">
        <v>21</v>
      </c>
      <c r="H625" s="9" t="s">
        <v>23</v>
      </c>
      <c r="I625" s="9" t="s">
        <v>17</v>
      </c>
      <c r="J625" s="9">
        <v>1</v>
      </c>
      <c r="K625" s="9" t="s">
        <v>29</v>
      </c>
      <c r="L625" s="9" t="s">
        <v>35</v>
      </c>
      <c r="M625" s="9">
        <v>55</v>
      </c>
      <c r="N625" s="9" t="str" cm="1">
        <f t="array" ref="N625">_xlfn.IFS(
M625&lt;=12,"Children",
M625&lt;=19,"Teens",
M625&lt;=29,"Young Adults",
M625&lt;=39,"Adults",
M625&lt;=59,"Middle-Aged",
M625&gt;=60,"Seniors"
)</f>
        <v>Middle-Aged</v>
      </c>
      <c r="O625" s="9" t="s">
        <v>20</v>
      </c>
      <c r="P625" s="9">
        <f t="shared" si="18"/>
        <v>0</v>
      </c>
      <c r="Q625" s="9">
        <v>1</v>
      </c>
      <c r="R625" s="10">
        <f t="shared" si="19"/>
        <v>0</v>
      </c>
    </row>
    <row r="626" spans="1:18" x14ac:dyDescent="0.3">
      <c r="A626" s="9">
        <v>25943</v>
      </c>
      <c r="B626" s="9" t="s">
        <v>40</v>
      </c>
      <c r="C626" s="9" t="s">
        <v>38</v>
      </c>
      <c r="D626" s="10">
        <v>70000</v>
      </c>
      <c r="E626" s="9" t="str" cm="1">
        <f t="array" ref="E626">_xlfn.IFS(D626&lt;= 60000, "Low Income",
D626&lt;=120000,"Medium Income",
D626&gt; 120000,"High Income"
)</f>
        <v>Medium Income</v>
      </c>
      <c r="F626" s="9">
        <v>0</v>
      </c>
      <c r="G626" s="9" t="s">
        <v>21</v>
      </c>
      <c r="H626" s="9" t="s">
        <v>16</v>
      </c>
      <c r="I626" s="9" t="s">
        <v>20</v>
      </c>
      <c r="J626" s="9">
        <v>2</v>
      </c>
      <c r="K626" s="9" t="s">
        <v>18</v>
      </c>
      <c r="L626" s="9" t="s">
        <v>35</v>
      </c>
      <c r="M626" s="9">
        <v>27</v>
      </c>
      <c r="N626" s="9" t="str" cm="1">
        <f t="array" ref="N626">_xlfn.IFS(
M626&lt;=12,"Children",
M626&lt;=19,"Teens",
M626&lt;=29,"Young Adults",
M626&lt;=39,"Adults",
M626&lt;=59,"Middle-Aged",
M626&gt;=60,"Seniors"
)</f>
        <v>Young Adults</v>
      </c>
      <c r="O626" s="9" t="s">
        <v>17</v>
      </c>
      <c r="P626" s="9">
        <f t="shared" si="18"/>
        <v>1</v>
      </c>
      <c r="Q626" s="9">
        <v>1</v>
      </c>
      <c r="R626" s="10">
        <f t="shared" si="19"/>
        <v>70000</v>
      </c>
    </row>
    <row r="627" spans="1:18" x14ac:dyDescent="0.3">
      <c r="A627" s="9">
        <v>22127</v>
      </c>
      <c r="B627" s="9" t="s">
        <v>37</v>
      </c>
      <c r="C627" s="9" t="s">
        <v>39</v>
      </c>
      <c r="D627" s="10">
        <v>60000</v>
      </c>
      <c r="E627" s="9" t="str" cm="1">
        <f t="array" ref="E627">_xlfn.IFS(D627&lt;= 60000, "Low Income",
D627&lt;=120000,"Medium Income",
D627&gt; 120000,"High Income"
)</f>
        <v>Low Income</v>
      </c>
      <c r="F627" s="9">
        <v>3</v>
      </c>
      <c r="G627" s="9" t="s">
        <v>34</v>
      </c>
      <c r="H627" s="9" t="s">
        <v>31</v>
      </c>
      <c r="I627" s="9" t="s">
        <v>17</v>
      </c>
      <c r="J627" s="9">
        <v>2</v>
      </c>
      <c r="K627" s="9" t="s">
        <v>29</v>
      </c>
      <c r="L627" s="9" t="s">
        <v>35</v>
      </c>
      <c r="M627" s="9">
        <v>67</v>
      </c>
      <c r="N627" s="9" t="str" cm="1">
        <f t="array" ref="N627">_xlfn.IFS(
M627&lt;=12,"Children",
M627&lt;=19,"Teens",
M627&lt;=29,"Young Adults",
M627&lt;=39,"Adults",
M627&lt;=59,"Middle-Aged",
M627&gt;=60,"Seniors"
)</f>
        <v>Seniors</v>
      </c>
      <c r="O627" s="9" t="s">
        <v>20</v>
      </c>
      <c r="P627" s="9">
        <f t="shared" si="18"/>
        <v>0</v>
      </c>
      <c r="Q627" s="9">
        <v>1</v>
      </c>
      <c r="R627" s="10">
        <f t="shared" si="19"/>
        <v>0</v>
      </c>
    </row>
    <row r="628" spans="1:18" x14ac:dyDescent="0.3">
      <c r="A628" s="9">
        <v>20414</v>
      </c>
      <c r="B628" s="9" t="s">
        <v>37</v>
      </c>
      <c r="C628" s="9" t="s">
        <v>38</v>
      </c>
      <c r="D628" s="10">
        <v>60000</v>
      </c>
      <c r="E628" s="9" t="str" cm="1">
        <f t="array" ref="E628">_xlfn.IFS(D628&lt;= 60000, "Low Income",
D628&lt;=120000,"Medium Income",
D628&gt; 120000,"High Income"
)</f>
        <v>Low Income</v>
      </c>
      <c r="F628" s="9">
        <v>0</v>
      </c>
      <c r="G628" s="9" t="s">
        <v>21</v>
      </c>
      <c r="H628" s="9" t="s">
        <v>16</v>
      </c>
      <c r="I628" s="9" t="s">
        <v>17</v>
      </c>
      <c r="J628" s="9">
        <v>2</v>
      </c>
      <c r="K628" s="9" t="s">
        <v>26</v>
      </c>
      <c r="L628" s="9" t="s">
        <v>35</v>
      </c>
      <c r="M628" s="9">
        <v>29</v>
      </c>
      <c r="N628" s="9" t="str" cm="1">
        <f t="array" ref="N628">_xlfn.IFS(
M628&lt;=12,"Children",
M628&lt;=19,"Teens",
M628&lt;=29,"Young Adults",
M628&lt;=39,"Adults",
M628&lt;=59,"Middle-Aged",
M628&gt;=60,"Seniors"
)</f>
        <v>Young Adults</v>
      </c>
      <c r="O628" s="9" t="s">
        <v>20</v>
      </c>
      <c r="P628" s="9">
        <f t="shared" si="18"/>
        <v>0</v>
      </c>
      <c r="Q628" s="9">
        <v>1</v>
      </c>
      <c r="R628" s="10">
        <f t="shared" si="19"/>
        <v>0</v>
      </c>
    </row>
    <row r="629" spans="1:18" x14ac:dyDescent="0.3">
      <c r="A629" s="9">
        <v>23672</v>
      </c>
      <c r="B629" s="9" t="s">
        <v>37</v>
      </c>
      <c r="C629" s="9" t="s">
        <v>38</v>
      </c>
      <c r="D629" s="10">
        <v>60000</v>
      </c>
      <c r="E629" s="9" t="str" cm="1">
        <f t="array" ref="E629">_xlfn.IFS(D629&lt;= 60000, "Low Income",
D629&lt;=120000,"Medium Income",
D629&gt; 120000,"High Income"
)</f>
        <v>Low Income</v>
      </c>
      <c r="F629" s="9">
        <v>3</v>
      </c>
      <c r="G629" s="9" t="s">
        <v>34</v>
      </c>
      <c r="H629" s="9" t="s">
        <v>31</v>
      </c>
      <c r="I629" s="9" t="s">
        <v>17</v>
      </c>
      <c r="J629" s="9">
        <v>2</v>
      </c>
      <c r="K629" s="9" t="s">
        <v>29</v>
      </c>
      <c r="L629" s="9" t="s">
        <v>35</v>
      </c>
      <c r="M629" s="9">
        <v>67</v>
      </c>
      <c r="N629" s="9" t="str" cm="1">
        <f t="array" ref="N629">_xlfn.IFS(
M629&lt;=12,"Children",
M629&lt;=19,"Teens",
M629&lt;=29,"Young Adults",
M629&lt;=39,"Adults",
M629&lt;=59,"Middle-Aged",
M629&gt;=60,"Seniors"
)</f>
        <v>Seniors</v>
      </c>
      <c r="O629" s="9" t="s">
        <v>20</v>
      </c>
      <c r="P629" s="9">
        <f t="shared" si="18"/>
        <v>0</v>
      </c>
      <c r="Q629" s="9">
        <v>1</v>
      </c>
      <c r="R629" s="10">
        <f t="shared" si="19"/>
        <v>0</v>
      </c>
    </row>
    <row r="630" spans="1:18" x14ac:dyDescent="0.3">
      <c r="A630" s="9">
        <v>29255</v>
      </c>
      <c r="B630" s="9" t="s">
        <v>40</v>
      </c>
      <c r="C630" s="9" t="s">
        <v>39</v>
      </c>
      <c r="D630" s="10">
        <v>80000</v>
      </c>
      <c r="E630" s="9" t="str" cm="1">
        <f t="array" ref="E630">_xlfn.IFS(D630&lt;= 60000, "Low Income",
D630&lt;=120000,"Medium Income",
D630&gt; 120000,"High Income"
)</f>
        <v>Medium Income</v>
      </c>
      <c r="F630" s="9">
        <v>3</v>
      </c>
      <c r="G630" s="9" t="s">
        <v>21</v>
      </c>
      <c r="H630" s="9" t="s">
        <v>23</v>
      </c>
      <c r="I630" s="9" t="s">
        <v>20</v>
      </c>
      <c r="J630" s="9">
        <v>1</v>
      </c>
      <c r="K630" s="9" t="s">
        <v>29</v>
      </c>
      <c r="L630" s="9" t="s">
        <v>35</v>
      </c>
      <c r="M630" s="9">
        <v>51</v>
      </c>
      <c r="N630" s="9" t="str" cm="1">
        <f t="array" ref="N630">_xlfn.IFS(
M630&lt;=12,"Children",
M630&lt;=19,"Teens",
M630&lt;=29,"Young Adults",
M630&lt;=39,"Adults",
M630&lt;=59,"Middle-Aged",
M630&gt;=60,"Seniors"
)</f>
        <v>Middle-Aged</v>
      </c>
      <c r="O630" s="9" t="s">
        <v>17</v>
      </c>
      <c r="P630" s="9">
        <f t="shared" si="18"/>
        <v>1</v>
      </c>
      <c r="Q630" s="9">
        <v>1</v>
      </c>
      <c r="R630" s="10">
        <f t="shared" si="19"/>
        <v>80000</v>
      </c>
    </row>
    <row r="631" spans="1:18" x14ac:dyDescent="0.3">
      <c r="A631" s="9">
        <v>28815</v>
      </c>
      <c r="B631" s="9" t="s">
        <v>37</v>
      </c>
      <c r="C631" s="9" t="s">
        <v>38</v>
      </c>
      <c r="D631" s="10">
        <v>50000</v>
      </c>
      <c r="E631" s="9" t="str" cm="1">
        <f t="array" ref="E631">_xlfn.IFS(D631&lt;= 60000, "Low Income",
D631&lt;=120000,"Medium Income",
D631&gt; 120000,"High Income"
)</f>
        <v>Low Income</v>
      </c>
      <c r="F631" s="9">
        <v>1</v>
      </c>
      <c r="G631" s="9" t="s">
        <v>34</v>
      </c>
      <c r="H631" s="9" t="s">
        <v>16</v>
      </c>
      <c r="I631" s="9" t="s">
        <v>17</v>
      </c>
      <c r="J631" s="9">
        <v>0</v>
      </c>
      <c r="K631" s="9" t="s">
        <v>18</v>
      </c>
      <c r="L631" s="9" t="s">
        <v>35</v>
      </c>
      <c r="M631" s="9">
        <v>35</v>
      </c>
      <c r="N631" s="9" t="str" cm="1">
        <f t="array" ref="N631">_xlfn.IFS(
M631&lt;=12,"Children",
M631&lt;=19,"Teens",
M631&lt;=29,"Young Adults",
M631&lt;=39,"Adults",
M631&lt;=59,"Middle-Aged",
M631&gt;=60,"Seniors"
)</f>
        <v>Adults</v>
      </c>
      <c r="O631" s="9" t="s">
        <v>20</v>
      </c>
      <c r="P631" s="9">
        <f t="shared" si="18"/>
        <v>0</v>
      </c>
      <c r="Q631" s="9">
        <v>1</v>
      </c>
      <c r="R631" s="10">
        <f t="shared" si="19"/>
        <v>0</v>
      </c>
    </row>
    <row r="632" spans="1:18" x14ac:dyDescent="0.3">
      <c r="A632" s="9">
        <v>27753</v>
      </c>
      <c r="B632" s="9" t="s">
        <v>37</v>
      </c>
      <c r="C632" s="9" t="s">
        <v>39</v>
      </c>
      <c r="D632" s="10">
        <v>40000</v>
      </c>
      <c r="E632" s="9" t="str" cm="1">
        <f t="array" ref="E632">_xlfn.IFS(D632&lt;= 60000, "Low Income",
D632&lt;=120000,"Medium Income",
D632&gt; 120000,"High Income"
)</f>
        <v>Low Income</v>
      </c>
      <c r="F632" s="9">
        <v>0</v>
      </c>
      <c r="G632" s="9" t="s">
        <v>30</v>
      </c>
      <c r="H632" s="9" t="s">
        <v>16</v>
      </c>
      <c r="I632" s="9" t="s">
        <v>20</v>
      </c>
      <c r="J632" s="9">
        <v>2</v>
      </c>
      <c r="K632" s="9" t="s">
        <v>29</v>
      </c>
      <c r="L632" s="9" t="s">
        <v>35</v>
      </c>
      <c r="M632" s="9">
        <v>30</v>
      </c>
      <c r="N632" s="9" t="str" cm="1">
        <f t="array" ref="N632">_xlfn.IFS(
M632&lt;=12,"Children",
M632&lt;=19,"Teens",
M632&lt;=29,"Young Adults",
M632&lt;=39,"Adults",
M632&lt;=59,"Middle-Aged",
M632&gt;=60,"Seniors"
)</f>
        <v>Adults</v>
      </c>
      <c r="O632" s="9" t="s">
        <v>20</v>
      </c>
      <c r="P632" s="9">
        <f t="shared" si="18"/>
        <v>0</v>
      </c>
      <c r="Q632" s="9">
        <v>1</v>
      </c>
      <c r="R632" s="10">
        <f t="shared" si="19"/>
        <v>0</v>
      </c>
    </row>
    <row r="633" spans="1:18" x14ac:dyDescent="0.3">
      <c r="A633" s="9">
        <v>27643</v>
      </c>
      <c r="B633" s="9" t="s">
        <v>40</v>
      </c>
      <c r="C633" s="9" t="s">
        <v>39</v>
      </c>
      <c r="D633" s="10">
        <v>70000</v>
      </c>
      <c r="E633" s="9" t="str" cm="1">
        <f t="array" ref="E633">_xlfn.IFS(D633&lt;= 60000, "Low Income",
D633&lt;=120000,"Medium Income",
D633&gt; 120000,"High Income"
)</f>
        <v>Medium Income</v>
      </c>
      <c r="F633" s="9">
        <v>5</v>
      </c>
      <c r="G633" s="9" t="s">
        <v>21</v>
      </c>
      <c r="H633" s="9" t="s">
        <v>23</v>
      </c>
      <c r="I633" s="9" t="s">
        <v>17</v>
      </c>
      <c r="J633" s="9">
        <v>3</v>
      </c>
      <c r="K633" s="9" t="s">
        <v>24</v>
      </c>
      <c r="L633" s="9" t="s">
        <v>35</v>
      </c>
      <c r="M633" s="9">
        <v>44</v>
      </c>
      <c r="N633" s="9" t="str" cm="1">
        <f t="array" ref="N633">_xlfn.IFS(
M633&lt;=12,"Children",
M633&lt;=19,"Teens",
M633&lt;=29,"Young Adults",
M633&lt;=39,"Adults",
M633&lt;=59,"Middle-Aged",
M633&gt;=60,"Seniors"
)</f>
        <v>Middle-Aged</v>
      </c>
      <c r="O633" s="9" t="s">
        <v>20</v>
      </c>
      <c r="P633" s="9">
        <f t="shared" si="18"/>
        <v>0</v>
      </c>
      <c r="Q633" s="9">
        <v>1</v>
      </c>
      <c r="R633" s="10">
        <f t="shared" si="19"/>
        <v>0</v>
      </c>
    </row>
    <row r="634" spans="1:18" x14ac:dyDescent="0.3">
      <c r="A634" s="9">
        <v>13754</v>
      </c>
      <c r="B634" s="9" t="s">
        <v>40</v>
      </c>
      <c r="C634" s="9" t="s">
        <v>38</v>
      </c>
      <c r="D634" s="10">
        <v>80000</v>
      </c>
      <c r="E634" s="9" t="str" cm="1">
        <f t="array" ref="E634">_xlfn.IFS(D634&lt;= 60000, "Low Income",
D634&lt;=120000,"Medium Income",
D634&gt; 120000,"High Income"
)</f>
        <v>Medium Income</v>
      </c>
      <c r="F634" s="9">
        <v>4</v>
      </c>
      <c r="G634" s="9" t="s">
        <v>34</v>
      </c>
      <c r="H634" s="9" t="s">
        <v>16</v>
      </c>
      <c r="I634" s="9" t="s">
        <v>17</v>
      </c>
      <c r="J634" s="9">
        <v>0</v>
      </c>
      <c r="K634" s="9" t="s">
        <v>29</v>
      </c>
      <c r="L634" s="9" t="s">
        <v>35</v>
      </c>
      <c r="M634" s="9">
        <v>48</v>
      </c>
      <c r="N634" s="9" t="str" cm="1">
        <f t="array" ref="N634">_xlfn.IFS(
M634&lt;=12,"Children",
M634&lt;=19,"Teens",
M634&lt;=29,"Young Adults",
M634&lt;=39,"Adults",
M634&lt;=59,"Middle-Aged",
M634&gt;=60,"Seniors"
)</f>
        <v>Middle-Aged</v>
      </c>
      <c r="O634" s="9" t="s">
        <v>20</v>
      </c>
      <c r="P634" s="9">
        <f t="shared" si="18"/>
        <v>0</v>
      </c>
      <c r="Q634" s="9">
        <v>1</v>
      </c>
      <c r="R634" s="10">
        <f t="shared" si="19"/>
        <v>0</v>
      </c>
    </row>
    <row r="635" spans="1:18" x14ac:dyDescent="0.3">
      <c r="A635" s="9">
        <v>22088</v>
      </c>
      <c r="B635" s="9" t="s">
        <v>37</v>
      </c>
      <c r="C635" s="9" t="s">
        <v>38</v>
      </c>
      <c r="D635" s="10">
        <v>130000</v>
      </c>
      <c r="E635" s="9" t="str" cm="1">
        <f t="array" ref="E635">_xlfn.IFS(D635&lt;= 60000, "Low Income",
D635&lt;=120000,"Medium Income",
D635&gt; 120000,"High Income"
)</f>
        <v>High Income</v>
      </c>
      <c r="F635" s="9">
        <v>1</v>
      </c>
      <c r="G635" s="9" t="s">
        <v>15</v>
      </c>
      <c r="H635" s="9" t="s">
        <v>31</v>
      </c>
      <c r="I635" s="9" t="s">
        <v>17</v>
      </c>
      <c r="J635" s="9">
        <v>2</v>
      </c>
      <c r="K635" s="9" t="s">
        <v>18</v>
      </c>
      <c r="L635" s="9" t="s">
        <v>35</v>
      </c>
      <c r="M635" s="9">
        <v>45</v>
      </c>
      <c r="N635" s="9" t="str" cm="1">
        <f t="array" ref="N635">_xlfn.IFS(
M635&lt;=12,"Children",
M635&lt;=19,"Teens",
M635&lt;=29,"Young Adults",
M635&lt;=39,"Adults",
M635&lt;=59,"Middle-Aged",
M635&gt;=60,"Seniors"
)</f>
        <v>Middle-Aged</v>
      </c>
      <c r="O635" s="9" t="s">
        <v>17</v>
      </c>
      <c r="P635" s="9">
        <f t="shared" si="18"/>
        <v>1</v>
      </c>
      <c r="Q635" s="9">
        <v>1</v>
      </c>
      <c r="R635" s="10">
        <f t="shared" si="19"/>
        <v>130000</v>
      </c>
    </row>
    <row r="636" spans="1:18" x14ac:dyDescent="0.3">
      <c r="A636" s="9">
        <v>27388</v>
      </c>
      <c r="B636" s="9" t="s">
        <v>37</v>
      </c>
      <c r="C636" s="9" t="s">
        <v>39</v>
      </c>
      <c r="D636" s="10">
        <v>60000</v>
      </c>
      <c r="E636" s="9" t="str" cm="1">
        <f t="array" ref="E636">_xlfn.IFS(D636&lt;= 60000, "Low Income",
D636&lt;=120000,"Medium Income",
D636&gt; 120000,"High Income"
)</f>
        <v>Low Income</v>
      </c>
      <c r="F636" s="9">
        <v>3</v>
      </c>
      <c r="G636" s="9" t="s">
        <v>15</v>
      </c>
      <c r="H636" s="9" t="s">
        <v>31</v>
      </c>
      <c r="I636" s="9" t="s">
        <v>20</v>
      </c>
      <c r="J636" s="9">
        <v>2</v>
      </c>
      <c r="K636" s="9" t="s">
        <v>29</v>
      </c>
      <c r="L636" s="9" t="s">
        <v>35</v>
      </c>
      <c r="M636" s="9">
        <v>66</v>
      </c>
      <c r="N636" s="9" t="str" cm="1">
        <f t="array" ref="N636">_xlfn.IFS(
M636&lt;=12,"Children",
M636&lt;=19,"Teens",
M636&lt;=29,"Young Adults",
M636&lt;=39,"Adults",
M636&lt;=59,"Middle-Aged",
M636&gt;=60,"Seniors"
)</f>
        <v>Seniors</v>
      </c>
      <c r="O636" s="9" t="s">
        <v>20</v>
      </c>
      <c r="P636" s="9">
        <f t="shared" si="18"/>
        <v>0</v>
      </c>
      <c r="Q636" s="9">
        <v>1</v>
      </c>
      <c r="R636" s="10">
        <f t="shared" si="19"/>
        <v>0</v>
      </c>
    </row>
    <row r="637" spans="1:18" x14ac:dyDescent="0.3">
      <c r="A637" s="9">
        <v>24745</v>
      </c>
      <c r="B637" s="9" t="s">
        <v>40</v>
      </c>
      <c r="C637" s="9" t="s">
        <v>38</v>
      </c>
      <c r="D637" s="10">
        <v>30000</v>
      </c>
      <c r="E637" s="9" t="str" cm="1">
        <f t="array" ref="E637">_xlfn.IFS(D637&lt;= 60000, "Low Income",
D637&lt;=120000,"Medium Income",
D637&gt; 120000,"High Income"
)</f>
        <v>Low Income</v>
      </c>
      <c r="F637" s="9">
        <v>2</v>
      </c>
      <c r="G637" s="9" t="s">
        <v>30</v>
      </c>
      <c r="H637" s="9" t="s">
        <v>16</v>
      </c>
      <c r="I637" s="9" t="s">
        <v>20</v>
      </c>
      <c r="J637" s="9">
        <v>2</v>
      </c>
      <c r="K637" s="9" t="s">
        <v>18</v>
      </c>
      <c r="L637" s="9" t="s">
        <v>35</v>
      </c>
      <c r="M637" s="9">
        <v>49</v>
      </c>
      <c r="N637" s="9" t="str" cm="1">
        <f t="array" ref="N637">_xlfn.IFS(
M637&lt;=12,"Children",
M637&lt;=19,"Teens",
M637&lt;=29,"Young Adults",
M637&lt;=39,"Adults",
M637&lt;=59,"Middle-Aged",
M637&gt;=60,"Seniors"
)</f>
        <v>Middle-Aged</v>
      </c>
      <c r="O637" s="9" t="s">
        <v>20</v>
      </c>
      <c r="P637" s="9">
        <f t="shared" si="18"/>
        <v>0</v>
      </c>
      <c r="Q637" s="9">
        <v>1</v>
      </c>
      <c r="R637" s="10">
        <f t="shared" si="19"/>
        <v>0</v>
      </c>
    </row>
    <row r="638" spans="1:18" x14ac:dyDescent="0.3">
      <c r="A638" s="9">
        <v>29237</v>
      </c>
      <c r="B638" s="9" t="s">
        <v>40</v>
      </c>
      <c r="C638" s="9" t="s">
        <v>38</v>
      </c>
      <c r="D638" s="10">
        <v>120000</v>
      </c>
      <c r="E638" s="9" t="str" cm="1">
        <f t="array" ref="E638">_xlfn.IFS(D638&lt;= 60000, "Low Income",
D638&lt;=120000,"Medium Income",
D638&gt; 120000,"High Income"
)</f>
        <v>Medium Income</v>
      </c>
      <c r="F638" s="9">
        <v>4</v>
      </c>
      <c r="G638" s="9" t="s">
        <v>21</v>
      </c>
      <c r="H638" s="9" t="s">
        <v>23</v>
      </c>
      <c r="I638" s="9" t="s">
        <v>17</v>
      </c>
      <c r="J638" s="9">
        <v>3</v>
      </c>
      <c r="K638" s="9" t="s">
        <v>26</v>
      </c>
      <c r="L638" s="9" t="s">
        <v>35</v>
      </c>
      <c r="M638" s="9">
        <v>43</v>
      </c>
      <c r="N638" s="9" t="str" cm="1">
        <f t="array" ref="N638">_xlfn.IFS(
M638&lt;=12,"Children",
M638&lt;=19,"Teens",
M638&lt;=29,"Young Adults",
M638&lt;=39,"Adults",
M638&lt;=59,"Middle-Aged",
M638&gt;=60,"Seniors"
)</f>
        <v>Middle-Aged</v>
      </c>
      <c r="O638" s="9" t="s">
        <v>17</v>
      </c>
      <c r="P638" s="9">
        <f t="shared" si="18"/>
        <v>1</v>
      </c>
      <c r="Q638" s="9">
        <v>1</v>
      </c>
      <c r="R638" s="10">
        <f t="shared" si="19"/>
        <v>120000</v>
      </c>
    </row>
    <row r="639" spans="1:18" x14ac:dyDescent="0.3">
      <c r="A639" s="9">
        <v>15272</v>
      </c>
      <c r="B639" s="9" t="s">
        <v>40</v>
      </c>
      <c r="C639" s="9" t="s">
        <v>39</v>
      </c>
      <c r="D639" s="10">
        <v>40000</v>
      </c>
      <c r="E639" s="9" t="str" cm="1">
        <f t="array" ref="E639">_xlfn.IFS(D639&lt;= 60000, "Low Income",
D639&lt;=120000,"Medium Income",
D639&gt; 120000,"High Income"
)</f>
        <v>Low Income</v>
      </c>
      <c r="F639" s="9">
        <v>0</v>
      </c>
      <c r="G639" s="9" t="s">
        <v>30</v>
      </c>
      <c r="H639" s="9" t="s">
        <v>16</v>
      </c>
      <c r="I639" s="9" t="s">
        <v>20</v>
      </c>
      <c r="J639" s="9">
        <v>2</v>
      </c>
      <c r="K639" s="9" t="s">
        <v>29</v>
      </c>
      <c r="L639" s="9" t="s">
        <v>35</v>
      </c>
      <c r="M639" s="9">
        <v>30</v>
      </c>
      <c r="N639" s="9" t="str" cm="1">
        <f t="array" ref="N639">_xlfn.IFS(
M639&lt;=12,"Children",
M639&lt;=19,"Teens",
M639&lt;=29,"Young Adults",
M639&lt;=39,"Adults",
M639&lt;=59,"Middle-Aged",
M639&gt;=60,"Seniors"
)</f>
        <v>Adults</v>
      </c>
      <c r="O639" s="9" t="s">
        <v>20</v>
      </c>
      <c r="P639" s="9">
        <f t="shared" si="18"/>
        <v>0</v>
      </c>
      <c r="Q639" s="9">
        <v>1</v>
      </c>
      <c r="R639" s="10">
        <f t="shared" si="19"/>
        <v>0</v>
      </c>
    </row>
    <row r="640" spans="1:18" x14ac:dyDescent="0.3">
      <c r="A640" s="9">
        <v>18949</v>
      </c>
      <c r="B640" s="9" t="s">
        <v>40</v>
      </c>
      <c r="C640" s="9" t="s">
        <v>39</v>
      </c>
      <c r="D640" s="10">
        <v>70000</v>
      </c>
      <c r="E640" s="9" t="str" cm="1">
        <f t="array" ref="E640">_xlfn.IFS(D640&lt;= 60000, "Low Income",
D640&lt;=120000,"Medium Income",
D640&gt; 120000,"High Income"
)</f>
        <v>Medium Income</v>
      </c>
      <c r="F640" s="9">
        <v>0</v>
      </c>
      <c r="G640" s="9" t="s">
        <v>34</v>
      </c>
      <c r="H640" s="9" t="s">
        <v>31</v>
      </c>
      <c r="I640" s="9" t="s">
        <v>17</v>
      </c>
      <c r="J640" s="9">
        <v>2</v>
      </c>
      <c r="K640" s="9" t="s">
        <v>26</v>
      </c>
      <c r="L640" s="9" t="s">
        <v>35</v>
      </c>
      <c r="M640" s="9">
        <v>74</v>
      </c>
      <c r="N640" s="9" t="str" cm="1">
        <f t="array" ref="N640">_xlfn.IFS(
M640&lt;=12,"Children",
M640&lt;=19,"Teens",
M640&lt;=29,"Young Adults",
M640&lt;=39,"Adults",
M640&lt;=59,"Middle-Aged",
M640&gt;=60,"Seniors"
)</f>
        <v>Seniors</v>
      </c>
      <c r="O640" s="9" t="s">
        <v>17</v>
      </c>
      <c r="P640" s="9">
        <f t="shared" si="18"/>
        <v>1</v>
      </c>
      <c r="Q640" s="9">
        <v>1</v>
      </c>
      <c r="R640" s="10">
        <f t="shared" si="19"/>
        <v>70000</v>
      </c>
    </row>
    <row r="641" spans="1:18" x14ac:dyDescent="0.3">
      <c r="A641" s="9">
        <v>14507</v>
      </c>
      <c r="B641" s="9" t="s">
        <v>37</v>
      </c>
      <c r="C641" s="9" t="s">
        <v>39</v>
      </c>
      <c r="D641" s="10">
        <v>100000</v>
      </c>
      <c r="E641" s="9" t="str" cm="1">
        <f t="array" ref="E641">_xlfn.IFS(D641&lt;= 60000, "Low Income",
D641&lt;=120000,"Medium Income",
D641&gt; 120000,"High Income"
)</f>
        <v>Medium Income</v>
      </c>
      <c r="F641" s="9">
        <v>2</v>
      </c>
      <c r="G641" s="9" t="s">
        <v>34</v>
      </c>
      <c r="H641" s="9" t="s">
        <v>31</v>
      </c>
      <c r="I641" s="9" t="s">
        <v>17</v>
      </c>
      <c r="J641" s="9">
        <v>3</v>
      </c>
      <c r="K641" s="9" t="s">
        <v>29</v>
      </c>
      <c r="L641" s="9" t="s">
        <v>35</v>
      </c>
      <c r="M641" s="9">
        <v>65</v>
      </c>
      <c r="N641" s="9" t="str" cm="1">
        <f t="array" ref="N641">_xlfn.IFS(
M641&lt;=12,"Children",
M641&lt;=19,"Teens",
M641&lt;=29,"Young Adults",
M641&lt;=39,"Adults",
M641&lt;=59,"Middle-Aged",
M641&gt;=60,"Seniors"
)</f>
        <v>Seniors</v>
      </c>
      <c r="O641" s="9" t="s">
        <v>20</v>
      </c>
      <c r="P641" s="9">
        <f t="shared" si="18"/>
        <v>0</v>
      </c>
      <c r="Q641" s="9">
        <v>1</v>
      </c>
      <c r="R641" s="10">
        <f t="shared" si="19"/>
        <v>0</v>
      </c>
    </row>
    <row r="642" spans="1:18" x14ac:dyDescent="0.3">
      <c r="A642" s="9">
        <v>25886</v>
      </c>
      <c r="B642" s="9" t="s">
        <v>37</v>
      </c>
      <c r="C642" s="9" t="s">
        <v>38</v>
      </c>
      <c r="D642" s="10">
        <v>60000</v>
      </c>
      <c r="E642" s="9" t="str" cm="1">
        <f t="array" ref="E642">_xlfn.IFS(D642&lt;= 60000, "Low Income",
D642&lt;=120000,"Medium Income",
D642&gt; 120000,"High Income"
)</f>
        <v>Low Income</v>
      </c>
      <c r="F642" s="9">
        <v>2</v>
      </c>
      <c r="G642" s="9" t="s">
        <v>21</v>
      </c>
      <c r="H642" s="9" t="s">
        <v>23</v>
      </c>
      <c r="I642" s="9" t="s">
        <v>17</v>
      </c>
      <c r="J642" s="9">
        <v>2</v>
      </c>
      <c r="K642" s="9" t="s">
        <v>24</v>
      </c>
      <c r="L642" s="9" t="s">
        <v>35</v>
      </c>
      <c r="M642" s="9">
        <v>56</v>
      </c>
      <c r="N642" s="9" t="str" cm="1">
        <f t="array" ref="N642">_xlfn.IFS(
M642&lt;=12,"Children",
M642&lt;=19,"Teens",
M642&lt;=29,"Young Adults",
M642&lt;=39,"Adults",
M642&lt;=59,"Middle-Aged",
M642&gt;=60,"Seniors"
)</f>
        <v>Middle-Aged</v>
      </c>
      <c r="O642" s="9" t="s">
        <v>17</v>
      </c>
      <c r="P642" s="9">
        <f t="shared" si="18"/>
        <v>1</v>
      </c>
      <c r="Q642" s="9">
        <v>1</v>
      </c>
      <c r="R642" s="10">
        <f t="shared" si="19"/>
        <v>60000</v>
      </c>
    </row>
    <row r="643" spans="1:18" x14ac:dyDescent="0.3">
      <c r="A643" s="9">
        <v>21441</v>
      </c>
      <c r="B643" s="9" t="s">
        <v>37</v>
      </c>
      <c r="C643" s="9" t="s">
        <v>39</v>
      </c>
      <c r="D643" s="10">
        <v>50000</v>
      </c>
      <c r="E643" s="9" t="str" cm="1">
        <f t="array" ref="E643">_xlfn.IFS(D643&lt;= 60000, "Low Income",
D643&lt;=120000,"Medium Income",
D643&gt; 120000,"High Income"
)</f>
        <v>Low Income</v>
      </c>
      <c r="F643" s="9">
        <v>4</v>
      </c>
      <c r="G643" s="9" t="s">
        <v>15</v>
      </c>
      <c r="H643" s="9" t="s">
        <v>31</v>
      </c>
      <c r="I643" s="9" t="s">
        <v>17</v>
      </c>
      <c r="J643" s="9">
        <v>2</v>
      </c>
      <c r="K643" s="9" t="s">
        <v>41</v>
      </c>
      <c r="L643" s="9" t="s">
        <v>35</v>
      </c>
      <c r="M643" s="9">
        <v>64</v>
      </c>
      <c r="N643" s="9" t="str" cm="1">
        <f t="array" ref="N643">_xlfn.IFS(
M643&lt;=12,"Children",
M643&lt;=19,"Teens",
M643&lt;=29,"Young Adults",
M643&lt;=39,"Adults",
M643&lt;=59,"Middle-Aged",
M643&gt;=60,"Seniors"
)</f>
        <v>Seniors</v>
      </c>
      <c r="O643" s="9" t="s">
        <v>20</v>
      </c>
      <c r="P643" s="9">
        <f t="shared" ref="P643:P706" si="20">IF(O643="No", 0, 1)</f>
        <v>0</v>
      </c>
      <c r="Q643" s="9">
        <v>1</v>
      </c>
      <c r="R643" s="10">
        <f t="shared" ref="R643:R706" si="21">IF(P643=1, D643, 0)</f>
        <v>0</v>
      </c>
    </row>
    <row r="644" spans="1:18" x14ac:dyDescent="0.3">
      <c r="A644" s="9">
        <v>21741</v>
      </c>
      <c r="B644" s="9" t="s">
        <v>37</v>
      </c>
      <c r="C644" s="9" t="s">
        <v>38</v>
      </c>
      <c r="D644" s="10">
        <v>70000</v>
      </c>
      <c r="E644" s="9" t="str" cm="1">
        <f t="array" ref="E644">_xlfn.IFS(D644&lt;= 60000, "Low Income",
D644&lt;=120000,"Medium Income",
D644&gt; 120000,"High Income"
)</f>
        <v>Medium Income</v>
      </c>
      <c r="F644" s="9">
        <v>3</v>
      </c>
      <c r="G644" s="9" t="s">
        <v>21</v>
      </c>
      <c r="H644" s="9" t="s">
        <v>23</v>
      </c>
      <c r="I644" s="9" t="s">
        <v>17</v>
      </c>
      <c r="J644" s="9">
        <v>2</v>
      </c>
      <c r="K644" s="9" t="s">
        <v>26</v>
      </c>
      <c r="L644" s="9" t="s">
        <v>35</v>
      </c>
      <c r="M644" s="9">
        <v>50</v>
      </c>
      <c r="N644" s="9" t="str" cm="1">
        <f t="array" ref="N644">_xlfn.IFS(
M644&lt;=12,"Children",
M644&lt;=19,"Teens",
M644&lt;=29,"Young Adults",
M644&lt;=39,"Adults",
M644&lt;=59,"Middle-Aged",
M644&gt;=60,"Seniors"
)</f>
        <v>Middle-Aged</v>
      </c>
      <c r="O644" s="9" t="s">
        <v>17</v>
      </c>
      <c r="P644" s="9">
        <f t="shared" si="20"/>
        <v>1</v>
      </c>
      <c r="Q644" s="9">
        <v>1</v>
      </c>
      <c r="R644" s="10">
        <f t="shared" si="21"/>
        <v>70000</v>
      </c>
    </row>
    <row r="645" spans="1:18" x14ac:dyDescent="0.3">
      <c r="A645" s="9">
        <v>14572</v>
      </c>
      <c r="B645" s="9" t="s">
        <v>37</v>
      </c>
      <c r="C645" s="9" t="s">
        <v>38</v>
      </c>
      <c r="D645" s="10">
        <v>70000</v>
      </c>
      <c r="E645" s="9" t="str" cm="1">
        <f t="array" ref="E645">_xlfn.IFS(D645&lt;= 60000, "Low Income",
D645&lt;=120000,"Medium Income",
D645&gt; 120000,"High Income"
)</f>
        <v>Medium Income</v>
      </c>
      <c r="F645" s="9">
        <v>3</v>
      </c>
      <c r="G645" s="9" t="s">
        <v>34</v>
      </c>
      <c r="H645" s="9" t="s">
        <v>23</v>
      </c>
      <c r="I645" s="9" t="s">
        <v>17</v>
      </c>
      <c r="J645" s="9">
        <v>0</v>
      </c>
      <c r="K645" s="9" t="s">
        <v>24</v>
      </c>
      <c r="L645" s="9" t="s">
        <v>35</v>
      </c>
      <c r="M645" s="9">
        <v>35</v>
      </c>
      <c r="N645" s="9" t="str" cm="1">
        <f t="array" ref="N645">_xlfn.IFS(
M645&lt;=12,"Children",
M645&lt;=19,"Teens",
M645&lt;=29,"Young Adults",
M645&lt;=39,"Adults",
M645&lt;=59,"Middle-Aged",
M645&gt;=60,"Seniors"
)</f>
        <v>Adults</v>
      </c>
      <c r="O645" s="9" t="s">
        <v>17</v>
      </c>
      <c r="P645" s="9">
        <f t="shared" si="20"/>
        <v>1</v>
      </c>
      <c r="Q645" s="9">
        <v>1</v>
      </c>
      <c r="R645" s="10">
        <f t="shared" si="21"/>
        <v>70000</v>
      </c>
    </row>
    <row r="646" spans="1:18" x14ac:dyDescent="0.3">
      <c r="A646" s="9">
        <v>23368</v>
      </c>
      <c r="B646" s="9" t="s">
        <v>37</v>
      </c>
      <c r="C646" s="9" t="s">
        <v>38</v>
      </c>
      <c r="D646" s="10">
        <v>60000</v>
      </c>
      <c r="E646" s="9" t="str" cm="1">
        <f t="array" ref="E646">_xlfn.IFS(D646&lt;= 60000, "Low Income",
D646&lt;=120000,"Medium Income",
D646&gt; 120000,"High Income"
)</f>
        <v>Low Income</v>
      </c>
      <c r="F646" s="9">
        <v>5</v>
      </c>
      <c r="G646" s="9" t="s">
        <v>15</v>
      </c>
      <c r="H646" s="9" t="s">
        <v>16</v>
      </c>
      <c r="I646" s="9" t="s">
        <v>17</v>
      </c>
      <c r="J646" s="9">
        <v>3</v>
      </c>
      <c r="K646" s="9" t="s">
        <v>41</v>
      </c>
      <c r="L646" s="9" t="s">
        <v>35</v>
      </c>
      <c r="M646" s="9">
        <v>41</v>
      </c>
      <c r="N646" s="9" t="str" cm="1">
        <f t="array" ref="N646">_xlfn.IFS(
M646&lt;=12,"Children",
M646&lt;=19,"Teens",
M646&lt;=29,"Young Adults",
M646&lt;=39,"Adults",
M646&lt;=59,"Middle-Aged",
M646&gt;=60,"Seniors"
)</f>
        <v>Middle-Aged</v>
      </c>
      <c r="O646" s="9" t="s">
        <v>20</v>
      </c>
      <c r="P646" s="9">
        <f t="shared" si="20"/>
        <v>0</v>
      </c>
      <c r="Q646" s="9">
        <v>1</v>
      </c>
      <c r="R646" s="10">
        <f t="shared" si="21"/>
        <v>0</v>
      </c>
    </row>
    <row r="647" spans="1:18" x14ac:dyDescent="0.3">
      <c r="A647" s="9">
        <v>16217</v>
      </c>
      <c r="B647" s="9" t="s">
        <v>40</v>
      </c>
      <c r="C647" s="9" t="s">
        <v>38</v>
      </c>
      <c r="D647" s="10">
        <v>60000</v>
      </c>
      <c r="E647" s="9" t="str" cm="1">
        <f t="array" ref="E647">_xlfn.IFS(D647&lt;= 60000, "Low Income",
D647&lt;=120000,"Medium Income",
D647&gt; 120000,"High Income"
)</f>
        <v>Low Income</v>
      </c>
      <c r="F647" s="9">
        <v>0</v>
      </c>
      <c r="G647" s="9" t="s">
        <v>34</v>
      </c>
      <c r="H647" s="9" t="s">
        <v>16</v>
      </c>
      <c r="I647" s="9" t="s">
        <v>17</v>
      </c>
      <c r="J647" s="9">
        <v>0</v>
      </c>
      <c r="K647" s="9" t="s">
        <v>18</v>
      </c>
      <c r="L647" s="9" t="s">
        <v>35</v>
      </c>
      <c r="M647" s="9">
        <v>39</v>
      </c>
      <c r="N647" s="9" t="str" cm="1">
        <f t="array" ref="N647">_xlfn.IFS(
M647&lt;=12,"Children",
M647&lt;=19,"Teens",
M647&lt;=29,"Young Adults",
M647&lt;=39,"Adults",
M647&lt;=59,"Middle-Aged",
M647&gt;=60,"Seniors"
)</f>
        <v>Adults</v>
      </c>
      <c r="O647" s="9" t="s">
        <v>20</v>
      </c>
      <c r="P647" s="9">
        <f t="shared" si="20"/>
        <v>0</v>
      </c>
      <c r="Q647" s="9">
        <v>1</v>
      </c>
      <c r="R647" s="10">
        <f t="shared" si="21"/>
        <v>0</v>
      </c>
    </row>
    <row r="648" spans="1:18" x14ac:dyDescent="0.3">
      <c r="A648" s="9">
        <v>16247</v>
      </c>
      <c r="B648" s="9" t="s">
        <v>40</v>
      </c>
      <c r="C648" s="9" t="s">
        <v>38</v>
      </c>
      <c r="D648" s="10">
        <v>60000</v>
      </c>
      <c r="E648" s="9" t="str" cm="1">
        <f t="array" ref="E648">_xlfn.IFS(D648&lt;= 60000, "Low Income",
D648&lt;=120000,"Medium Income",
D648&gt; 120000,"High Income"
)</f>
        <v>Low Income</v>
      </c>
      <c r="F648" s="9">
        <v>4</v>
      </c>
      <c r="G648" s="9" t="s">
        <v>34</v>
      </c>
      <c r="H648" s="9" t="s">
        <v>16</v>
      </c>
      <c r="I648" s="9" t="s">
        <v>20</v>
      </c>
      <c r="J648" s="9">
        <v>0</v>
      </c>
      <c r="K648" s="9" t="s">
        <v>29</v>
      </c>
      <c r="L648" s="9" t="s">
        <v>35</v>
      </c>
      <c r="M648" s="9">
        <v>47</v>
      </c>
      <c r="N648" s="9" t="str" cm="1">
        <f t="array" ref="N648">_xlfn.IFS(
M648&lt;=12,"Children",
M648&lt;=19,"Teens",
M648&lt;=29,"Young Adults",
M648&lt;=39,"Adults",
M648&lt;=59,"Middle-Aged",
M648&gt;=60,"Seniors"
)</f>
        <v>Middle-Aged</v>
      </c>
      <c r="O648" s="9" t="s">
        <v>20</v>
      </c>
      <c r="P648" s="9">
        <f t="shared" si="20"/>
        <v>0</v>
      </c>
      <c r="Q648" s="9">
        <v>1</v>
      </c>
      <c r="R648" s="10">
        <f t="shared" si="21"/>
        <v>0</v>
      </c>
    </row>
    <row r="649" spans="1:18" x14ac:dyDescent="0.3">
      <c r="A649" s="9">
        <v>22010</v>
      </c>
      <c r="B649" s="9" t="s">
        <v>40</v>
      </c>
      <c r="C649" s="9" t="s">
        <v>39</v>
      </c>
      <c r="D649" s="10">
        <v>40000</v>
      </c>
      <c r="E649" s="9" t="str" cm="1">
        <f t="array" ref="E649">_xlfn.IFS(D649&lt;= 60000, "Low Income",
D649&lt;=120000,"Medium Income",
D649&gt; 120000,"High Income"
)</f>
        <v>Low Income</v>
      </c>
      <c r="F649" s="9">
        <v>0</v>
      </c>
      <c r="G649" s="9" t="s">
        <v>30</v>
      </c>
      <c r="H649" s="9" t="s">
        <v>16</v>
      </c>
      <c r="I649" s="9" t="s">
        <v>17</v>
      </c>
      <c r="J649" s="9">
        <v>2</v>
      </c>
      <c r="K649" s="9" t="s">
        <v>26</v>
      </c>
      <c r="L649" s="9" t="s">
        <v>35</v>
      </c>
      <c r="M649" s="9">
        <v>31</v>
      </c>
      <c r="N649" s="9" t="str" cm="1">
        <f t="array" ref="N649">_xlfn.IFS(
M649&lt;=12,"Children",
M649&lt;=19,"Teens",
M649&lt;=29,"Young Adults",
M649&lt;=39,"Adults",
M649&lt;=59,"Middle-Aged",
M649&gt;=60,"Seniors"
)</f>
        <v>Adults</v>
      </c>
      <c r="O649" s="9" t="s">
        <v>20</v>
      </c>
      <c r="P649" s="9">
        <f t="shared" si="20"/>
        <v>0</v>
      </c>
      <c r="Q649" s="9">
        <v>1</v>
      </c>
      <c r="R649" s="10">
        <f t="shared" si="21"/>
        <v>0</v>
      </c>
    </row>
    <row r="650" spans="1:18" x14ac:dyDescent="0.3">
      <c r="A650" s="9">
        <v>25872</v>
      </c>
      <c r="B650" s="9" t="s">
        <v>40</v>
      </c>
      <c r="C650" s="9" t="s">
        <v>38</v>
      </c>
      <c r="D650" s="10">
        <v>70000</v>
      </c>
      <c r="E650" s="9" t="str" cm="1">
        <f t="array" ref="E650">_xlfn.IFS(D650&lt;= 60000, "Low Income",
D650&lt;=120000,"Medium Income",
D650&gt; 120000,"High Income"
)</f>
        <v>Medium Income</v>
      </c>
      <c r="F650" s="9">
        <v>2</v>
      </c>
      <c r="G650" s="9" t="s">
        <v>15</v>
      </c>
      <c r="H650" s="9" t="s">
        <v>31</v>
      </c>
      <c r="I650" s="9" t="s">
        <v>20</v>
      </c>
      <c r="J650" s="9">
        <v>1</v>
      </c>
      <c r="K650" s="9" t="s">
        <v>24</v>
      </c>
      <c r="L650" s="9" t="s">
        <v>35</v>
      </c>
      <c r="M650" s="9">
        <v>58</v>
      </c>
      <c r="N650" s="9" t="str" cm="1">
        <f t="array" ref="N650">_xlfn.IFS(
M650&lt;=12,"Children",
M650&lt;=19,"Teens",
M650&lt;=29,"Young Adults",
M650&lt;=39,"Adults",
M650&lt;=59,"Middle-Aged",
M650&gt;=60,"Seniors"
)</f>
        <v>Middle-Aged</v>
      </c>
      <c r="O650" s="9" t="s">
        <v>17</v>
      </c>
      <c r="P650" s="9">
        <f t="shared" si="20"/>
        <v>1</v>
      </c>
      <c r="Q650" s="9">
        <v>1</v>
      </c>
      <c r="R650" s="10">
        <f t="shared" si="21"/>
        <v>70000</v>
      </c>
    </row>
    <row r="651" spans="1:18" x14ac:dyDescent="0.3">
      <c r="A651" s="9">
        <v>19164</v>
      </c>
      <c r="B651" s="9" t="s">
        <v>40</v>
      </c>
      <c r="C651" s="9" t="s">
        <v>38</v>
      </c>
      <c r="D651" s="10">
        <v>70000</v>
      </c>
      <c r="E651" s="9" t="str" cm="1">
        <f t="array" ref="E651">_xlfn.IFS(D651&lt;= 60000, "Low Income",
D651&lt;=120000,"Medium Income",
D651&gt; 120000,"High Income"
)</f>
        <v>Medium Income</v>
      </c>
      <c r="F651" s="9">
        <v>0</v>
      </c>
      <c r="G651" s="9" t="s">
        <v>15</v>
      </c>
      <c r="H651" s="9" t="s">
        <v>23</v>
      </c>
      <c r="I651" s="9" t="s">
        <v>20</v>
      </c>
      <c r="J651" s="9">
        <v>1</v>
      </c>
      <c r="K651" s="9" t="s">
        <v>24</v>
      </c>
      <c r="L651" s="9" t="s">
        <v>35</v>
      </c>
      <c r="M651" s="9">
        <v>38</v>
      </c>
      <c r="N651" s="9" t="str" cm="1">
        <f t="array" ref="N651">_xlfn.IFS(
M651&lt;=12,"Children",
M651&lt;=19,"Teens",
M651&lt;=29,"Young Adults",
M651&lt;=39,"Adults",
M651&lt;=59,"Middle-Aged",
M651&gt;=60,"Seniors"
)</f>
        <v>Adults</v>
      </c>
      <c r="O651" s="9" t="s">
        <v>17</v>
      </c>
      <c r="P651" s="9">
        <f t="shared" si="20"/>
        <v>1</v>
      </c>
      <c r="Q651" s="9">
        <v>1</v>
      </c>
      <c r="R651" s="10">
        <f t="shared" si="21"/>
        <v>70000</v>
      </c>
    </row>
    <row r="652" spans="1:18" x14ac:dyDescent="0.3">
      <c r="A652" s="9">
        <v>18435</v>
      </c>
      <c r="B652" s="9" t="s">
        <v>40</v>
      </c>
      <c r="C652" s="9" t="s">
        <v>38</v>
      </c>
      <c r="D652" s="10">
        <v>70000</v>
      </c>
      <c r="E652" s="9" t="str" cm="1">
        <f t="array" ref="E652">_xlfn.IFS(D652&lt;= 60000, "Low Income",
D652&lt;=120000,"Medium Income",
D652&gt; 120000,"High Income"
)</f>
        <v>Medium Income</v>
      </c>
      <c r="F652" s="9">
        <v>5</v>
      </c>
      <c r="G652" s="9" t="s">
        <v>34</v>
      </c>
      <c r="H652" s="9" t="s">
        <v>31</v>
      </c>
      <c r="I652" s="9" t="s">
        <v>17</v>
      </c>
      <c r="J652" s="9">
        <v>2</v>
      </c>
      <c r="K652" s="9" t="s">
        <v>41</v>
      </c>
      <c r="L652" s="9" t="s">
        <v>35</v>
      </c>
      <c r="M652" s="9">
        <v>67</v>
      </c>
      <c r="N652" s="9" t="str" cm="1">
        <f t="array" ref="N652">_xlfn.IFS(
M652&lt;=12,"Children",
M652&lt;=19,"Teens",
M652&lt;=29,"Young Adults",
M652&lt;=39,"Adults",
M652&lt;=59,"Middle-Aged",
M652&gt;=60,"Seniors"
)</f>
        <v>Seniors</v>
      </c>
      <c r="O652" s="9" t="s">
        <v>17</v>
      </c>
      <c r="P652" s="9">
        <f t="shared" si="20"/>
        <v>1</v>
      </c>
      <c r="Q652" s="9">
        <v>1</v>
      </c>
      <c r="R652" s="10">
        <f t="shared" si="21"/>
        <v>70000</v>
      </c>
    </row>
    <row r="653" spans="1:18" x14ac:dyDescent="0.3">
      <c r="A653" s="9">
        <v>14284</v>
      </c>
      <c r="B653" s="9" t="s">
        <v>40</v>
      </c>
      <c r="C653" s="9" t="s">
        <v>39</v>
      </c>
      <c r="D653" s="10">
        <v>60000</v>
      </c>
      <c r="E653" s="9" t="str" cm="1">
        <f t="array" ref="E653">_xlfn.IFS(D653&lt;= 60000, "Low Income",
D653&lt;=120000,"Medium Income",
D653&gt; 120000,"High Income"
)</f>
        <v>Low Income</v>
      </c>
      <c r="F653" s="9">
        <v>0</v>
      </c>
      <c r="G653" s="9" t="s">
        <v>21</v>
      </c>
      <c r="H653" s="9" t="s">
        <v>23</v>
      </c>
      <c r="I653" s="9" t="s">
        <v>20</v>
      </c>
      <c r="J653" s="9">
        <v>2</v>
      </c>
      <c r="K653" s="9" t="s">
        <v>29</v>
      </c>
      <c r="L653" s="9" t="s">
        <v>35</v>
      </c>
      <c r="M653" s="9">
        <v>32</v>
      </c>
      <c r="N653" s="9" t="str" cm="1">
        <f t="array" ref="N653">_xlfn.IFS(
M653&lt;=12,"Children",
M653&lt;=19,"Teens",
M653&lt;=29,"Young Adults",
M653&lt;=39,"Adults",
M653&lt;=59,"Middle-Aged",
M653&gt;=60,"Seniors"
)</f>
        <v>Adults</v>
      </c>
      <c r="O653" s="9" t="s">
        <v>17</v>
      </c>
      <c r="P653" s="9">
        <f t="shared" si="20"/>
        <v>1</v>
      </c>
      <c r="Q653" s="9">
        <v>1</v>
      </c>
      <c r="R653" s="10">
        <f t="shared" si="21"/>
        <v>60000</v>
      </c>
    </row>
    <row r="654" spans="1:18" x14ac:dyDescent="0.3">
      <c r="A654" s="9">
        <v>11287</v>
      </c>
      <c r="B654" s="9" t="s">
        <v>37</v>
      </c>
      <c r="C654" s="9" t="s">
        <v>39</v>
      </c>
      <c r="D654" s="10">
        <v>70000</v>
      </c>
      <c r="E654" s="9" t="str" cm="1">
        <f t="array" ref="E654">_xlfn.IFS(D654&lt;= 60000, "Low Income",
D654&lt;=120000,"Medium Income",
D654&gt; 120000,"High Income"
)</f>
        <v>Medium Income</v>
      </c>
      <c r="F654" s="9">
        <v>5</v>
      </c>
      <c r="G654" s="9" t="s">
        <v>21</v>
      </c>
      <c r="H654" s="9" t="s">
        <v>23</v>
      </c>
      <c r="I654" s="9" t="s">
        <v>20</v>
      </c>
      <c r="J654" s="9">
        <v>3</v>
      </c>
      <c r="K654" s="9" t="s">
        <v>26</v>
      </c>
      <c r="L654" s="9" t="s">
        <v>35</v>
      </c>
      <c r="M654" s="9">
        <v>45</v>
      </c>
      <c r="N654" s="9" t="str" cm="1">
        <f t="array" ref="N654">_xlfn.IFS(
M654&lt;=12,"Children",
M654&lt;=19,"Teens",
M654&lt;=29,"Young Adults",
M654&lt;=39,"Adults",
M654&lt;=59,"Middle-Aged",
M654&gt;=60,"Seniors"
)</f>
        <v>Middle-Aged</v>
      </c>
      <c r="O654" s="9" t="s">
        <v>20</v>
      </c>
      <c r="P654" s="9">
        <f t="shared" si="20"/>
        <v>0</v>
      </c>
      <c r="Q654" s="9">
        <v>1</v>
      </c>
      <c r="R654" s="10">
        <f t="shared" si="21"/>
        <v>0</v>
      </c>
    </row>
    <row r="655" spans="1:18" x14ac:dyDescent="0.3">
      <c r="A655" s="9">
        <v>13066</v>
      </c>
      <c r="B655" s="9" t="s">
        <v>40</v>
      </c>
      <c r="C655" s="9" t="s">
        <v>39</v>
      </c>
      <c r="D655" s="10">
        <v>30000</v>
      </c>
      <c r="E655" s="9" t="str" cm="1">
        <f t="array" ref="E655">_xlfn.IFS(D655&lt;= 60000, "Low Income",
D655&lt;=120000,"Medium Income",
D655&gt; 120000,"High Income"
)</f>
        <v>Low Income</v>
      </c>
      <c r="F655" s="9">
        <v>0</v>
      </c>
      <c r="G655" s="9" t="s">
        <v>30</v>
      </c>
      <c r="H655" s="9" t="s">
        <v>16</v>
      </c>
      <c r="I655" s="9" t="s">
        <v>20</v>
      </c>
      <c r="J655" s="9">
        <v>2</v>
      </c>
      <c r="K655" s="9" t="s">
        <v>29</v>
      </c>
      <c r="L655" s="9" t="s">
        <v>35</v>
      </c>
      <c r="M655" s="9">
        <v>31</v>
      </c>
      <c r="N655" s="9" t="str" cm="1">
        <f t="array" ref="N655">_xlfn.IFS(
M655&lt;=12,"Children",
M655&lt;=19,"Teens",
M655&lt;=29,"Young Adults",
M655&lt;=39,"Adults",
M655&lt;=59,"Middle-Aged",
M655&gt;=60,"Seniors"
)</f>
        <v>Adults</v>
      </c>
      <c r="O655" s="9" t="s">
        <v>17</v>
      </c>
      <c r="P655" s="9">
        <f t="shared" si="20"/>
        <v>1</v>
      </c>
      <c r="Q655" s="9">
        <v>1</v>
      </c>
      <c r="R655" s="10">
        <f t="shared" si="21"/>
        <v>30000</v>
      </c>
    </row>
    <row r="656" spans="1:18" x14ac:dyDescent="0.3">
      <c r="A656" s="9">
        <v>29106</v>
      </c>
      <c r="B656" s="9" t="s">
        <v>40</v>
      </c>
      <c r="C656" s="9" t="s">
        <v>39</v>
      </c>
      <c r="D656" s="10">
        <v>40000</v>
      </c>
      <c r="E656" s="9" t="str" cm="1">
        <f t="array" ref="E656">_xlfn.IFS(D656&lt;= 60000, "Low Income",
D656&lt;=120000,"Medium Income",
D656&gt; 120000,"High Income"
)</f>
        <v>Low Income</v>
      </c>
      <c r="F656" s="9">
        <v>0</v>
      </c>
      <c r="G656" s="9" t="s">
        <v>30</v>
      </c>
      <c r="H656" s="9" t="s">
        <v>16</v>
      </c>
      <c r="I656" s="9" t="s">
        <v>20</v>
      </c>
      <c r="J656" s="9">
        <v>2</v>
      </c>
      <c r="K656" s="9" t="s">
        <v>29</v>
      </c>
      <c r="L656" s="9" t="s">
        <v>35</v>
      </c>
      <c r="M656" s="9">
        <v>31</v>
      </c>
      <c r="N656" s="9" t="str" cm="1">
        <f t="array" ref="N656">_xlfn.IFS(
M656&lt;=12,"Children",
M656&lt;=19,"Teens",
M656&lt;=29,"Young Adults",
M656&lt;=39,"Adults",
M656&lt;=59,"Middle-Aged",
M656&gt;=60,"Seniors"
)</f>
        <v>Adults</v>
      </c>
      <c r="O656" s="9" t="s">
        <v>17</v>
      </c>
      <c r="P656" s="9">
        <f t="shared" si="20"/>
        <v>1</v>
      </c>
      <c r="Q656" s="9">
        <v>1</v>
      </c>
      <c r="R656" s="10">
        <f t="shared" si="21"/>
        <v>40000</v>
      </c>
    </row>
    <row r="657" spans="1:18" x14ac:dyDescent="0.3">
      <c r="A657" s="9">
        <v>26236</v>
      </c>
      <c r="B657" s="9" t="s">
        <v>37</v>
      </c>
      <c r="C657" s="9" t="s">
        <v>38</v>
      </c>
      <c r="D657" s="10">
        <v>40000</v>
      </c>
      <c r="E657" s="9" t="str" cm="1">
        <f t="array" ref="E657">_xlfn.IFS(D657&lt;= 60000, "Low Income",
D657&lt;=120000,"Medium Income",
D657&gt; 120000,"High Income"
)</f>
        <v>Low Income</v>
      </c>
      <c r="F657" s="9">
        <v>3</v>
      </c>
      <c r="G657" s="9" t="s">
        <v>21</v>
      </c>
      <c r="H657" s="9" t="s">
        <v>22</v>
      </c>
      <c r="I657" s="9" t="s">
        <v>17</v>
      </c>
      <c r="J657" s="9">
        <v>1</v>
      </c>
      <c r="K657" s="9" t="s">
        <v>18</v>
      </c>
      <c r="L657" s="9" t="s">
        <v>35</v>
      </c>
      <c r="M657" s="9">
        <v>31</v>
      </c>
      <c r="N657" s="9" t="str" cm="1">
        <f t="array" ref="N657">_xlfn.IFS(
M657&lt;=12,"Children",
M657&lt;=19,"Teens",
M657&lt;=29,"Young Adults",
M657&lt;=39,"Adults",
M657&lt;=59,"Middle-Aged",
M657&gt;=60,"Seniors"
)</f>
        <v>Adults</v>
      </c>
      <c r="O657" s="9" t="s">
        <v>20</v>
      </c>
      <c r="P657" s="9">
        <f t="shared" si="20"/>
        <v>0</v>
      </c>
      <c r="Q657" s="9">
        <v>1</v>
      </c>
      <c r="R657" s="10">
        <f t="shared" si="21"/>
        <v>0</v>
      </c>
    </row>
    <row r="658" spans="1:18" x14ac:dyDescent="0.3">
      <c r="A658" s="9">
        <v>17531</v>
      </c>
      <c r="B658" s="9" t="s">
        <v>37</v>
      </c>
      <c r="C658" s="9" t="s">
        <v>39</v>
      </c>
      <c r="D658" s="10">
        <v>60000</v>
      </c>
      <c r="E658" s="9" t="str" cm="1">
        <f t="array" ref="E658">_xlfn.IFS(D658&lt;= 60000, "Low Income",
D658&lt;=120000,"Medium Income",
D658&gt; 120000,"High Income"
)</f>
        <v>Low Income</v>
      </c>
      <c r="F658" s="9">
        <v>2</v>
      </c>
      <c r="G658" s="9" t="s">
        <v>30</v>
      </c>
      <c r="H658" s="9" t="s">
        <v>23</v>
      </c>
      <c r="I658" s="9" t="s">
        <v>20</v>
      </c>
      <c r="J658" s="9">
        <v>2</v>
      </c>
      <c r="K658" s="9" t="s">
        <v>26</v>
      </c>
      <c r="L658" s="9" t="s">
        <v>35</v>
      </c>
      <c r="M658" s="9">
        <v>50</v>
      </c>
      <c r="N658" s="9" t="str" cm="1">
        <f t="array" ref="N658">_xlfn.IFS(
M658&lt;=12,"Children",
M658&lt;=19,"Teens",
M658&lt;=29,"Young Adults",
M658&lt;=39,"Adults",
M658&lt;=59,"Middle-Aged",
M658&gt;=60,"Seniors"
)</f>
        <v>Middle-Aged</v>
      </c>
      <c r="O658" s="9" t="s">
        <v>20</v>
      </c>
      <c r="P658" s="9">
        <f t="shared" si="20"/>
        <v>0</v>
      </c>
      <c r="Q658" s="9">
        <v>1</v>
      </c>
      <c r="R658" s="10">
        <f t="shared" si="21"/>
        <v>0</v>
      </c>
    </row>
    <row r="659" spans="1:18" x14ac:dyDescent="0.3">
      <c r="A659" s="9">
        <v>12964</v>
      </c>
      <c r="B659" s="9" t="s">
        <v>37</v>
      </c>
      <c r="C659" s="9" t="s">
        <v>39</v>
      </c>
      <c r="D659" s="10">
        <v>70000</v>
      </c>
      <c r="E659" s="9" t="str" cm="1">
        <f t="array" ref="E659">_xlfn.IFS(D659&lt;= 60000, "Low Income",
D659&lt;=120000,"Medium Income",
D659&gt; 120000,"High Income"
)</f>
        <v>Medium Income</v>
      </c>
      <c r="F659" s="9">
        <v>1</v>
      </c>
      <c r="G659" s="9" t="s">
        <v>21</v>
      </c>
      <c r="H659" s="9" t="s">
        <v>16</v>
      </c>
      <c r="I659" s="9" t="s">
        <v>17</v>
      </c>
      <c r="J659" s="9">
        <v>1</v>
      </c>
      <c r="K659" s="9" t="s">
        <v>18</v>
      </c>
      <c r="L659" s="9" t="s">
        <v>35</v>
      </c>
      <c r="M659" s="9">
        <v>44</v>
      </c>
      <c r="N659" s="9" t="str" cm="1">
        <f t="array" ref="N659">_xlfn.IFS(
M659&lt;=12,"Children",
M659&lt;=19,"Teens",
M659&lt;=29,"Young Adults",
M659&lt;=39,"Adults",
M659&lt;=59,"Middle-Aged",
M659&gt;=60,"Seniors"
)</f>
        <v>Middle-Aged</v>
      </c>
      <c r="O659" s="9" t="s">
        <v>20</v>
      </c>
      <c r="P659" s="9">
        <f t="shared" si="20"/>
        <v>0</v>
      </c>
      <c r="Q659" s="9">
        <v>1</v>
      </c>
      <c r="R659" s="10">
        <f t="shared" si="21"/>
        <v>0</v>
      </c>
    </row>
    <row r="660" spans="1:18" x14ac:dyDescent="0.3">
      <c r="A660" s="9">
        <v>19133</v>
      </c>
      <c r="B660" s="9" t="s">
        <v>40</v>
      </c>
      <c r="C660" s="9" t="s">
        <v>39</v>
      </c>
      <c r="D660" s="10">
        <v>50000</v>
      </c>
      <c r="E660" s="9" t="str" cm="1">
        <f t="array" ref="E660">_xlfn.IFS(D660&lt;= 60000, "Low Income",
D660&lt;=120000,"Medium Income",
D660&gt; 120000,"High Income"
)</f>
        <v>Low Income</v>
      </c>
      <c r="F660" s="9">
        <v>2</v>
      </c>
      <c r="G660" s="9" t="s">
        <v>15</v>
      </c>
      <c r="H660" s="9" t="s">
        <v>16</v>
      </c>
      <c r="I660" s="9" t="s">
        <v>17</v>
      </c>
      <c r="J660" s="9">
        <v>1</v>
      </c>
      <c r="K660" s="9" t="s">
        <v>24</v>
      </c>
      <c r="L660" s="9" t="s">
        <v>35</v>
      </c>
      <c r="M660" s="9">
        <v>38</v>
      </c>
      <c r="N660" s="9" t="str" cm="1">
        <f t="array" ref="N660">_xlfn.IFS(
M660&lt;=12,"Children",
M660&lt;=19,"Teens",
M660&lt;=29,"Young Adults",
M660&lt;=39,"Adults",
M660&lt;=59,"Middle-Aged",
M660&gt;=60,"Seniors"
)</f>
        <v>Adults</v>
      </c>
      <c r="O660" s="9" t="s">
        <v>17</v>
      </c>
      <c r="P660" s="9">
        <f t="shared" si="20"/>
        <v>1</v>
      </c>
      <c r="Q660" s="9">
        <v>1</v>
      </c>
      <c r="R660" s="10">
        <f t="shared" si="21"/>
        <v>50000</v>
      </c>
    </row>
    <row r="661" spans="1:18" x14ac:dyDescent="0.3">
      <c r="A661" s="9">
        <v>24643</v>
      </c>
      <c r="B661" s="9" t="s">
        <v>40</v>
      </c>
      <c r="C661" s="9" t="s">
        <v>38</v>
      </c>
      <c r="D661" s="10">
        <v>60000</v>
      </c>
      <c r="E661" s="9" t="str" cm="1">
        <f t="array" ref="E661">_xlfn.IFS(D661&lt;= 60000, "Low Income",
D661&lt;=120000,"Medium Income",
D661&gt; 120000,"High Income"
)</f>
        <v>Low Income</v>
      </c>
      <c r="F661" s="9">
        <v>4</v>
      </c>
      <c r="G661" s="9" t="s">
        <v>15</v>
      </c>
      <c r="H661" s="9" t="s">
        <v>31</v>
      </c>
      <c r="I661" s="9" t="s">
        <v>17</v>
      </c>
      <c r="J661" s="9">
        <v>2</v>
      </c>
      <c r="K661" s="9" t="s">
        <v>41</v>
      </c>
      <c r="L661" s="9" t="s">
        <v>35</v>
      </c>
      <c r="M661" s="9">
        <v>63</v>
      </c>
      <c r="N661" s="9" t="str" cm="1">
        <f t="array" ref="N661">_xlfn.IFS(
M661&lt;=12,"Children",
M661&lt;=19,"Teens",
M661&lt;=29,"Young Adults",
M661&lt;=39,"Adults",
M661&lt;=59,"Middle-Aged",
M661&gt;=60,"Seniors"
)</f>
        <v>Seniors</v>
      </c>
      <c r="O661" s="9" t="s">
        <v>20</v>
      </c>
      <c r="P661" s="9">
        <f t="shared" si="20"/>
        <v>0</v>
      </c>
      <c r="Q661" s="9">
        <v>1</v>
      </c>
      <c r="R661" s="10">
        <f t="shared" si="21"/>
        <v>0</v>
      </c>
    </row>
    <row r="662" spans="1:18" x14ac:dyDescent="0.3">
      <c r="A662" s="9">
        <v>21599</v>
      </c>
      <c r="B662" s="9" t="s">
        <v>37</v>
      </c>
      <c r="C662" s="9" t="s">
        <v>38</v>
      </c>
      <c r="D662" s="10">
        <v>60000</v>
      </c>
      <c r="E662" s="9" t="str" cm="1">
        <f t="array" ref="E662">_xlfn.IFS(D662&lt;= 60000, "Low Income",
D662&lt;=120000,"Medium Income",
D662&gt; 120000,"High Income"
)</f>
        <v>Low Income</v>
      </c>
      <c r="F662" s="9">
        <v>1</v>
      </c>
      <c r="G662" s="9" t="s">
        <v>34</v>
      </c>
      <c r="H662" s="9" t="s">
        <v>23</v>
      </c>
      <c r="I662" s="9" t="s">
        <v>17</v>
      </c>
      <c r="J662" s="9">
        <v>0</v>
      </c>
      <c r="K662" s="9" t="s">
        <v>24</v>
      </c>
      <c r="L662" s="9" t="s">
        <v>35</v>
      </c>
      <c r="M662" s="9">
        <v>36</v>
      </c>
      <c r="N662" s="9" t="str" cm="1">
        <f t="array" ref="N662">_xlfn.IFS(
M662&lt;=12,"Children",
M662&lt;=19,"Teens",
M662&lt;=29,"Young Adults",
M662&lt;=39,"Adults",
M662&lt;=59,"Middle-Aged",
M662&gt;=60,"Seniors"
)</f>
        <v>Adults</v>
      </c>
      <c r="O662" s="9" t="s">
        <v>17</v>
      </c>
      <c r="P662" s="9">
        <f t="shared" si="20"/>
        <v>1</v>
      </c>
      <c r="Q662" s="9">
        <v>1</v>
      </c>
      <c r="R662" s="10">
        <f t="shared" si="21"/>
        <v>60000</v>
      </c>
    </row>
    <row r="663" spans="1:18" x14ac:dyDescent="0.3">
      <c r="A663" s="9">
        <v>22976</v>
      </c>
      <c r="B663" s="9" t="s">
        <v>40</v>
      </c>
      <c r="C663" s="9" t="s">
        <v>39</v>
      </c>
      <c r="D663" s="10">
        <v>40000</v>
      </c>
      <c r="E663" s="9" t="str" cm="1">
        <f t="array" ref="E663">_xlfn.IFS(D663&lt;= 60000, "Low Income",
D663&lt;=120000,"Medium Income",
D663&gt; 120000,"High Income"
)</f>
        <v>Low Income</v>
      </c>
      <c r="F663" s="9">
        <v>0</v>
      </c>
      <c r="G663" s="9" t="s">
        <v>30</v>
      </c>
      <c r="H663" s="9" t="s">
        <v>16</v>
      </c>
      <c r="I663" s="9" t="s">
        <v>20</v>
      </c>
      <c r="J663" s="9">
        <v>2</v>
      </c>
      <c r="K663" s="9" t="s">
        <v>18</v>
      </c>
      <c r="L663" s="9" t="s">
        <v>35</v>
      </c>
      <c r="M663" s="9">
        <v>28</v>
      </c>
      <c r="N663" s="9" t="str" cm="1">
        <f t="array" ref="N663">_xlfn.IFS(
M663&lt;=12,"Children",
M663&lt;=19,"Teens",
M663&lt;=29,"Young Adults",
M663&lt;=39,"Adults",
M663&lt;=59,"Middle-Aged",
M663&gt;=60,"Seniors"
)</f>
        <v>Young Adults</v>
      </c>
      <c r="O663" s="9" t="s">
        <v>17</v>
      </c>
      <c r="P663" s="9">
        <f t="shared" si="20"/>
        <v>1</v>
      </c>
      <c r="Q663" s="9">
        <v>1</v>
      </c>
      <c r="R663" s="10">
        <f t="shared" si="21"/>
        <v>40000</v>
      </c>
    </row>
    <row r="664" spans="1:18" x14ac:dyDescent="0.3">
      <c r="A664" s="9">
        <v>27637</v>
      </c>
      <c r="B664" s="9" t="s">
        <v>40</v>
      </c>
      <c r="C664" s="9" t="s">
        <v>38</v>
      </c>
      <c r="D664" s="10">
        <v>100000</v>
      </c>
      <c r="E664" s="9" t="str" cm="1">
        <f t="array" ref="E664">_xlfn.IFS(D664&lt;= 60000, "Low Income",
D664&lt;=120000,"Medium Income",
D664&gt; 120000,"High Income"
)</f>
        <v>Medium Income</v>
      </c>
      <c r="F664" s="9">
        <v>1</v>
      </c>
      <c r="G664" s="9" t="s">
        <v>21</v>
      </c>
      <c r="H664" s="9" t="s">
        <v>23</v>
      </c>
      <c r="I664" s="9" t="s">
        <v>20</v>
      </c>
      <c r="J664" s="9">
        <v>3</v>
      </c>
      <c r="K664" s="9" t="s">
        <v>29</v>
      </c>
      <c r="L664" s="9" t="s">
        <v>35</v>
      </c>
      <c r="M664" s="9">
        <v>44</v>
      </c>
      <c r="N664" s="9" t="str" cm="1">
        <f t="array" ref="N664">_xlfn.IFS(
M664&lt;=12,"Children",
M664&lt;=19,"Teens",
M664&lt;=29,"Young Adults",
M664&lt;=39,"Adults",
M664&lt;=59,"Middle-Aged",
M664&gt;=60,"Seniors"
)</f>
        <v>Middle-Aged</v>
      </c>
      <c r="O664" s="9" t="s">
        <v>20</v>
      </c>
      <c r="P664" s="9">
        <f t="shared" si="20"/>
        <v>0</v>
      </c>
      <c r="Q664" s="9">
        <v>1</v>
      </c>
      <c r="R664" s="10">
        <f t="shared" si="21"/>
        <v>0</v>
      </c>
    </row>
    <row r="665" spans="1:18" x14ac:dyDescent="0.3">
      <c r="A665" s="9">
        <v>11890</v>
      </c>
      <c r="B665" s="9" t="s">
        <v>37</v>
      </c>
      <c r="C665" s="9" t="s">
        <v>38</v>
      </c>
      <c r="D665" s="10">
        <v>70000</v>
      </c>
      <c r="E665" s="9" t="str" cm="1">
        <f t="array" ref="E665">_xlfn.IFS(D665&lt;= 60000, "Low Income",
D665&lt;=120000,"Medium Income",
D665&gt; 120000,"High Income"
)</f>
        <v>Medium Income</v>
      </c>
      <c r="F665" s="9">
        <v>5</v>
      </c>
      <c r="G665" s="9" t="s">
        <v>34</v>
      </c>
      <c r="H665" s="9" t="s">
        <v>23</v>
      </c>
      <c r="I665" s="9" t="s">
        <v>17</v>
      </c>
      <c r="J665" s="9">
        <v>1</v>
      </c>
      <c r="K665" s="9" t="s">
        <v>18</v>
      </c>
      <c r="L665" s="9" t="s">
        <v>35</v>
      </c>
      <c r="M665" s="9">
        <v>47</v>
      </c>
      <c r="N665" s="9" t="str" cm="1">
        <f t="array" ref="N665">_xlfn.IFS(
M665&lt;=12,"Children",
M665&lt;=19,"Teens",
M665&lt;=29,"Young Adults",
M665&lt;=39,"Adults",
M665&lt;=59,"Middle-Aged",
M665&gt;=60,"Seniors"
)</f>
        <v>Middle-Aged</v>
      </c>
      <c r="O665" s="9" t="s">
        <v>20</v>
      </c>
      <c r="P665" s="9">
        <f t="shared" si="20"/>
        <v>0</v>
      </c>
      <c r="Q665" s="9">
        <v>1</v>
      </c>
      <c r="R665" s="10">
        <f t="shared" si="21"/>
        <v>0</v>
      </c>
    </row>
    <row r="666" spans="1:18" x14ac:dyDescent="0.3">
      <c r="A666" s="9">
        <v>28580</v>
      </c>
      <c r="B666" s="9" t="s">
        <v>37</v>
      </c>
      <c r="C666" s="9" t="s">
        <v>38</v>
      </c>
      <c r="D666" s="10">
        <v>80000</v>
      </c>
      <c r="E666" s="9" t="str" cm="1">
        <f t="array" ref="E666">_xlfn.IFS(D666&lt;= 60000, "Low Income",
D666&lt;=120000,"Medium Income",
D666&gt; 120000,"High Income"
)</f>
        <v>Medium Income</v>
      </c>
      <c r="F666" s="9">
        <v>0</v>
      </c>
      <c r="G666" s="9" t="s">
        <v>34</v>
      </c>
      <c r="H666" s="9" t="s">
        <v>16</v>
      </c>
      <c r="I666" s="9" t="s">
        <v>17</v>
      </c>
      <c r="J666" s="9">
        <v>0</v>
      </c>
      <c r="K666" s="9" t="s">
        <v>29</v>
      </c>
      <c r="L666" s="9" t="s">
        <v>35</v>
      </c>
      <c r="M666" s="9">
        <v>40</v>
      </c>
      <c r="N666" s="9" t="str" cm="1">
        <f t="array" ref="N666">_xlfn.IFS(
M666&lt;=12,"Children",
M666&lt;=19,"Teens",
M666&lt;=29,"Young Adults",
M666&lt;=39,"Adults",
M666&lt;=59,"Middle-Aged",
M666&gt;=60,"Seniors"
)</f>
        <v>Middle-Aged</v>
      </c>
      <c r="O666" s="9" t="s">
        <v>17</v>
      </c>
      <c r="P666" s="9">
        <f t="shared" si="20"/>
        <v>1</v>
      </c>
      <c r="Q666" s="9">
        <v>1</v>
      </c>
      <c r="R666" s="10">
        <f t="shared" si="21"/>
        <v>80000</v>
      </c>
    </row>
    <row r="667" spans="1:18" x14ac:dyDescent="0.3">
      <c r="A667" s="9">
        <v>14443</v>
      </c>
      <c r="B667" s="9" t="s">
        <v>37</v>
      </c>
      <c r="C667" s="9" t="s">
        <v>39</v>
      </c>
      <c r="D667" s="10">
        <v>130000</v>
      </c>
      <c r="E667" s="9" t="str" cm="1">
        <f t="array" ref="E667">_xlfn.IFS(D667&lt;= 60000, "Low Income",
D667&lt;=120000,"Medium Income",
D667&gt; 120000,"High Income"
)</f>
        <v>High Income</v>
      </c>
      <c r="F667" s="9">
        <v>1</v>
      </c>
      <c r="G667" s="9" t="s">
        <v>34</v>
      </c>
      <c r="H667" s="9" t="s">
        <v>31</v>
      </c>
      <c r="I667" s="9" t="s">
        <v>17</v>
      </c>
      <c r="J667" s="9">
        <v>4</v>
      </c>
      <c r="K667" s="9" t="s">
        <v>18</v>
      </c>
      <c r="L667" s="9" t="s">
        <v>35</v>
      </c>
      <c r="M667" s="9">
        <v>40</v>
      </c>
      <c r="N667" s="9" t="str" cm="1">
        <f t="array" ref="N667">_xlfn.IFS(
M667&lt;=12,"Children",
M667&lt;=19,"Teens",
M667&lt;=29,"Young Adults",
M667&lt;=39,"Adults",
M667&lt;=59,"Middle-Aged",
M667&gt;=60,"Seniors"
)</f>
        <v>Middle-Aged</v>
      </c>
      <c r="O667" s="9" t="s">
        <v>20</v>
      </c>
      <c r="P667" s="9">
        <f t="shared" si="20"/>
        <v>0</v>
      </c>
      <c r="Q667" s="9">
        <v>1</v>
      </c>
      <c r="R667" s="10">
        <f t="shared" si="21"/>
        <v>0</v>
      </c>
    </row>
    <row r="668" spans="1:18" x14ac:dyDescent="0.3">
      <c r="A668" s="9">
        <v>17864</v>
      </c>
      <c r="B668" s="9" t="s">
        <v>37</v>
      </c>
      <c r="C668" s="9" t="s">
        <v>38</v>
      </c>
      <c r="D668" s="10">
        <v>60000</v>
      </c>
      <c r="E668" s="9" t="str" cm="1">
        <f t="array" ref="E668">_xlfn.IFS(D668&lt;= 60000, "Low Income",
D668&lt;=120000,"Medium Income",
D668&gt; 120000,"High Income"
)</f>
        <v>Low Income</v>
      </c>
      <c r="F668" s="9">
        <v>1</v>
      </c>
      <c r="G668" s="9" t="s">
        <v>21</v>
      </c>
      <c r="H668" s="9" t="s">
        <v>16</v>
      </c>
      <c r="I668" s="9" t="s">
        <v>17</v>
      </c>
      <c r="J668" s="9">
        <v>1</v>
      </c>
      <c r="K668" s="9" t="s">
        <v>24</v>
      </c>
      <c r="L668" s="9" t="s">
        <v>35</v>
      </c>
      <c r="M668" s="9">
        <v>46</v>
      </c>
      <c r="N668" s="9" t="str" cm="1">
        <f t="array" ref="N668">_xlfn.IFS(
M668&lt;=12,"Children",
M668&lt;=19,"Teens",
M668&lt;=29,"Young Adults",
M668&lt;=39,"Adults",
M668&lt;=59,"Middle-Aged",
M668&gt;=60,"Seniors"
)</f>
        <v>Middle-Aged</v>
      </c>
      <c r="O668" s="9" t="s">
        <v>17</v>
      </c>
      <c r="P668" s="9">
        <f t="shared" si="20"/>
        <v>1</v>
      </c>
      <c r="Q668" s="9">
        <v>1</v>
      </c>
      <c r="R668" s="10">
        <f t="shared" si="21"/>
        <v>60000</v>
      </c>
    </row>
    <row r="669" spans="1:18" x14ac:dyDescent="0.3">
      <c r="A669" s="9">
        <v>20505</v>
      </c>
      <c r="B669" s="9" t="s">
        <v>37</v>
      </c>
      <c r="C669" s="9" t="s">
        <v>38</v>
      </c>
      <c r="D669" s="10">
        <v>40000</v>
      </c>
      <c r="E669" s="9" t="str" cm="1">
        <f t="array" ref="E669">_xlfn.IFS(D669&lt;= 60000, "Low Income",
D669&lt;=120000,"Medium Income",
D669&gt; 120000,"High Income"
)</f>
        <v>Low Income</v>
      </c>
      <c r="F669" s="9">
        <v>5</v>
      </c>
      <c r="G669" s="9" t="s">
        <v>30</v>
      </c>
      <c r="H669" s="9" t="s">
        <v>23</v>
      </c>
      <c r="I669" s="9" t="s">
        <v>20</v>
      </c>
      <c r="J669" s="9">
        <v>2</v>
      </c>
      <c r="K669" s="9" t="s">
        <v>41</v>
      </c>
      <c r="L669" s="9" t="s">
        <v>35</v>
      </c>
      <c r="M669" s="9">
        <v>61</v>
      </c>
      <c r="N669" s="9" t="str" cm="1">
        <f t="array" ref="N669">_xlfn.IFS(
M669&lt;=12,"Children",
M669&lt;=19,"Teens",
M669&lt;=29,"Young Adults",
M669&lt;=39,"Adults",
M669&lt;=59,"Middle-Aged",
M669&gt;=60,"Seniors"
)</f>
        <v>Seniors</v>
      </c>
      <c r="O669" s="9" t="s">
        <v>20</v>
      </c>
      <c r="P669" s="9">
        <f t="shared" si="20"/>
        <v>0</v>
      </c>
      <c r="Q669" s="9">
        <v>1</v>
      </c>
      <c r="R669" s="10">
        <f t="shared" si="21"/>
        <v>0</v>
      </c>
    </row>
    <row r="670" spans="1:18" x14ac:dyDescent="0.3">
      <c r="A670" s="9">
        <v>14592</v>
      </c>
      <c r="B670" s="9" t="s">
        <v>37</v>
      </c>
      <c r="C670" s="9" t="s">
        <v>38</v>
      </c>
      <c r="D670" s="10">
        <v>60000</v>
      </c>
      <c r="E670" s="9" t="str" cm="1">
        <f t="array" ref="E670">_xlfn.IFS(D670&lt;= 60000, "Low Income",
D670&lt;=120000,"Medium Income",
D670&gt; 120000,"High Income"
)</f>
        <v>Low Income</v>
      </c>
      <c r="F670" s="9">
        <v>0</v>
      </c>
      <c r="G670" s="9" t="s">
        <v>34</v>
      </c>
      <c r="H670" s="9" t="s">
        <v>23</v>
      </c>
      <c r="I670" s="9" t="s">
        <v>17</v>
      </c>
      <c r="J670" s="9">
        <v>0</v>
      </c>
      <c r="K670" s="9" t="s">
        <v>18</v>
      </c>
      <c r="L670" s="9" t="s">
        <v>35</v>
      </c>
      <c r="M670" s="9">
        <v>40</v>
      </c>
      <c r="N670" s="9" t="str" cm="1">
        <f t="array" ref="N670">_xlfn.IFS(
M670&lt;=12,"Children",
M670&lt;=19,"Teens",
M670&lt;=29,"Young Adults",
M670&lt;=39,"Adults",
M670&lt;=59,"Middle-Aged",
M670&gt;=60,"Seniors"
)</f>
        <v>Middle-Aged</v>
      </c>
      <c r="O670" s="9" t="s">
        <v>20</v>
      </c>
      <c r="P670" s="9">
        <f t="shared" si="20"/>
        <v>0</v>
      </c>
      <c r="Q670" s="9">
        <v>1</v>
      </c>
      <c r="R670" s="10">
        <f t="shared" si="21"/>
        <v>0</v>
      </c>
    </row>
    <row r="671" spans="1:18" x14ac:dyDescent="0.3">
      <c r="A671" s="9">
        <v>22227</v>
      </c>
      <c r="B671" s="9" t="s">
        <v>37</v>
      </c>
      <c r="C671" s="9" t="s">
        <v>38</v>
      </c>
      <c r="D671" s="10">
        <v>60000</v>
      </c>
      <c r="E671" s="9" t="str" cm="1">
        <f t="array" ref="E671">_xlfn.IFS(D671&lt;= 60000, "Low Income",
D671&lt;=120000,"Medium Income",
D671&gt; 120000,"High Income"
)</f>
        <v>Low Income</v>
      </c>
      <c r="F671" s="9">
        <v>2</v>
      </c>
      <c r="G671" s="9" t="s">
        <v>30</v>
      </c>
      <c r="H671" s="9" t="s">
        <v>23</v>
      </c>
      <c r="I671" s="9" t="s">
        <v>17</v>
      </c>
      <c r="J671" s="9">
        <v>2</v>
      </c>
      <c r="K671" s="9" t="s">
        <v>26</v>
      </c>
      <c r="L671" s="9" t="s">
        <v>35</v>
      </c>
      <c r="M671" s="9">
        <v>50</v>
      </c>
      <c r="N671" s="9" t="str" cm="1">
        <f t="array" ref="N671">_xlfn.IFS(
M671&lt;=12,"Children",
M671&lt;=19,"Teens",
M671&lt;=29,"Young Adults",
M671&lt;=39,"Adults",
M671&lt;=59,"Middle-Aged",
M671&gt;=60,"Seniors"
)</f>
        <v>Middle-Aged</v>
      </c>
      <c r="O671" s="9" t="s">
        <v>20</v>
      </c>
      <c r="P671" s="9">
        <f t="shared" si="20"/>
        <v>0</v>
      </c>
      <c r="Q671" s="9">
        <v>1</v>
      </c>
      <c r="R671" s="10">
        <f t="shared" si="21"/>
        <v>0</v>
      </c>
    </row>
    <row r="672" spans="1:18" x14ac:dyDescent="0.3">
      <c r="A672" s="9">
        <v>21471</v>
      </c>
      <c r="B672" s="9" t="s">
        <v>37</v>
      </c>
      <c r="C672" s="9" t="s">
        <v>39</v>
      </c>
      <c r="D672" s="10">
        <v>70000</v>
      </c>
      <c r="E672" s="9" t="str" cm="1">
        <f t="array" ref="E672">_xlfn.IFS(D672&lt;= 60000, "Low Income",
D672&lt;=120000,"Medium Income",
D672&gt; 120000,"High Income"
)</f>
        <v>Medium Income</v>
      </c>
      <c r="F672" s="9">
        <v>2</v>
      </c>
      <c r="G672" s="9" t="s">
        <v>21</v>
      </c>
      <c r="H672" s="9" t="s">
        <v>23</v>
      </c>
      <c r="I672" s="9" t="s">
        <v>17</v>
      </c>
      <c r="J672" s="9">
        <v>1</v>
      </c>
      <c r="K672" s="9" t="s">
        <v>41</v>
      </c>
      <c r="L672" s="9" t="s">
        <v>35</v>
      </c>
      <c r="M672" s="9">
        <v>59</v>
      </c>
      <c r="N672" s="9" t="str" cm="1">
        <f t="array" ref="N672">_xlfn.IFS(
M672&lt;=12,"Children",
M672&lt;=19,"Teens",
M672&lt;=29,"Young Adults",
M672&lt;=39,"Adults",
M672&lt;=59,"Middle-Aged",
M672&gt;=60,"Seniors"
)</f>
        <v>Middle-Aged</v>
      </c>
      <c r="O672" s="9" t="s">
        <v>20</v>
      </c>
      <c r="P672" s="9">
        <f t="shared" si="20"/>
        <v>0</v>
      </c>
      <c r="Q672" s="9">
        <v>1</v>
      </c>
      <c r="R672" s="10">
        <f t="shared" si="21"/>
        <v>0</v>
      </c>
    </row>
    <row r="673" spans="1:18" x14ac:dyDescent="0.3">
      <c r="A673" s="9">
        <v>22252</v>
      </c>
      <c r="B673" s="9" t="s">
        <v>40</v>
      </c>
      <c r="C673" s="9" t="s">
        <v>38</v>
      </c>
      <c r="D673" s="10">
        <v>60000</v>
      </c>
      <c r="E673" s="9" t="str" cm="1">
        <f t="array" ref="E673">_xlfn.IFS(D673&lt;= 60000, "Low Income",
D673&lt;=120000,"Medium Income",
D673&gt; 120000,"High Income"
)</f>
        <v>Low Income</v>
      </c>
      <c r="F673" s="9">
        <v>1</v>
      </c>
      <c r="G673" s="9" t="s">
        <v>34</v>
      </c>
      <c r="H673" s="9" t="s">
        <v>23</v>
      </c>
      <c r="I673" s="9" t="s">
        <v>17</v>
      </c>
      <c r="J673" s="9">
        <v>0</v>
      </c>
      <c r="K673" s="9" t="s">
        <v>24</v>
      </c>
      <c r="L673" s="9" t="s">
        <v>35</v>
      </c>
      <c r="M673" s="9">
        <v>36</v>
      </c>
      <c r="N673" s="9" t="str" cm="1">
        <f t="array" ref="N673">_xlfn.IFS(
M673&lt;=12,"Children",
M673&lt;=19,"Teens",
M673&lt;=29,"Young Adults",
M673&lt;=39,"Adults",
M673&lt;=59,"Middle-Aged",
M673&gt;=60,"Seniors"
)</f>
        <v>Adults</v>
      </c>
      <c r="O673" s="9" t="s">
        <v>17</v>
      </c>
      <c r="P673" s="9">
        <f t="shared" si="20"/>
        <v>1</v>
      </c>
      <c r="Q673" s="9">
        <v>1</v>
      </c>
      <c r="R673" s="10">
        <f t="shared" si="21"/>
        <v>60000</v>
      </c>
    </row>
    <row r="674" spans="1:18" x14ac:dyDescent="0.3">
      <c r="A674" s="9">
        <v>21260</v>
      </c>
      <c r="B674" s="9" t="s">
        <v>40</v>
      </c>
      <c r="C674" s="9" t="s">
        <v>38</v>
      </c>
      <c r="D674" s="10">
        <v>40000</v>
      </c>
      <c r="E674" s="9" t="str" cm="1">
        <f t="array" ref="E674">_xlfn.IFS(D674&lt;= 60000, "Low Income",
D674&lt;=120000,"Medium Income",
D674&gt; 120000,"High Income"
)</f>
        <v>Low Income</v>
      </c>
      <c r="F674" s="9">
        <v>0</v>
      </c>
      <c r="G674" s="9" t="s">
        <v>30</v>
      </c>
      <c r="H674" s="9" t="s">
        <v>16</v>
      </c>
      <c r="I674" s="9" t="s">
        <v>17</v>
      </c>
      <c r="J674" s="9">
        <v>2</v>
      </c>
      <c r="K674" s="9" t="s">
        <v>26</v>
      </c>
      <c r="L674" s="9" t="s">
        <v>35</v>
      </c>
      <c r="M674" s="9">
        <v>30</v>
      </c>
      <c r="N674" s="9" t="str" cm="1">
        <f t="array" ref="N674">_xlfn.IFS(
M674&lt;=12,"Children",
M674&lt;=19,"Teens",
M674&lt;=29,"Young Adults",
M674&lt;=39,"Adults",
M674&lt;=59,"Middle-Aged",
M674&gt;=60,"Seniors"
)</f>
        <v>Adults</v>
      </c>
      <c r="O674" s="9" t="s">
        <v>20</v>
      </c>
      <c r="P674" s="9">
        <f t="shared" si="20"/>
        <v>0</v>
      </c>
      <c r="Q674" s="9">
        <v>1</v>
      </c>
      <c r="R674" s="10">
        <f t="shared" si="21"/>
        <v>0</v>
      </c>
    </row>
    <row r="675" spans="1:18" x14ac:dyDescent="0.3">
      <c r="A675" s="9">
        <v>11817</v>
      </c>
      <c r="B675" s="9" t="s">
        <v>40</v>
      </c>
      <c r="C675" s="9" t="s">
        <v>38</v>
      </c>
      <c r="D675" s="10">
        <v>70000</v>
      </c>
      <c r="E675" s="9" t="str" cm="1">
        <f t="array" ref="E675">_xlfn.IFS(D675&lt;= 60000, "Low Income",
D675&lt;=120000,"Medium Income",
D675&gt; 120000,"High Income"
)</f>
        <v>Medium Income</v>
      </c>
      <c r="F675" s="9">
        <v>4</v>
      </c>
      <c r="G675" s="9" t="s">
        <v>34</v>
      </c>
      <c r="H675" s="9" t="s">
        <v>23</v>
      </c>
      <c r="I675" s="9" t="s">
        <v>17</v>
      </c>
      <c r="J675" s="9">
        <v>0</v>
      </c>
      <c r="K675" s="9" t="s">
        <v>24</v>
      </c>
      <c r="L675" s="9" t="s">
        <v>35</v>
      </c>
      <c r="M675" s="9">
        <v>35</v>
      </c>
      <c r="N675" s="9" t="str" cm="1">
        <f t="array" ref="N675">_xlfn.IFS(
M675&lt;=12,"Children",
M675&lt;=19,"Teens",
M675&lt;=29,"Young Adults",
M675&lt;=39,"Adults",
M675&lt;=59,"Middle-Aged",
M675&gt;=60,"Seniors"
)</f>
        <v>Adults</v>
      </c>
      <c r="O675" s="9" t="s">
        <v>17</v>
      </c>
      <c r="P675" s="9">
        <f t="shared" si="20"/>
        <v>1</v>
      </c>
      <c r="Q675" s="9">
        <v>1</v>
      </c>
      <c r="R675" s="10">
        <f t="shared" si="21"/>
        <v>70000</v>
      </c>
    </row>
    <row r="676" spans="1:18" x14ac:dyDescent="0.3">
      <c r="A676" s="9">
        <v>19223</v>
      </c>
      <c r="B676" s="9" t="s">
        <v>37</v>
      </c>
      <c r="C676" s="9" t="s">
        <v>38</v>
      </c>
      <c r="D676" s="10">
        <v>30000</v>
      </c>
      <c r="E676" s="9" t="str" cm="1">
        <f t="array" ref="E676">_xlfn.IFS(D676&lt;= 60000, "Low Income",
D676&lt;=120000,"Medium Income",
D676&gt; 120000,"High Income"
)</f>
        <v>Low Income</v>
      </c>
      <c r="F676" s="9">
        <v>2</v>
      </c>
      <c r="G676" s="9" t="s">
        <v>30</v>
      </c>
      <c r="H676" s="9" t="s">
        <v>16</v>
      </c>
      <c r="I676" s="9" t="s">
        <v>17</v>
      </c>
      <c r="J676" s="9">
        <v>2</v>
      </c>
      <c r="K676" s="9" t="s">
        <v>29</v>
      </c>
      <c r="L676" s="9" t="s">
        <v>35</v>
      </c>
      <c r="M676" s="9">
        <v>48</v>
      </c>
      <c r="N676" s="9" t="str" cm="1">
        <f t="array" ref="N676">_xlfn.IFS(
M676&lt;=12,"Children",
M676&lt;=19,"Teens",
M676&lt;=29,"Young Adults",
M676&lt;=39,"Adults",
M676&lt;=59,"Middle-Aged",
M676&gt;=60,"Seniors"
)</f>
        <v>Middle-Aged</v>
      </c>
      <c r="O676" s="9" t="s">
        <v>20</v>
      </c>
      <c r="P676" s="9">
        <f t="shared" si="20"/>
        <v>0</v>
      </c>
      <c r="Q676" s="9">
        <v>1</v>
      </c>
      <c r="R676" s="10">
        <f t="shared" si="21"/>
        <v>0</v>
      </c>
    </row>
    <row r="677" spans="1:18" x14ac:dyDescent="0.3">
      <c r="A677" s="9">
        <v>18517</v>
      </c>
      <c r="B677" s="9" t="s">
        <v>37</v>
      </c>
      <c r="C677" s="9" t="s">
        <v>39</v>
      </c>
      <c r="D677" s="10">
        <v>100000</v>
      </c>
      <c r="E677" s="9" t="str" cm="1">
        <f t="array" ref="E677">_xlfn.IFS(D677&lt;= 60000, "Low Income",
D677&lt;=120000,"Medium Income",
D677&gt; 120000,"High Income"
)</f>
        <v>Medium Income</v>
      </c>
      <c r="F677" s="9">
        <v>3</v>
      </c>
      <c r="G677" s="9" t="s">
        <v>15</v>
      </c>
      <c r="H677" s="9" t="s">
        <v>31</v>
      </c>
      <c r="I677" s="9" t="s">
        <v>17</v>
      </c>
      <c r="J677" s="9">
        <v>4</v>
      </c>
      <c r="K677" s="9" t="s">
        <v>18</v>
      </c>
      <c r="L677" s="9" t="s">
        <v>35</v>
      </c>
      <c r="M677" s="9">
        <v>41</v>
      </c>
      <c r="N677" s="9" t="str" cm="1">
        <f t="array" ref="N677">_xlfn.IFS(
M677&lt;=12,"Children",
M677&lt;=19,"Teens",
M677&lt;=29,"Young Adults",
M677&lt;=39,"Adults",
M677&lt;=59,"Middle-Aged",
M677&gt;=60,"Seniors"
)</f>
        <v>Middle-Aged</v>
      </c>
      <c r="O677" s="9" t="s">
        <v>20</v>
      </c>
      <c r="P677" s="9">
        <f t="shared" si="20"/>
        <v>0</v>
      </c>
      <c r="Q677" s="9">
        <v>1</v>
      </c>
      <c r="R677" s="10">
        <f t="shared" si="21"/>
        <v>0</v>
      </c>
    </row>
    <row r="678" spans="1:18" x14ac:dyDescent="0.3">
      <c r="A678" s="9">
        <v>21717</v>
      </c>
      <c r="B678" s="9" t="s">
        <v>37</v>
      </c>
      <c r="C678" s="9" t="s">
        <v>39</v>
      </c>
      <c r="D678" s="10">
        <v>40000</v>
      </c>
      <c r="E678" s="9" t="str" cm="1">
        <f t="array" ref="E678">_xlfn.IFS(D678&lt;= 60000, "Low Income",
D678&lt;=120000,"Medium Income",
D678&gt; 120000,"High Income"
)</f>
        <v>Low Income</v>
      </c>
      <c r="F678" s="9">
        <v>2</v>
      </c>
      <c r="G678" s="9" t="s">
        <v>21</v>
      </c>
      <c r="H678" s="9" t="s">
        <v>22</v>
      </c>
      <c r="I678" s="9" t="s">
        <v>17</v>
      </c>
      <c r="J678" s="9">
        <v>1</v>
      </c>
      <c r="K678" s="9" t="s">
        <v>18</v>
      </c>
      <c r="L678" s="9" t="s">
        <v>35</v>
      </c>
      <c r="M678" s="9">
        <v>47</v>
      </c>
      <c r="N678" s="9" t="str" cm="1">
        <f t="array" ref="N678">_xlfn.IFS(
M678&lt;=12,"Children",
M678&lt;=19,"Teens",
M678&lt;=29,"Young Adults",
M678&lt;=39,"Adults",
M678&lt;=59,"Middle-Aged",
M678&gt;=60,"Seniors"
)</f>
        <v>Middle-Aged</v>
      </c>
      <c r="O678" s="9" t="s">
        <v>20</v>
      </c>
      <c r="P678" s="9">
        <f t="shared" si="20"/>
        <v>0</v>
      </c>
      <c r="Q678" s="9">
        <v>1</v>
      </c>
      <c r="R678" s="10">
        <f t="shared" si="21"/>
        <v>0</v>
      </c>
    </row>
    <row r="679" spans="1:18" x14ac:dyDescent="0.3">
      <c r="A679" s="9">
        <v>13760</v>
      </c>
      <c r="B679" s="9" t="s">
        <v>37</v>
      </c>
      <c r="C679" s="9" t="s">
        <v>39</v>
      </c>
      <c r="D679" s="10">
        <v>60000</v>
      </c>
      <c r="E679" s="9" t="str" cm="1">
        <f t="array" ref="E679">_xlfn.IFS(D679&lt;= 60000, "Low Income",
D679&lt;=120000,"Medium Income",
D679&gt; 120000,"High Income"
)</f>
        <v>Low Income</v>
      </c>
      <c r="F679" s="9">
        <v>4</v>
      </c>
      <c r="G679" s="9" t="s">
        <v>34</v>
      </c>
      <c r="H679" s="9" t="s">
        <v>16</v>
      </c>
      <c r="I679" s="9" t="s">
        <v>20</v>
      </c>
      <c r="J679" s="9">
        <v>0</v>
      </c>
      <c r="K679" s="9" t="s">
        <v>18</v>
      </c>
      <c r="L679" s="9" t="s">
        <v>35</v>
      </c>
      <c r="M679" s="9">
        <v>47</v>
      </c>
      <c r="N679" s="9" t="str" cm="1">
        <f t="array" ref="N679">_xlfn.IFS(
M679&lt;=12,"Children",
M679&lt;=19,"Teens",
M679&lt;=29,"Young Adults",
M679&lt;=39,"Adults",
M679&lt;=59,"Middle-Aged",
M679&gt;=60,"Seniors"
)</f>
        <v>Middle-Aged</v>
      </c>
      <c r="O679" s="9" t="s">
        <v>20</v>
      </c>
      <c r="P679" s="9">
        <f t="shared" si="20"/>
        <v>0</v>
      </c>
      <c r="Q679" s="9">
        <v>1</v>
      </c>
      <c r="R679" s="10">
        <f t="shared" si="21"/>
        <v>0</v>
      </c>
    </row>
    <row r="680" spans="1:18" x14ac:dyDescent="0.3">
      <c r="A680" s="9">
        <v>18145</v>
      </c>
      <c r="B680" s="9" t="s">
        <v>37</v>
      </c>
      <c r="C680" s="9" t="s">
        <v>39</v>
      </c>
      <c r="D680" s="10">
        <v>80000</v>
      </c>
      <c r="E680" s="9" t="str" cm="1">
        <f t="array" ref="E680">_xlfn.IFS(D680&lt;= 60000, "Low Income",
D680&lt;=120000,"Medium Income",
D680&gt; 120000,"High Income"
)</f>
        <v>Medium Income</v>
      </c>
      <c r="F680" s="9">
        <v>5</v>
      </c>
      <c r="G680" s="9" t="s">
        <v>15</v>
      </c>
      <c r="H680" s="9" t="s">
        <v>31</v>
      </c>
      <c r="I680" s="9" t="s">
        <v>20</v>
      </c>
      <c r="J680" s="9">
        <v>2</v>
      </c>
      <c r="K680" s="9" t="s">
        <v>24</v>
      </c>
      <c r="L680" s="9" t="s">
        <v>19</v>
      </c>
      <c r="M680" s="9">
        <v>62</v>
      </c>
      <c r="N680" s="9" t="str" cm="1">
        <f t="array" ref="N680">_xlfn.IFS(
M680&lt;=12,"Children",
M680&lt;=19,"Teens",
M680&lt;=29,"Young Adults",
M680&lt;=39,"Adults",
M680&lt;=59,"Middle-Aged",
M680&gt;=60,"Seniors"
)</f>
        <v>Seniors</v>
      </c>
      <c r="O680" s="9" t="s">
        <v>20</v>
      </c>
      <c r="P680" s="9">
        <f t="shared" si="20"/>
        <v>0</v>
      </c>
      <c r="Q680" s="9">
        <v>1</v>
      </c>
      <c r="R680" s="10">
        <f t="shared" si="21"/>
        <v>0</v>
      </c>
    </row>
    <row r="681" spans="1:18" x14ac:dyDescent="0.3">
      <c r="A681" s="9">
        <v>21770</v>
      </c>
      <c r="B681" s="9" t="s">
        <v>37</v>
      </c>
      <c r="C681" s="9" t="s">
        <v>39</v>
      </c>
      <c r="D681" s="10">
        <v>60000</v>
      </c>
      <c r="E681" s="9" t="str" cm="1">
        <f t="array" ref="E681">_xlfn.IFS(D681&lt;= 60000, "Low Income",
D681&lt;=120000,"Medium Income",
D681&gt; 120000,"High Income"
)</f>
        <v>Low Income</v>
      </c>
      <c r="F681" s="9">
        <v>4</v>
      </c>
      <c r="G681" s="9" t="s">
        <v>15</v>
      </c>
      <c r="H681" s="9" t="s">
        <v>31</v>
      </c>
      <c r="I681" s="9" t="s">
        <v>17</v>
      </c>
      <c r="J681" s="9">
        <v>2</v>
      </c>
      <c r="K681" s="9" t="s">
        <v>41</v>
      </c>
      <c r="L681" s="9" t="s">
        <v>35</v>
      </c>
      <c r="M681" s="9">
        <v>60</v>
      </c>
      <c r="N681" s="9" t="str" cm="1">
        <f t="array" ref="N681">_xlfn.IFS(
M681&lt;=12,"Children",
M681&lt;=19,"Teens",
M681&lt;=29,"Young Adults",
M681&lt;=39,"Adults",
M681&lt;=59,"Middle-Aged",
M681&gt;=60,"Seniors"
)</f>
        <v>Seniors</v>
      </c>
      <c r="O681" s="9" t="s">
        <v>20</v>
      </c>
      <c r="P681" s="9">
        <f t="shared" si="20"/>
        <v>0</v>
      </c>
      <c r="Q681" s="9">
        <v>1</v>
      </c>
      <c r="R681" s="10">
        <f t="shared" si="21"/>
        <v>0</v>
      </c>
    </row>
    <row r="682" spans="1:18" x14ac:dyDescent="0.3">
      <c r="A682" s="9">
        <v>11165</v>
      </c>
      <c r="B682" s="9" t="s">
        <v>37</v>
      </c>
      <c r="C682" s="9" t="s">
        <v>38</v>
      </c>
      <c r="D682" s="10">
        <v>60000</v>
      </c>
      <c r="E682" s="9" t="str" cm="1">
        <f t="array" ref="E682">_xlfn.IFS(D682&lt;= 60000, "Low Income",
D682&lt;=120000,"Medium Income",
D682&gt; 120000,"High Income"
)</f>
        <v>Low Income</v>
      </c>
      <c r="F682" s="9">
        <v>0</v>
      </c>
      <c r="G682" s="9" t="s">
        <v>21</v>
      </c>
      <c r="H682" s="9" t="s">
        <v>16</v>
      </c>
      <c r="I682" s="9" t="s">
        <v>20</v>
      </c>
      <c r="J682" s="9">
        <v>1</v>
      </c>
      <c r="K682" s="9" t="s">
        <v>29</v>
      </c>
      <c r="L682" s="9" t="s">
        <v>35</v>
      </c>
      <c r="M682" s="9">
        <v>33</v>
      </c>
      <c r="N682" s="9" t="str" cm="1">
        <f t="array" ref="N682">_xlfn.IFS(
M682&lt;=12,"Children",
M682&lt;=19,"Teens",
M682&lt;=29,"Young Adults",
M682&lt;=39,"Adults",
M682&lt;=59,"Middle-Aged",
M682&gt;=60,"Seniors"
)</f>
        <v>Adults</v>
      </c>
      <c r="O682" s="9" t="s">
        <v>20</v>
      </c>
      <c r="P682" s="9">
        <f t="shared" si="20"/>
        <v>0</v>
      </c>
      <c r="Q682" s="9">
        <v>1</v>
      </c>
      <c r="R682" s="10">
        <f t="shared" si="21"/>
        <v>0</v>
      </c>
    </row>
    <row r="683" spans="1:18" x14ac:dyDescent="0.3">
      <c r="A683" s="9">
        <v>16377</v>
      </c>
      <c r="B683" s="9" t="s">
        <v>40</v>
      </c>
      <c r="C683" s="9" t="s">
        <v>38</v>
      </c>
      <c r="D683" s="10">
        <v>80000</v>
      </c>
      <c r="E683" s="9" t="str" cm="1">
        <f t="array" ref="E683">_xlfn.IFS(D683&lt;= 60000, "Low Income",
D683&lt;=120000,"Medium Income",
D683&gt; 120000,"High Income"
)</f>
        <v>Medium Income</v>
      </c>
      <c r="F683" s="9">
        <v>4</v>
      </c>
      <c r="G683" s="9" t="s">
        <v>34</v>
      </c>
      <c r="H683" s="9" t="s">
        <v>16</v>
      </c>
      <c r="I683" s="9" t="s">
        <v>20</v>
      </c>
      <c r="J683" s="9">
        <v>0</v>
      </c>
      <c r="K683" s="9" t="s">
        <v>18</v>
      </c>
      <c r="L683" s="9" t="s">
        <v>35</v>
      </c>
      <c r="M683" s="9">
        <v>47</v>
      </c>
      <c r="N683" s="9" t="str" cm="1">
        <f t="array" ref="N683">_xlfn.IFS(
M683&lt;=12,"Children",
M683&lt;=19,"Teens",
M683&lt;=29,"Young Adults",
M683&lt;=39,"Adults",
M683&lt;=59,"Middle-Aged",
M683&gt;=60,"Seniors"
)</f>
        <v>Middle-Aged</v>
      </c>
      <c r="O683" s="9" t="s">
        <v>20</v>
      </c>
      <c r="P683" s="9">
        <f t="shared" si="20"/>
        <v>0</v>
      </c>
      <c r="Q683" s="9">
        <v>1</v>
      </c>
      <c r="R683" s="10">
        <f t="shared" si="21"/>
        <v>0</v>
      </c>
    </row>
    <row r="684" spans="1:18" x14ac:dyDescent="0.3">
      <c r="A684" s="9">
        <v>26248</v>
      </c>
      <c r="B684" s="9" t="s">
        <v>37</v>
      </c>
      <c r="C684" s="9" t="s">
        <v>39</v>
      </c>
      <c r="D684" s="10">
        <v>20000</v>
      </c>
      <c r="E684" s="9" t="str" cm="1">
        <f t="array" ref="E684">_xlfn.IFS(D684&lt;= 60000, "Low Income",
D684&lt;=120000,"Medium Income",
D684&gt; 120000,"High Income"
)</f>
        <v>Low Income</v>
      </c>
      <c r="F684" s="9">
        <v>3</v>
      </c>
      <c r="G684" s="9" t="s">
        <v>32</v>
      </c>
      <c r="H684" s="9" t="s">
        <v>22</v>
      </c>
      <c r="I684" s="9" t="s">
        <v>20</v>
      </c>
      <c r="J684" s="9">
        <v>2</v>
      </c>
      <c r="K684" s="9" t="s">
        <v>18</v>
      </c>
      <c r="L684" s="9" t="s">
        <v>35</v>
      </c>
      <c r="M684" s="9">
        <v>52</v>
      </c>
      <c r="N684" s="9" t="str" cm="1">
        <f t="array" ref="N684">_xlfn.IFS(
M684&lt;=12,"Children",
M684&lt;=19,"Teens",
M684&lt;=29,"Young Adults",
M684&lt;=39,"Adults",
M684&lt;=59,"Middle-Aged",
M684&gt;=60,"Seniors"
)</f>
        <v>Middle-Aged</v>
      </c>
      <c r="O684" s="9" t="s">
        <v>20</v>
      </c>
      <c r="P684" s="9">
        <f t="shared" si="20"/>
        <v>0</v>
      </c>
      <c r="Q684" s="9">
        <v>1</v>
      </c>
      <c r="R684" s="10">
        <f t="shared" si="21"/>
        <v>0</v>
      </c>
    </row>
    <row r="685" spans="1:18" x14ac:dyDescent="0.3">
      <c r="A685" s="9">
        <v>23461</v>
      </c>
      <c r="B685" s="9" t="s">
        <v>37</v>
      </c>
      <c r="C685" s="9" t="s">
        <v>38</v>
      </c>
      <c r="D685" s="10">
        <v>90000</v>
      </c>
      <c r="E685" s="9" t="str" cm="1">
        <f t="array" ref="E685">_xlfn.IFS(D685&lt;= 60000, "Low Income",
D685&lt;=120000,"Medium Income",
D685&gt; 120000,"High Income"
)</f>
        <v>Medium Income</v>
      </c>
      <c r="F685" s="9">
        <v>5</v>
      </c>
      <c r="G685" s="9" t="s">
        <v>21</v>
      </c>
      <c r="H685" s="9" t="s">
        <v>23</v>
      </c>
      <c r="I685" s="9" t="s">
        <v>17</v>
      </c>
      <c r="J685" s="9">
        <v>3</v>
      </c>
      <c r="K685" s="9" t="s">
        <v>24</v>
      </c>
      <c r="L685" s="9" t="s">
        <v>35</v>
      </c>
      <c r="M685" s="9">
        <v>40</v>
      </c>
      <c r="N685" s="9" t="str" cm="1">
        <f t="array" ref="N685">_xlfn.IFS(
M685&lt;=12,"Children",
M685&lt;=19,"Teens",
M685&lt;=29,"Young Adults",
M685&lt;=39,"Adults",
M685&lt;=59,"Middle-Aged",
M685&gt;=60,"Seniors"
)</f>
        <v>Middle-Aged</v>
      </c>
      <c r="O685" s="9" t="s">
        <v>20</v>
      </c>
      <c r="P685" s="9">
        <f t="shared" si="20"/>
        <v>0</v>
      </c>
      <c r="Q685" s="9">
        <v>1</v>
      </c>
      <c r="R685" s="10">
        <f t="shared" si="21"/>
        <v>0</v>
      </c>
    </row>
    <row r="686" spans="1:18" x14ac:dyDescent="0.3">
      <c r="A686" s="9">
        <v>29133</v>
      </c>
      <c r="B686" s="9" t="s">
        <v>40</v>
      </c>
      <c r="C686" s="9" t="s">
        <v>38</v>
      </c>
      <c r="D686" s="10">
        <v>60000</v>
      </c>
      <c r="E686" s="9" t="str" cm="1">
        <f t="array" ref="E686">_xlfn.IFS(D686&lt;= 60000, "Low Income",
D686&lt;=120000,"Medium Income",
D686&gt; 120000,"High Income"
)</f>
        <v>Low Income</v>
      </c>
      <c r="F686" s="9">
        <v>4</v>
      </c>
      <c r="G686" s="9" t="s">
        <v>15</v>
      </c>
      <c r="H686" s="9" t="s">
        <v>16</v>
      </c>
      <c r="I686" s="9" t="s">
        <v>20</v>
      </c>
      <c r="J686" s="9">
        <v>2</v>
      </c>
      <c r="K686" s="9" t="s">
        <v>18</v>
      </c>
      <c r="L686" s="9" t="s">
        <v>35</v>
      </c>
      <c r="M686" s="9">
        <v>42</v>
      </c>
      <c r="N686" s="9" t="str" cm="1">
        <f t="array" ref="N686">_xlfn.IFS(
M686&lt;=12,"Children",
M686&lt;=19,"Teens",
M686&lt;=29,"Young Adults",
M686&lt;=39,"Adults",
M686&lt;=59,"Middle-Aged",
M686&gt;=60,"Seniors"
)</f>
        <v>Middle-Aged</v>
      </c>
      <c r="O686" s="9" t="s">
        <v>20</v>
      </c>
      <c r="P686" s="9">
        <f t="shared" si="20"/>
        <v>0</v>
      </c>
      <c r="Q686" s="9">
        <v>1</v>
      </c>
      <c r="R686" s="10">
        <f t="shared" si="21"/>
        <v>0</v>
      </c>
    </row>
    <row r="687" spans="1:18" x14ac:dyDescent="0.3">
      <c r="A687" s="9">
        <v>27673</v>
      </c>
      <c r="B687" s="9" t="s">
        <v>40</v>
      </c>
      <c r="C687" s="9" t="s">
        <v>38</v>
      </c>
      <c r="D687" s="10">
        <v>60000</v>
      </c>
      <c r="E687" s="9" t="str" cm="1">
        <f t="array" ref="E687">_xlfn.IFS(D687&lt;= 60000, "Low Income",
D687&lt;=120000,"Medium Income",
D687&gt; 120000,"High Income"
)</f>
        <v>Low Income</v>
      </c>
      <c r="F687" s="9">
        <v>3</v>
      </c>
      <c r="G687" s="9" t="s">
        <v>34</v>
      </c>
      <c r="H687" s="9" t="s">
        <v>31</v>
      </c>
      <c r="I687" s="9" t="s">
        <v>17</v>
      </c>
      <c r="J687" s="9">
        <v>2</v>
      </c>
      <c r="K687" s="9" t="s">
        <v>26</v>
      </c>
      <c r="L687" s="9" t="s">
        <v>35</v>
      </c>
      <c r="M687" s="9">
        <v>53</v>
      </c>
      <c r="N687" s="9" t="str" cm="1">
        <f t="array" ref="N687">_xlfn.IFS(
M687&lt;=12,"Children",
M687&lt;=19,"Teens",
M687&lt;=29,"Young Adults",
M687&lt;=39,"Adults",
M687&lt;=59,"Middle-Aged",
M687&gt;=60,"Seniors"
)</f>
        <v>Middle-Aged</v>
      </c>
      <c r="O687" s="9" t="s">
        <v>17</v>
      </c>
      <c r="P687" s="9">
        <f t="shared" si="20"/>
        <v>1</v>
      </c>
      <c r="Q687" s="9">
        <v>1</v>
      </c>
      <c r="R687" s="10">
        <f t="shared" si="21"/>
        <v>60000</v>
      </c>
    </row>
    <row r="688" spans="1:18" x14ac:dyDescent="0.3">
      <c r="A688" s="9">
        <v>12774</v>
      </c>
      <c r="B688" s="9" t="s">
        <v>37</v>
      </c>
      <c r="C688" s="9" t="s">
        <v>38</v>
      </c>
      <c r="D688" s="10">
        <v>40000</v>
      </c>
      <c r="E688" s="9" t="str" cm="1">
        <f t="array" ref="E688">_xlfn.IFS(D688&lt;= 60000, "Low Income",
D688&lt;=120000,"Medium Income",
D688&gt; 120000,"High Income"
)</f>
        <v>Low Income</v>
      </c>
      <c r="F688" s="9">
        <v>1</v>
      </c>
      <c r="G688" s="9" t="s">
        <v>21</v>
      </c>
      <c r="H688" s="9" t="s">
        <v>22</v>
      </c>
      <c r="I688" s="9" t="s">
        <v>17</v>
      </c>
      <c r="J688" s="9">
        <v>1</v>
      </c>
      <c r="K688" s="9" t="s">
        <v>29</v>
      </c>
      <c r="L688" s="9" t="s">
        <v>35</v>
      </c>
      <c r="M688" s="9">
        <v>51</v>
      </c>
      <c r="N688" s="9" t="str" cm="1">
        <f t="array" ref="N688">_xlfn.IFS(
M688&lt;=12,"Children",
M688&lt;=19,"Teens",
M688&lt;=29,"Young Adults",
M688&lt;=39,"Adults",
M688&lt;=59,"Middle-Aged",
M688&gt;=60,"Seniors"
)</f>
        <v>Middle-Aged</v>
      </c>
      <c r="O688" s="9" t="s">
        <v>17</v>
      </c>
      <c r="P688" s="9">
        <f t="shared" si="20"/>
        <v>1</v>
      </c>
      <c r="Q688" s="9">
        <v>1</v>
      </c>
      <c r="R688" s="10">
        <f t="shared" si="21"/>
        <v>40000</v>
      </c>
    </row>
    <row r="689" spans="1:18" x14ac:dyDescent="0.3">
      <c r="A689" s="9">
        <v>18910</v>
      </c>
      <c r="B689" s="9" t="s">
        <v>40</v>
      </c>
      <c r="C689" s="9" t="s">
        <v>39</v>
      </c>
      <c r="D689" s="10">
        <v>30000</v>
      </c>
      <c r="E689" s="9" t="str" cm="1">
        <f t="array" ref="E689">_xlfn.IFS(D689&lt;= 60000, "Low Income",
D689&lt;=120000,"Medium Income",
D689&gt; 120000,"High Income"
)</f>
        <v>Low Income</v>
      </c>
      <c r="F689" s="9">
        <v>0</v>
      </c>
      <c r="G689" s="9" t="s">
        <v>21</v>
      </c>
      <c r="H689" s="9" t="s">
        <v>16</v>
      </c>
      <c r="I689" s="9" t="s">
        <v>17</v>
      </c>
      <c r="J689" s="9">
        <v>2</v>
      </c>
      <c r="K689" s="9" t="s">
        <v>26</v>
      </c>
      <c r="L689" s="9" t="s">
        <v>35</v>
      </c>
      <c r="M689" s="9">
        <v>30</v>
      </c>
      <c r="N689" s="9" t="str" cm="1">
        <f t="array" ref="N689">_xlfn.IFS(
M689&lt;=12,"Children",
M689&lt;=19,"Teens",
M689&lt;=29,"Young Adults",
M689&lt;=39,"Adults",
M689&lt;=59,"Middle-Aged",
M689&gt;=60,"Seniors"
)</f>
        <v>Adults</v>
      </c>
      <c r="O689" s="9" t="s">
        <v>20</v>
      </c>
      <c r="P689" s="9">
        <f t="shared" si="20"/>
        <v>0</v>
      </c>
      <c r="Q689" s="9">
        <v>1</v>
      </c>
      <c r="R689" s="10">
        <f t="shared" si="21"/>
        <v>0</v>
      </c>
    </row>
    <row r="690" spans="1:18" x14ac:dyDescent="0.3">
      <c r="A690" s="9">
        <v>11699</v>
      </c>
      <c r="B690" s="9" t="s">
        <v>40</v>
      </c>
      <c r="C690" s="9" t="s">
        <v>39</v>
      </c>
      <c r="D690" s="10">
        <v>60000</v>
      </c>
      <c r="E690" s="9" t="str" cm="1">
        <f t="array" ref="E690">_xlfn.IFS(D690&lt;= 60000, "Low Income",
D690&lt;=120000,"Medium Income",
D690&gt; 120000,"High Income"
)</f>
        <v>Low Income</v>
      </c>
      <c r="F690" s="9">
        <v>0</v>
      </c>
      <c r="G690" s="9" t="s">
        <v>15</v>
      </c>
      <c r="H690" s="9" t="s">
        <v>16</v>
      </c>
      <c r="I690" s="9" t="s">
        <v>20</v>
      </c>
      <c r="J690" s="9">
        <v>2</v>
      </c>
      <c r="K690" s="9" t="s">
        <v>18</v>
      </c>
      <c r="L690" s="9" t="s">
        <v>35</v>
      </c>
      <c r="M690" s="9">
        <v>30</v>
      </c>
      <c r="N690" s="9" t="str" cm="1">
        <f t="array" ref="N690">_xlfn.IFS(
M690&lt;=12,"Children",
M690&lt;=19,"Teens",
M690&lt;=29,"Young Adults",
M690&lt;=39,"Adults",
M690&lt;=59,"Middle-Aged",
M690&gt;=60,"Seniors"
)</f>
        <v>Adults</v>
      </c>
      <c r="O690" s="9" t="s">
        <v>20</v>
      </c>
      <c r="P690" s="9">
        <f t="shared" si="20"/>
        <v>0</v>
      </c>
      <c r="Q690" s="9">
        <v>1</v>
      </c>
      <c r="R690" s="10">
        <f t="shared" si="21"/>
        <v>0</v>
      </c>
    </row>
    <row r="691" spans="1:18" x14ac:dyDescent="0.3">
      <c r="A691" s="9">
        <v>16725</v>
      </c>
      <c r="B691" s="9" t="s">
        <v>37</v>
      </c>
      <c r="C691" s="9" t="s">
        <v>39</v>
      </c>
      <c r="D691" s="10">
        <v>30000</v>
      </c>
      <c r="E691" s="9" t="str" cm="1">
        <f t="array" ref="E691">_xlfn.IFS(D691&lt;= 60000, "Low Income",
D691&lt;=120000,"Medium Income",
D691&gt; 120000,"High Income"
)</f>
        <v>Low Income</v>
      </c>
      <c r="F691" s="9">
        <v>0</v>
      </c>
      <c r="G691" s="9" t="s">
        <v>30</v>
      </c>
      <c r="H691" s="9" t="s">
        <v>16</v>
      </c>
      <c r="I691" s="9" t="s">
        <v>17</v>
      </c>
      <c r="J691" s="9">
        <v>2</v>
      </c>
      <c r="K691" s="9" t="s">
        <v>26</v>
      </c>
      <c r="L691" s="9" t="s">
        <v>35</v>
      </c>
      <c r="M691" s="9">
        <v>26</v>
      </c>
      <c r="N691" s="9" t="str" cm="1">
        <f t="array" ref="N691">_xlfn.IFS(
M691&lt;=12,"Children",
M691&lt;=19,"Teens",
M691&lt;=29,"Young Adults",
M691&lt;=39,"Adults",
M691&lt;=59,"Middle-Aged",
M691&gt;=60,"Seniors"
)</f>
        <v>Young Adults</v>
      </c>
      <c r="O691" s="9" t="s">
        <v>20</v>
      </c>
      <c r="P691" s="9">
        <f t="shared" si="20"/>
        <v>0</v>
      </c>
      <c r="Q691" s="9">
        <v>1</v>
      </c>
      <c r="R691" s="10">
        <f t="shared" si="21"/>
        <v>0</v>
      </c>
    </row>
    <row r="692" spans="1:18" x14ac:dyDescent="0.3">
      <c r="A692" s="9">
        <v>28269</v>
      </c>
      <c r="B692" s="9" t="s">
        <v>40</v>
      </c>
      <c r="C692" s="9" t="s">
        <v>38</v>
      </c>
      <c r="D692" s="10">
        <v>130000</v>
      </c>
      <c r="E692" s="9" t="str" cm="1">
        <f t="array" ref="E692">_xlfn.IFS(D692&lt;= 60000, "Low Income",
D692&lt;=120000,"Medium Income",
D692&gt; 120000,"High Income"
)</f>
        <v>High Income</v>
      </c>
      <c r="F692" s="9">
        <v>1</v>
      </c>
      <c r="G692" s="9" t="s">
        <v>15</v>
      </c>
      <c r="H692" s="9" t="s">
        <v>31</v>
      </c>
      <c r="I692" s="9" t="s">
        <v>20</v>
      </c>
      <c r="J692" s="9">
        <v>1</v>
      </c>
      <c r="K692" s="9" t="s">
        <v>24</v>
      </c>
      <c r="L692" s="9" t="s">
        <v>35</v>
      </c>
      <c r="M692" s="9">
        <v>45</v>
      </c>
      <c r="N692" s="9" t="str" cm="1">
        <f t="array" ref="N692">_xlfn.IFS(
M692&lt;=12,"Children",
M692&lt;=19,"Teens",
M692&lt;=29,"Young Adults",
M692&lt;=39,"Adults",
M692&lt;=59,"Middle-Aged",
M692&gt;=60,"Seniors"
)</f>
        <v>Middle-Aged</v>
      </c>
      <c r="O692" s="9" t="s">
        <v>20</v>
      </c>
      <c r="P692" s="9">
        <f t="shared" si="20"/>
        <v>0</v>
      </c>
      <c r="Q692" s="9">
        <v>1</v>
      </c>
      <c r="R692" s="10">
        <f t="shared" si="21"/>
        <v>0</v>
      </c>
    </row>
    <row r="693" spans="1:18" x14ac:dyDescent="0.3">
      <c r="A693" s="9">
        <v>23144</v>
      </c>
      <c r="B693" s="9" t="s">
        <v>37</v>
      </c>
      <c r="C693" s="9" t="s">
        <v>39</v>
      </c>
      <c r="D693" s="10">
        <v>50000</v>
      </c>
      <c r="E693" s="9" t="str" cm="1">
        <f t="array" ref="E693">_xlfn.IFS(D693&lt;= 60000, "Low Income",
D693&lt;=120000,"Medium Income",
D693&gt; 120000,"High Income"
)</f>
        <v>Low Income</v>
      </c>
      <c r="F693" s="9">
        <v>1</v>
      </c>
      <c r="G693" s="9" t="s">
        <v>15</v>
      </c>
      <c r="H693" s="9" t="s">
        <v>16</v>
      </c>
      <c r="I693" s="9" t="s">
        <v>17</v>
      </c>
      <c r="J693" s="9">
        <v>0</v>
      </c>
      <c r="K693" s="9" t="s">
        <v>18</v>
      </c>
      <c r="L693" s="9" t="s">
        <v>35</v>
      </c>
      <c r="M693" s="9">
        <v>34</v>
      </c>
      <c r="N693" s="9" t="str" cm="1">
        <f t="array" ref="N693">_xlfn.IFS(
M693&lt;=12,"Children",
M693&lt;=19,"Teens",
M693&lt;=29,"Young Adults",
M693&lt;=39,"Adults",
M693&lt;=59,"Middle-Aged",
M693&gt;=60,"Seniors"
)</f>
        <v>Adults</v>
      </c>
      <c r="O693" s="9" t="s">
        <v>17</v>
      </c>
      <c r="P693" s="9">
        <f t="shared" si="20"/>
        <v>1</v>
      </c>
      <c r="Q693" s="9">
        <v>1</v>
      </c>
      <c r="R693" s="10">
        <f t="shared" si="21"/>
        <v>50000</v>
      </c>
    </row>
    <row r="694" spans="1:18" x14ac:dyDescent="0.3">
      <c r="A694" s="9">
        <v>23376</v>
      </c>
      <c r="B694" s="9" t="s">
        <v>37</v>
      </c>
      <c r="C694" s="9" t="s">
        <v>39</v>
      </c>
      <c r="D694" s="10">
        <v>70000</v>
      </c>
      <c r="E694" s="9" t="str" cm="1">
        <f t="array" ref="E694">_xlfn.IFS(D694&lt;= 60000, "Low Income",
D694&lt;=120000,"Medium Income",
D694&gt; 120000,"High Income"
)</f>
        <v>Medium Income</v>
      </c>
      <c r="F694" s="9">
        <v>1</v>
      </c>
      <c r="G694" s="9" t="s">
        <v>15</v>
      </c>
      <c r="H694" s="9" t="s">
        <v>23</v>
      </c>
      <c r="I694" s="9" t="s">
        <v>17</v>
      </c>
      <c r="J694" s="9">
        <v>1</v>
      </c>
      <c r="K694" s="9" t="s">
        <v>24</v>
      </c>
      <c r="L694" s="9" t="s">
        <v>35</v>
      </c>
      <c r="M694" s="9">
        <v>44</v>
      </c>
      <c r="N694" s="9" t="str" cm="1">
        <f t="array" ref="N694">_xlfn.IFS(
M694&lt;=12,"Children",
M694&lt;=19,"Teens",
M694&lt;=29,"Young Adults",
M694&lt;=39,"Adults",
M694&lt;=59,"Middle-Aged",
M694&gt;=60,"Seniors"
)</f>
        <v>Middle-Aged</v>
      </c>
      <c r="O694" s="9" t="s">
        <v>17</v>
      </c>
      <c r="P694" s="9">
        <f t="shared" si="20"/>
        <v>1</v>
      </c>
      <c r="Q694" s="9">
        <v>1</v>
      </c>
      <c r="R694" s="10">
        <f t="shared" si="21"/>
        <v>70000</v>
      </c>
    </row>
    <row r="695" spans="1:18" x14ac:dyDescent="0.3">
      <c r="A695" s="9">
        <v>25970</v>
      </c>
      <c r="B695" s="9" t="s">
        <v>40</v>
      </c>
      <c r="C695" s="9" t="s">
        <v>38</v>
      </c>
      <c r="D695" s="10">
        <v>60000</v>
      </c>
      <c r="E695" s="9" t="str" cm="1">
        <f t="array" ref="E695">_xlfn.IFS(D695&lt;= 60000, "Low Income",
D695&lt;=120000,"Medium Income",
D695&gt; 120000,"High Income"
)</f>
        <v>Low Income</v>
      </c>
      <c r="F695" s="9">
        <v>4</v>
      </c>
      <c r="G695" s="9" t="s">
        <v>15</v>
      </c>
      <c r="H695" s="9" t="s">
        <v>16</v>
      </c>
      <c r="I695" s="9" t="s">
        <v>20</v>
      </c>
      <c r="J695" s="9">
        <v>2</v>
      </c>
      <c r="K695" s="9" t="s">
        <v>18</v>
      </c>
      <c r="L695" s="9" t="s">
        <v>35</v>
      </c>
      <c r="M695" s="9">
        <v>41</v>
      </c>
      <c r="N695" s="9" t="str" cm="1">
        <f t="array" ref="N695">_xlfn.IFS(
M695&lt;=12,"Children",
M695&lt;=19,"Teens",
M695&lt;=29,"Young Adults",
M695&lt;=39,"Adults",
M695&lt;=59,"Middle-Aged",
M695&gt;=60,"Seniors"
)</f>
        <v>Middle-Aged</v>
      </c>
      <c r="O695" s="9" t="s">
        <v>17</v>
      </c>
      <c r="P695" s="9">
        <f t="shared" si="20"/>
        <v>1</v>
      </c>
      <c r="Q695" s="9">
        <v>1</v>
      </c>
      <c r="R695" s="10">
        <f t="shared" si="21"/>
        <v>60000</v>
      </c>
    </row>
    <row r="696" spans="1:18" x14ac:dyDescent="0.3">
      <c r="A696" s="9">
        <v>28068</v>
      </c>
      <c r="B696" s="9" t="s">
        <v>40</v>
      </c>
      <c r="C696" s="9" t="s">
        <v>38</v>
      </c>
      <c r="D696" s="10">
        <v>80000</v>
      </c>
      <c r="E696" s="9" t="str" cm="1">
        <f t="array" ref="E696">_xlfn.IFS(D696&lt;= 60000, "Low Income",
D696&lt;=120000,"Medium Income",
D696&gt; 120000,"High Income"
)</f>
        <v>Medium Income</v>
      </c>
      <c r="F696" s="9">
        <v>3</v>
      </c>
      <c r="G696" s="9" t="s">
        <v>34</v>
      </c>
      <c r="H696" s="9" t="s">
        <v>23</v>
      </c>
      <c r="I696" s="9" t="s">
        <v>20</v>
      </c>
      <c r="J696" s="9">
        <v>0</v>
      </c>
      <c r="K696" s="9" t="s">
        <v>18</v>
      </c>
      <c r="L696" s="9" t="s">
        <v>35</v>
      </c>
      <c r="M696" s="9">
        <v>36</v>
      </c>
      <c r="N696" s="9" t="str" cm="1">
        <f t="array" ref="N696">_xlfn.IFS(
M696&lt;=12,"Children",
M696&lt;=19,"Teens",
M696&lt;=29,"Young Adults",
M696&lt;=39,"Adults",
M696&lt;=59,"Middle-Aged",
M696&gt;=60,"Seniors"
)</f>
        <v>Adults</v>
      </c>
      <c r="O696" s="9" t="s">
        <v>17</v>
      </c>
      <c r="P696" s="9">
        <f t="shared" si="20"/>
        <v>1</v>
      </c>
      <c r="Q696" s="9">
        <v>1</v>
      </c>
      <c r="R696" s="10">
        <f t="shared" si="21"/>
        <v>80000</v>
      </c>
    </row>
    <row r="697" spans="1:18" x14ac:dyDescent="0.3">
      <c r="A697" s="9">
        <v>18390</v>
      </c>
      <c r="B697" s="9" t="s">
        <v>37</v>
      </c>
      <c r="C697" s="9" t="s">
        <v>39</v>
      </c>
      <c r="D697" s="10">
        <v>80000</v>
      </c>
      <c r="E697" s="9" t="str" cm="1">
        <f t="array" ref="E697">_xlfn.IFS(D697&lt;= 60000, "Low Income",
D697&lt;=120000,"Medium Income",
D697&gt; 120000,"High Income"
)</f>
        <v>Medium Income</v>
      </c>
      <c r="F697" s="9">
        <v>5</v>
      </c>
      <c r="G697" s="9" t="s">
        <v>21</v>
      </c>
      <c r="H697" s="9" t="s">
        <v>23</v>
      </c>
      <c r="I697" s="9" t="s">
        <v>17</v>
      </c>
      <c r="J697" s="9">
        <v>2</v>
      </c>
      <c r="K697" s="9" t="s">
        <v>18</v>
      </c>
      <c r="L697" s="9" t="s">
        <v>35</v>
      </c>
      <c r="M697" s="9">
        <v>44</v>
      </c>
      <c r="N697" s="9" t="str" cm="1">
        <f t="array" ref="N697">_xlfn.IFS(
M697&lt;=12,"Children",
M697&lt;=19,"Teens",
M697&lt;=29,"Young Adults",
M697&lt;=39,"Adults",
M697&lt;=59,"Middle-Aged",
M697&gt;=60,"Seniors"
)</f>
        <v>Middle-Aged</v>
      </c>
      <c r="O697" s="9" t="s">
        <v>20</v>
      </c>
      <c r="P697" s="9">
        <f t="shared" si="20"/>
        <v>0</v>
      </c>
      <c r="Q697" s="9">
        <v>1</v>
      </c>
      <c r="R697" s="10">
        <f t="shared" si="21"/>
        <v>0</v>
      </c>
    </row>
    <row r="698" spans="1:18" x14ac:dyDescent="0.3">
      <c r="A698" s="9">
        <v>29112</v>
      </c>
      <c r="B698" s="9" t="s">
        <v>40</v>
      </c>
      <c r="C698" s="9" t="s">
        <v>39</v>
      </c>
      <c r="D698" s="10">
        <v>60000</v>
      </c>
      <c r="E698" s="9" t="str" cm="1">
        <f t="array" ref="E698">_xlfn.IFS(D698&lt;= 60000, "Low Income",
D698&lt;=120000,"Medium Income",
D698&gt; 120000,"High Income"
)</f>
        <v>Low Income</v>
      </c>
      <c r="F698" s="9">
        <v>0</v>
      </c>
      <c r="G698" s="9" t="s">
        <v>21</v>
      </c>
      <c r="H698" s="9" t="s">
        <v>23</v>
      </c>
      <c r="I698" s="9" t="s">
        <v>20</v>
      </c>
      <c r="J698" s="9">
        <v>2</v>
      </c>
      <c r="K698" s="9" t="s">
        <v>29</v>
      </c>
      <c r="L698" s="9" t="s">
        <v>35</v>
      </c>
      <c r="M698" s="9">
        <v>30</v>
      </c>
      <c r="N698" s="9" t="str" cm="1">
        <f t="array" ref="N698">_xlfn.IFS(
M698&lt;=12,"Children",
M698&lt;=19,"Teens",
M698&lt;=29,"Young Adults",
M698&lt;=39,"Adults",
M698&lt;=59,"Middle-Aged",
M698&gt;=60,"Seniors"
)</f>
        <v>Adults</v>
      </c>
      <c r="O698" s="9" t="s">
        <v>20</v>
      </c>
      <c r="P698" s="9">
        <f t="shared" si="20"/>
        <v>0</v>
      </c>
      <c r="Q698" s="9">
        <v>1</v>
      </c>
      <c r="R698" s="10">
        <f t="shared" si="21"/>
        <v>0</v>
      </c>
    </row>
    <row r="699" spans="1:18" x14ac:dyDescent="0.3">
      <c r="A699" s="9">
        <v>14090</v>
      </c>
      <c r="B699" s="9" t="s">
        <v>37</v>
      </c>
      <c r="C699" s="9" t="s">
        <v>38</v>
      </c>
      <c r="D699" s="10">
        <v>30000</v>
      </c>
      <c r="E699" s="9" t="str" cm="1">
        <f t="array" ref="E699">_xlfn.IFS(D699&lt;= 60000, "Low Income",
D699&lt;=120000,"Medium Income",
D699&gt; 120000,"High Income"
)</f>
        <v>Low Income</v>
      </c>
      <c r="F699" s="9">
        <v>0</v>
      </c>
      <c r="G699" s="9" t="s">
        <v>32</v>
      </c>
      <c r="H699" s="9" t="s">
        <v>22</v>
      </c>
      <c r="I699" s="9" t="s">
        <v>20</v>
      </c>
      <c r="J699" s="9">
        <v>2</v>
      </c>
      <c r="K699" s="9" t="s">
        <v>18</v>
      </c>
      <c r="L699" s="9" t="s">
        <v>35</v>
      </c>
      <c r="M699" s="9">
        <v>28</v>
      </c>
      <c r="N699" s="9" t="str" cm="1">
        <f t="array" ref="N699">_xlfn.IFS(
M699&lt;=12,"Children",
M699&lt;=19,"Teens",
M699&lt;=29,"Young Adults",
M699&lt;=39,"Adults",
M699&lt;=59,"Middle-Aged",
M699&gt;=60,"Seniors"
)</f>
        <v>Young Adults</v>
      </c>
      <c r="O699" s="9" t="s">
        <v>20</v>
      </c>
      <c r="P699" s="9">
        <f t="shared" si="20"/>
        <v>0</v>
      </c>
      <c r="Q699" s="9">
        <v>1</v>
      </c>
      <c r="R699" s="10">
        <f t="shared" si="21"/>
        <v>0</v>
      </c>
    </row>
    <row r="700" spans="1:18" x14ac:dyDescent="0.3">
      <c r="A700" s="9">
        <v>27040</v>
      </c>
      <c r="B700" s="9" t="s">
        <v>37</v>
      </c>
      <c r="C700" s="9" t="s">
        <v>39</v>
      </c>
      <c r="D700" s="10">
        <v>20000</v>
      </c>
      <c r="E700" s="9" t="str" cm="1">
        <f t="array" ref="E700">_xlfn.IFS(D700&lt;= 60000, "Low Income",
D700&lt;=120000,"Medium Income",
D700&gt; 120000,"High Income"
)</f>
        <v>Low Income</v>
      </c>
      <c r="F700" s="9">
        <v>2</v>
      </c>
      <c r="G700" s="9" t="s">
        <v>32</v>
      </c>
      <c r="H700" s="9" t="s">
        <v>22</v>
      </c>
      <c r="I700" s="9" t="s">
        <v>17</v>
      </c>
      <c r="J700" s="9">
        <v>2</v>
      </c>
      <c r="K700" s="9" t="s">
        <v>29</v>
      </c>
      <c r="L700" s="9" t="s">
        <v>35</v>
      </c>
      <c r="M700" s="9">
        <v>49</v>
      </c>
      <c r="N700" s="9" t="str" cm="1">
        <f t="array" ref="N700">_xlfn.IFS(
M700&lt;=12,"Children",
M700&lt;=19,"Teens",
M700&lt;=29,"Young Adults",
M700&lt;=39,"Adults",
M700&lt;=59,"Middle-Aged",
M700&gt;=60,"Seniors"
)</f>
        <v>Middle-Aged</v>
      </c>
      <c r="O700" s="9" t="s">
        <v>20</v>
      </c>
      <c r="P700" s="9">
        <f t="shared" si="20"/>
        <v>0</v>
      </c>
      <c r="Q700" s="9">
        <v>1</v>
      </c>
      <c r="R700" s="10">
        <f t="shared" si="21"/>
        <v>0</v>
      </c>
    </row>
    <row r="701" spans="1:18" x14ac:dyDescent="0.3">
      <c r="A701" s="9">
        <v>23479</v>
      </c>
      <c r="B701" s="9" t="s">
        <v>40</v>
      </c>
      <c r="C701" s="9" t="s">
        <v>39</v>
      </c>
      <c r="D701" s="10">
        <v>90000</v>
      </c>
      <c r="E701" s="9" t="str" cm="1">
        <f t="array" ref="E701">_xlfn.IFS(D701&lt;= 60000, "Low Income",
D701&lt;=120000,"Medium Income",
D701&gt; 120000,"High Income"
)</f>
        <v>Medium Income</v>
      </c>
      <c r="F701" s="9">
        <v>0</v>
      </c>
      <c r="G701" s="9" t="s">
        <v>21</v>
      </c>
      <c r="H701" s="9" t="s">
        <v>23</v>
      </c>
      <c r="I701" s="9" t="s">
        <v>20</v>
      </c>
      <c r="J701" s="9">
        <v>2</v>
      </c>
      <c r="K701" s="9" t="s">
        <v>18</v>
      </c>
      <c r="L701" s="9" t="s">
        <v>35</v>
      </c>
      <c r="M701" s="9">
        <v>43</v>
      </c>
      <c r="N701" s="9" t="str" cm="1">
        <f t="array" ref="N701">_xlfn.IFS(
M701&lt;=12,"Children",
M701&lt;=19,"Teens",
M701&lt;=29,"Young Adults",
M701&lt;=39,"Adults",
M701&lt;=59,"Middle-Aged",
M701&gt;=60,"Seniors"
)</f>
        <v>Middle-Aged</v>
      </c>
      <c r="O701" s="9" t="s">
        <v>17</v>
      </c>
      <c r="P701" s="9">
        <f t="shared" si="20"/>
        <v>1</v>
      </c>
      <c r="Q701" s="9">
        <v>1</v>
      </c>
      <c r="R701" s="10">
        <f t="shared" si="21"/>
        <v>90000</v>
      </c>
    </row>
    <row r="702" spans="1:18" x14ac:dyDescent="0.3">
      <c r="A702" s="9">
        <v>16795</v>
      </c>
      <c r="B702" s="9" t="s">
        <v>37</v>
      </c>
      <c r="C702" s="9" t="s">
        <v>38</v>
      </c>
      <c r="D702" s="10">
        <v>70000</v>
      </c>
      <c r="E702" s="9" t="str" cm="1">
        <f t="array" ref="E702">_xlfn.IFS(D702&lt;= 60000, "Low Income",
D702&lt;=120000,"Medium Income",
D702&gt; 120000,"High Income"
)</f>
        <v>Medium Income</v>
      </c>
      <c r="F702" s="9">
        <v>4</v>
      </c>
      <c r="G702" s="9" t="s">
        <v>15</v>
      </c>
      <c r="H702" s="9" t="s">
        <v>31</v>
      </c>
      <c r="I702" s="9" t="s">
        <v>17</v>
      </c>
      <c r="J702" s="9">
        <v>1</v>
      </c>
      <c r="K702" s="9" t="s">
        <v>29</v>
      </c>
      <c r="L702" s="9" t="s">
        <v>35</v>
      </c>
      <c r="M702" s="9">
        <v>59</v>
      </c>
      <c r="N702" s="9" t="str" cm="1">
        <f t="array" ref="N702">_xlfn.IFS(
M702&lt;=12,"Children",
M702&lt;=19,"Teens",
M702&lt;=29,"Young Adults",
M702&lt;=39,"Adults",
M702&lt;=59,"Middle-Aged",
M702&gt;=60,"Seniors"
)</f>
        <v>Middle-Aged</v>
      </c>
      <c r="O702" s="9" t="s">
        <v>20</v>
      </c>
      <c r="P702" s="9">
        <f t="shared" si="20"/>
        <v>0</v>
      </c>
      <c r="Q702" s="9">
        <v>1</v>
      </c>
      <c r="R702" s="10">
        <f t="shared" si="21"/>
        <v>0</v>
      </c>
    </row>
    <row r="703" spans="1:18" x14ac:dyDescent="0.3">
      <c r="A703" s="9">
        <v>22014</v>
      </c>
      <c r="B703" s="9" t="s">
        <v>40</v>
      </c>
      <c r="C703" s="9" t="s">
        <v>39</v>
      </c>
      <c r="D703" s="10">
        <v>30000</v>
      </c>
      <c r="E703" s="9" t="str" cm="1">
        <f t="array" ref="E703">_xlfn.IFS(D703&lt;= 60000, "Low Income",
D703&lt;=120000,"Medium Income",
D703&gt; 120000,"High Income"
)</f>
        <v>Low Income</v>
      </c>
      <c r="F703" s="9">
        <v>0</v>
      </c>
      <c r="G703" s="9" t="s">
        <v>30</v>
      </c>
      <c r="H703" s="9" t="s">
        <v>16</v>
      </c>
      <c r="I703" s="9" t="s">
        <v>17</v>
      </c>
      <c r="J703" s="9">
        <v>2</v>
      </c>
      <c r="K703" s="9" t="s">
        <v>26</v>
      </c>
      <c r="L703" s="9" t="s">
        <v>35</v>
      </c>
      <c r="M703" s="9">
        <v>26</v>
      </c>
      <c r="N703" s="9" t="str" cm="1">
        <f t="array" ref="N703">_xlfn.IFS(
M703&lt;=12,"Children",
M703&lt;=19,"Teens",
M703&lt;=29,"Young Adults",
M703&lt;=39,"Adults",
M703&lt;=59,"Middle-Aged",
M703&gt;=60,"Seniors"
)</f>
        <v>Young Adults</v>
      </c>
      <c r="O703" s="9" t="s">
        <v>20</v>
      </c>
      <c r="P703" s="9">
        <f t="shared" si="20"/>
        <v>0</v>
      </c>
      <c r="Q703" s="9">
        <v>1</v>
      </c>
      <c r="R703" s="10">
        <f t="shared" si="21"/>
        <v>0</v>
      </c>
    </row>
    <row r="704" spans="1:18" x14ac:dyDescent="0.3">
      <c r="A704" s="9">
        <v>13314</v>
      </c>
      <c r="B704" s="9" t="s">
        <v>37</v>
      </c>
      <c r="C704" s="9" t="s">
        <v>39</v>
      </c>
      <c r="D704" s="10">
        <v>120000</v>
      </c>
      <c r="E704" s="9" t="str" cm="1">
        <f t="array" ref="E704">_xlfn.IFS(D704&lt;= 60000, "Low Income",
D704&lt;=120000,"Medium Income",
D704&gt; 120000,"High Income"
)</f>
        <v>Medium Income</v>
      </c>
      <c r="F704" s="9">
        <v>1</v>
      </c>
      <c r="G704" s="9" t="s">
        <v>30</v>
      </c>
      <c r="H704" s="9" t="s">
        <v>23</v>
      </c>
      <c r="I704" s="9" t="s">
        <v>17</v>
      </c>
      <c r="J704" s="9">
        <v>4</v>
      </c>
      <c r="K704" s="9" t="s">
        <v>26</v>
      </c>
      <c r="L704" s="9" t="s">
        <v>35</v>
      </c>
      <c r="M704" s="9">
        <v>46</v>
      </c>
      <c r="N704" s="9" t="str" cm="1">
        <f t="array" ref="N704">_xlfn.IFS(
M704&lt;=12,"Children",
M704&lt;=19,"Teens",
M704&lt;=29,"Young Adults",
M704&lt;=39,"Adults",
M704&lt;=59,"Middle-Aged",
M704&gt;=60,"Seniors"
)</f>
        <v>Middle-Aged</v>
      </c>
      <c r="O704" s="9" t="s">
        <v>17</v>
      </c>
      <c r="P704" s="9">
        <f t="shared" si="20"/>
        <v>1</v>
      </c>
      <c r="Q704" s="9">
        <v>1</v>
      </c>
      <c r="R704" s="10">
        <f t="shared" si="21"/>
        <v>120000</v>
      </c>
    </row>
    <row r="705" spans="1:18" x14ac:dyDescent="0.3">
      <c r="A705" s="9">
        <v>11619</v>
      </c>
      <c r="B705" s="9" t="s">
        <v>40</v>
      </c>
      <c r="C705" s="9" t="s">
        <v>38</v>
      </c>
      <c r="D705" s="10">
        <v>50000</v>
      </c>
      <c r="E705" s="9" t="str" cm="1">
        <f t="array" ref="E705">_xlfn.IFS(D705&lt;= 60000, "Low Income",
D705&lt;=120000,"Medium Income",
D705&gt; 120000,"High Income"
)</f>
        <v>Low Income</v>
      </c>
      <c r="F705" s="9">
        <v>0</v>
      </c>
      <c r="G705" s="9" t="s">
        <v>34</v>
      </c>
      <c r="H705" s="9" t="s">
        <v>16</v>
      </c>
      <c r="I705" s="9" t="s">
        <v>17</v>
      </c>
      <c r="J705" s="9">
        <v>0</v>
      </c>
      <c r="K705" s="9" t="s">
        <v>29</v>
      </c>
      <c r="L705" s="9" t="s">
        <v>35</v>
      </c>
      <c r="M705" s="9">
        <v>33</v>
      </c>
      <c r="N705" s="9" t="str" cm="1">
        <f t="array" ref="N705">_xlfn.IFS(
M705&lt;=12,"Children",
M705&lt;=19,"Teens",
M705&lt;=29,"Young Adults",
M705&lt;=39,"Adults",
M705&lt;=59,"Middle-Aged",
M705&gt;=60,"Seniors"
)</f>
        <v>Adults</v>
      </c>
      <c r="O705" s="9" t="s">
        <v>20</v>
      </c>
      <c r="P705" s="9">
        <f t="shared" si="20"/>
        <v>0</v>
      </c>
      <c r="Q705" s="9">
        <v>1</v>
      </c>
      <c r="R705" s="10">
        <f t="shared" si="21"/>
        <v>0</v>
      </c>
    </row>
    <row r="706" spans="1:18" x14ac:dyDescent="0.3">
      <c r="A706" s="9">
        <v>29132</v>
      </c>
      <c r="B706" s="9" t="s">
        <v>40</v>
      </c>
      <c r="C706" s="9" t="s">
        <v>38</v>
      </c>
      <c r="D706" s="10">
        <v>40000</v>
      </c>
      <c r="E706" s="9" t="str" cm="1">
        <f t="array" ref="E706">_xlfn.IFS(D706&lt;= 60000, "Low Income",
D706&lt;=120000,"Medium Income",
D706&gt; 120000,"High Income"
)</f>
        <v>Low Income</v>
      </c>
      <c r="F706" s="9">
        <v>0</v>
      </c>
      <c r="G706" s="9" t="s">
        <v>15</v>
      </c>
      <c r="H706" s="9" t="s">
        <v>23</v>
      </c>
      <c r="I706" s="9" t="s">
        <v>17</v>
      </c>
      <c r="J706" s="9">
        <v>1</v>
      </c>
      <c r="K706" s="9" t="s">
        <v>24</v>
      </c>
      <c r="L706" s="9" t="s">
        <v>35</v>
      </c>
      <c r="M706" s="9">
        <v>42</v>
      </c>
      <c r="N706" s="9" t="str" cm="1">
        <f t="array" ref="N706">_xlfn.IFS(
M706&lt;=12,"Children",
M706&lt;=19,"Teens",
M706&lt;=29,"Young Adults",
M706&lt;=39,"Adults",
M706&lt;=59,"Middle-Aged",
M706&gt;=60,"Seniors"
)</f>
        <v>Middle-Aged</v>
      </c>
      <c r="O706" s="9" t="s">
        <v>17</v>
      </c>
      <c r="P706" s="9">
        <f t="shared" si="20"/>
        <v>1</v>
      </c>
      <c r="Q706" s="9">
        <v>1</v>
      </c>
      <c r="R706" s="10">
        <f t="shared" si="21"/>
        <v>40000</v>
      </c>
    </row>
    <row r="707" spans="1:18" x14ac:dyDescent="0.3">
      <c r="A707" s="9">
        <v>11199</v>
      </c>
      <c r="B707" s="9" t="s">
        <v>37</v>
      </c>
      <c r="C707" s="9" t="s">
        <v>38</v>
      </c>
      <c r="D707" s="10">
        <v>70000</v>
      </c>
      <c r="E707" s="9" t="str" cm="1">
        <f t="array" ref="E707">_xlfn.IFS(D707&lt;= 60000, "Low Income",
D707&lt;=120000,"Medium Income",
D707&gt; 120000,"High Income"
)</f>
        <v>Medium Income</v>
      </c>
      <c r="F707" s="9">
        <v>4</v>
      </c>
      <c r="G707" s="9" t="s">
        <v>15</v>
      </c>
      <c r="H707" s="9" t="s">
        <v>31</v>
      </c>
      <c r="I707" s="9" t="s">
        <v>17</v>
      </c>
      <c r="J707" s="9">
        <v>1</v>
      </c>
      <c r="K707" s="9" t="s">
        <v>41</v>
      </c>
      <c r="L707" s="9" t="s">
        <v>35</v>
      </c>
      <c r="M707" s="9">
        <v>59</v>
      </c>
      <c r="N707" s="9" t="str" cm="1">
        <f t="array" ref="N707">_xlfn.IFS(
M707&lt;=12,"Children",
M707&lt;=19,"Teens",
M707&lt;=29,"Young Adults",
M707&lt;=39,"Adults",
M707&lt;=59,"Middle-Aged",
M707&gt;=60,"Seniors"
)</f>
        <v>Middle-Aged</v>
      </c>
      <c r="O707" s="9" t="s">
        <v>20</v>
      </c>
      <c r="P707" s="9">
        <f t="shared" ref="P707:P770" si="22">IF(O707="No", 0, 1)</f>
        <v>0</v>
      </c>
      <c r="Q707" s="9">
        <v>1</v>
      </c>
      <c r="R707" s="10">
        <f t="shared" ref="R707:R770" si="23">IF(P707=1, D707, 0)</f>
        <v>0</v>
      </c>
    </row>
    <row r="708" spans="1:18" x14ac:dyDescent="0.3">
      <c r="A708" s="9">
        <v>20296</v>
      </c>
      <c r="B708" s="9" t="s">
        <v>40</v>
      </c>
      <c r="C708" s="9" t="s">
        <v>38</v>
      </c>
      <c r="D708" s="10">
        <v>60000</v>
      </c>
      <c r="E708" s="9" t="str" cm="1">
        <f t="array" ref="E708">_xlfn.IFS(D708&lt;= 60000, "Low Income",
D708&lt;=120000,"Medium Income",
D708&gt; 120000,"High Income"
)</f>
        <v>Low Income</v>
      </c>
      <c r="F708" s="9">
        <v>0</v>
      </c>
      <c r="G708" s="9" t="s">
        <v>21</v>
      </c>
      <c r="H708" s="9" t="s">
        <v>16</v>
      </c>
      <c r="I708" s="9" t="s">
        <v>20</v>
      </c>
      <c r="J708" s="9">
        <v>1</v>
      </c>
      <c r="K708" s="9" t="s">
        <v>29</v>
      </c>
      <c r="L708" s="9" t="s">
        <v>35</v>
      </c>
      <c r="M708" s="9">
        <v>33</v>
      </c>
      <c r="N708" s="9" t="str" cm="1">
        <f t="array" ref="N708">_xlfn.IFS(
M708&lt;=12,"Children",
M708&lt;=19,"Teens",
M708&lt;=29,"Young Adults",
M708&lt;=39,"Adults",
M708&lt;=59,"Middle-Aged",
M708&gt;=60,"Seniors"
)</f>
        <v>Adults</v>
      </c>
      <c r="O708" s="9" t="s">
        <v>17</v>
      </c>
      <c r="P708" s="9">
        <f t="shared" si="22"/>
        <v>1</v>
      </c>
      <c r="Q708" s="9">
        <v>1</v>
      </c>
      <c r="R708" s="10">
        <f t="shared" si="23"/>
        <v>60000</v>
      </c>
    </row>
    <row r="709" spans="1:18" x14ac:dyDescent="0.3">
      <c r="A709" s="9">
        <v>17546</v>
      </c>
      <c r="B709" s="9" t="s">
        <v>37</v>
      </c>
      <c r="C709" s="9" t="s">
        <v>38</v>
      </c>
      <c r="D709" s="10">
        <v>70000</v>
      </c>
      <c r="E709" s="9" t="str" cm="1">
        <f t="array" ref="E709">_xlfn.IFS(D709&lt;= 60000, "Low Income",
D709&lt;=120000,"Medium Income",
D709&gt; 120000,"High Income"
)</f>
        <v>Medium Income</v>
      </c>
      <c r="F709" s="9">
        <v>1</v>
      </c>
      <c r="G709" s="9" t="s">
        <v>21</v>
      </c>
      <c r="H709" s="9" t="s">
        <v>16</v>
      </c>
      <c r="I709" s="9" t="s">
        <v>17</v>
      </c>
      <c r="J709" s="9">
        <v>1</v>
      </c>
      <c r="K709" s="9" t="s">
        <v>18</v>
      </c>
      <c r="L709" s="9" t="s">
        <v>35</v>
      </c>
      <c r="M709" s="9">
        <v>44</v>
      </c>
      <c r="N709" s="9" t="str" cm="1">
        <f t="array" ref="N709">_xlfn.IFS(
M709&lt;=12,"Children",
M709&lt;=19,"Teens",
M709&lt;=29,"Young Adults",
M709&lt;=39,"Adults",
M709&lt;=59,"Middle-Aged",
M709&gt;=60,"Seniors"
)</f>
        <v>Middle-Aged</v>
      </c>
      <c r="O709" s="9" t="s">
        <v>17</v>
      </c>
      <c r="P709" s="9">
        <f t="shared" si="22"/>
        <v>1</v>
      </c>
      <c r="Q709" s="9">
        <v>1</v>
      </c>
      <c r="R709" s="10">
        <f t="shared" si="23"/>
        <v>70000</v>
      </c>
    </row>
    <row r="710" spans="1:18" x14ac:dyDescent="0.3">
      <c r="A710" s="9">
        <v>18069</v>
      </c>
      <c r="B710" s="9" t="s">
        <v>37</v>
      </c>
      <c r="C710" s="9" t="s">
        <v>39</v>
      </c>
      <c r="D710" s="10">
        <v>70000</v>
      </c>
      <c r="E710" s="9" t="str" cm="1">
        <f t="array" ref="E710">_xlfn.IFS(D710&lt;= 60000, "Low Income",
D710&lt;=120000,"Medium Income",
D710&gt; 120000,"High Income"
)</f>
        <v>Medium Income</v>
      </c>
      <c r="F710" s="9">
        <v>5</v>
      </c>
      <c r="G710" s="9" t="s">
        <v>15</v>
      </c>
      <c r="H710" s="9" t="s">
        <v>31</v>
      </c>
      <c r="I710" s="9" t="s">
        <v>17</v>
      </c>
      <c r="J710" s="9">
        <v>4</v>
      </c>
      <c r="K710" s="9" t="s">
        <v>41</v>
      </c>
      <c r="L710" s="9" t="s">
        <v>35</v>
      </c>
      <c r="M710" s="9">
        <v>60</v>
      </c>
      <c r="N710" s="9" t="str" cm="1">
        <f t="array" ref="N710">_xlfn.IFS(
M710&lt;=12,"Children",
M710&lt;=19,"Teens",
M710&lt;=29,"Young Adults",
M710&lt;=39,"Adults",
M710&lt;=59,"Middle-Aged",
M710&gt;=60,"Seniors"
)</f>
        <v>Seniors</v>
      </c>
      <c r="O710" s="9" t="s">
        <v>20</v>
      </c>
      <c r="P710" s="9">
        <f t="shared" si="22"/>
        <v>0</v>
      </c>
      <c r="Q710" s="9">
        <v>1</v>
      </c>
      <c r="R710" s="10">
        <f t="shared" si="23"/>
        <v>0</v>
      </c>
    </row>
    <row r="711" spans="1:18" x14ac:dyDescent="0.3">
      <c r="A711" s="9">
        <v>23712</v>
      </c>
      <c r="B711" s="9" t="s">
        <v>40</v>
      </c>
      <c r="C711" s="9" t="s">
        <v>38</v>
      </c>
      <c r="D711" s="10">
        <v>70000</v>
      </c>
      <c r="E711" s="9" t="str" cm="1">
        <f t="array" ref="E711">_xlfn.IFS(D711&lt;= 60000, "Low Income",
D711&lt;=120000,"Medium Income",
D711&gt; 120000,"High Income"
)</f>
        <v>Medium Income</v>
      </c>
      <c r="F711" s="9">
        <v>2</v>
      </c>
      <c r="G711" s="9" t="s">
        <v>15</v>
      </c>
      <c r="H711" s="9" t="s">
        <v>31</v>
      </c>
      <c r="I711" s="9" t="s">
        <v>17</v>
      </c>
      <c r="J711" s="9">
        <v>1</v>
      </c>
      <c r="K711" s="9" t="s">
        <v>41</v>
      </c>
      <c r="L711" s="9" t="s">
        <v>35</v>
      </c>
      <c r="M711" s="9">
        <v>59</v>
      </c>
      <c r="N711" s="9" t="str" cm="1">
        <f t="array" ref="N711">_xlfn.IFS(
M711&lt;=12,"Children",
M711&lt;=19,"Teens",
M711&lt;=29,"Young Adults",
M711&lt;=39,"Adults",
M711&lt;=59,"Middle-Aged",
M711&gt;=60,"Seniors"
)</f>
        <v>Middle-Aged</v>
      </c>
      <c r="O711" s="9" t="s">
        <v>20</v>
      </c>
      <c r="P711" s="9">
        <f t="shared" si="22"/>
        <v>0</v>
      </c>
      <c r="Q711" s="9">
        <v>1</v>
      </c>
      <c r="R711" s="10">
        <f t="shared" si="23"/>
        <v>0</v>
      </c>
    </row>
    <row r="712" spans="1:18" x14ac:dyDescent="0.3">
      <c r="A712" s="9">
        <v>23358</v>
      </c>
      <c r="B712" s="9" t="s">
        <v>37</v>
      </c>
      <c r="C712" s="9" t="s">
        <v>39</v>
      </c>
      <c r="D712" s="10">
        <v>60000</v>
      </c>
      <c r="E712" s="9" t="str" cm="1">
        <f t="array" ref="E712">_xlfn.IFS(D712&lt;= 60000, "Low Income",
D712&lt;=120000,"Medium Income",
D712&gt; 120000,"High Income"
)</f>
        <v>Low Income</v>
      </c>
      <c r="F712" s="9">
        <v>0</v>
      </c>
      <c r="G712" s="9" t="s">
        <v>30</v>
      </c>
      <c r="H712" s="9" t="s">
        <v>23</v>
      </c>
      <c r="I712" s="9" t="s">
        <v>17</v>
      </c>
      <c r="J712" s="9">
        <v>2</v>
      </c>
      <c r="K712" s="9" t="s">
        <v>26</v>
      </c>
      <c r="L712" s="9" t="s">
        <v>35</v>
      </c>
      <c r="M712" s="9">
        <v>32</v>
      </c>
      <c r="N712" s="9" t="str" cm="1">
        <f t="array" ref="N712">_xlfn.IFS(
M712&lt;=12,"Children",
M712&lt;=19,"Teens",
M712&lt;=29,"Young Adults",
M712&lt;=39,"Adults",
M712&lt;=59,"Middle-Aged",
M712&gt;=60,"Seniors"
)</f>
        <v>Adults</v>
      </c>
      <c r="O712" s="9" t="s">
        <v>17</v>
      </c>
      <c r="P712" s="9">
        <f t="shared" si="22"/>
        <v>1</v>
      </c>
      <c r="Q712" s="9">
        <v>1</v>
      </c>
      <c r="R712" s="10">
        <f t="shared" si="23"/>
        <v>60000</v>
      </c>
    </row>
    <row r="713" spans="1:18" x14ac:dyDescent="0.3">
      <c r="A713" s="9">
        <v>20518</v>
      </c>
      <c r="B713" s="9" t="s">
        <v>37</v>
      </c>
      <c r="C713" s="9" t="s">
        <v>38</v>
      </c>
      <c r="D713" s="10">
        <v>70000</v>
      </c>
      <c r="E713" s="9" t="str" cm="1">
        <f t="array" ref="E713">_xlfn.IFS(D713&lt;= 60000, "Low Income",
D713&lt;=120000,"Medium Income",
D713&gt; 120000,"High Income"
)</f>
        <v>Medium Income</v>
      </c>
      <c r="F713" s="9">
        <v>2</v>
      </c>
      <c r="G713" s="9" t="s">
        <v>21</v>
      </c>
      <c r="H713" s="9" t="s">
        <v>23</v>
      </c>
      <c r="I713" s="9" t="s">
        <v>17</v>
      </c>
      <c r="J713" s="9">
        <v>1</v>
      </c>
      <c r="K713" s="9" t="s">
        <v>41</v>
      </c>
      <c r="L713" s="9" t="s">
        <v>35</v>
      </c>
      <c r="M713" s="9">
        <v>58</v>
      </c>
      <c r="N713" s="9" t="str" cm="1">
        <f t="array" ref="N713">_xlfn.IFS(
M713&lt;=12,"Children",
M713&lt;=19,"Teens",
M713&lt;=29,"Young Adults",
M713&lt;=39,"Adults",
M713&lt;=59,"Middle-Aged",
M713&gt;=60,"Seniors"
)</f>
        <v>Middle-Aged</v>
      </c>
      <c r="O713" s="9" t="s">
        <v>20</v>
      </c>
      <c r="P713" s="9">
        <f t="shared" si="22"/>
        <v>0</v>
      </c>
      <c r="Q713" s="9">
        <v>1</v>
      </c>
      <c r="R713" s="10">
        <f t="shared" si="23"/>
        <v>0</v>
      </c>
    </row>
    <row r="714" spans="1:18" x14ac:dyDescent="0.3">
      <c r="A714" s="9">
        <v>28026</v>
      </c>
      <c r="B714" s="9" t="s">
        <v>37</v>
      </c>
      <c r="C714" s="9" t="s">
        <v>38</v>
      </c>
      <c r="D714" s="10">
        <v>40000</v>
      </c>
      <c r="E714" s="9" t="str" cm="1">
        <f t="array" ref="E714">_xlfn.IFS(D714&lt;= 60000, "Low Income",
D714&lt;=120000,"Medium Income",
D714&gt; 120000,"High Income"
)</f>
        <v>Low Income</v>
      </c>
      <c r="F714" s="9">
        <v>2</v>
      </c>
      <c r="G714" s="9" t="s">
        <v>30</v>
      </c>
      <c r="H714" s="9" t="s">
        <v>23</v>
      </c>
      <c r="I714" s="9" t="s">
        <v>20</v>
      </c>
      <c r="J714" s="9">
        <v>2</v>
      </c>
      <c r="K714" s="9" t="s">
        <v>24</v>
      </c>
      <c r="L714" s="9" t="s">
        <v>35</v>
      </c>
      <c r="M714" s="9">
        <v>59</v>
      </c>
      <c r="N714" s="9" t="str" cm="1">
        <f t="array" ref="N714">_xlfn.IFS(
M714&lt;=12,"Children",
M714&lt;=19,"Teens",
M714&lt;=29,"Young Adults",
M714&lt;=39,"Adults",
M714&lt;=59,"Middle-Aged",
M714&gt;=60,"Seniors"
)</f>
        <v>Middle-Aged</v>
      </c>
      <c r="O714" s="9" t="s">
        <v>20</v>
      </c>
      <c r="P714" s="9">
        <f t="shared" si="22"/>
        <v>0</v>
      </c>
      <c r="Q714" s="9">
        <v>1</v>
      </c>
      <c r="R714" s="10">
        <f t="shared" si="23"/>
        <v>0</v>
      </c>
    </row>
    <row r="715" spans="1:18" x14ac:dyDescent="0.3">
      <c r="A715" s="9">
        <v>11669</v>
      </c>
      <c r="B715" s="9" t="s">
        <v>40</v>
      </c>
      <c r="C715" s="9" t="s">
        <v>38</v>
      </c>
      <c r="D715" s="10">
        <v>70000</v>
      </c>
      <c r="E715" s="9" t="str" cm="1">
        <f t="array" ref="E715">_xlfn.IFS(D715&lt;= 60000, "Low Income",
D715&lt;=120000,"Medium Income",
D715&gt; 120000,"High Income"
)</f>
        <v>Medium Income</v>
      </c>
      <c r="F715" s="9">
        <v>2</v>
      </c>
      <c r="G715" s="9" t="s">
        <v>15</v>
      </c>
      <c r="H715" s="9" t="s">
        <v>16</v>
      </c>
      <c r="I715" s="9" t="s">
        <v>17</v>
      </c>
      <c r="J715" s="9">
        <v>1</v>
      </c>
      <c r="K715" s="9" t="s">
        <v>24</v>
      </c>
      <c r="L715" s="9" t="s">
        <v>35</v>
      </c>
      <c r="M715" s="9">
        <v>38</v>
      </c>
      <c r="N715" s="9" t="str" cm="1">
        <f t="array" ref="N715">_xlfn.IFS(
M715&lt;=12,"Children",
M715&lt;=19,"Teens",
M715&lt;=29,"Young Adults",
M715&lt;=39,"Adults",
M715&lt;=59,"Middle-Aged",
M715&gt;=60,"Seniors"
)</f>
        <v>Adults</v>
      </c>
      <c r="O715" s="9" t="s">
        <v>20</v>
      </c>
      <c r="P715" s="9">
        <f t="shared" si="22"/>
        <v>0</v>
      </c>
      <c r="Q715" s="9">
        <v>1</v>
      </c>
      <c r="R715" s="10">
        <f t="shared" si="23"/>
        <v>0</v>
      </c>
    </row>
    <row r="716" spans="1:18" x14ac:dyDescent="0.3">
      <c r="A716" s="9">
        <v>16020</v>
      </c>
      <c r="B716" s="9" t="s">
        <v>37</v>
      </c>
      <c r="C716" s="9" t="s">
        <v>39</v>
      </c>
      <c r="D716" s="10">
        <v>40000</v>
      </c>
      <c r="E716" s="9" t="str" cm="1">
        <f t="array" ref="E716">_xlfn.IFS(D716&lt;= 60000, "Low Income",
D716&lt;=120000,"Medium Income",
D716&gt; 120000,"High Income"
)</f>
        <v>Low Income</v>
      </c>
      <c r="F716" s="9">
        <v>0</v>
      </c>
      <c r="G716" s="9" t="s">
        <v>30</v>
      </c>
      <c r="H716" s="9" t="s">
        <v>16</v>
      </c>
      <c r="I716" s="9" t="s">
        <v>17</v>
      </c>
      <c r="J716" s="9">
        <v>2</v>
      </c>
      <c r="K716" s="9" t="s">
        <v>26</v>
      </c>
      <c r="L716" s="9" t="s">
        <v>35</v>
      </c>
      <c r="M716" s="9">
        <v>28</v>
      </c>
      <c r="N716" s="9" t="str" cm="1">
        <f t="array" ref="N716">_xlfn.IFS(
M716&lt;=12,"Children",
M716&lt;=19,"Teens",
M716&lt;=29,"Young Adults",
M716&lt;=39,"Adults",
M716&lt;=59,"Middle-Aged",
M716&gt;=60,"Seniors"
)</f>
        <v>Young Adults</v>
      </c>
      <c r="O716" s="9" t="s">
        <v>17</v>
      </c>
      <c r="P716" s="9">
        <f t="shared" si="22"/>
        <v>1</v>
      </c>
      <c r="Q716" s="9">
        <v>1</v>
      </c>
      <c r="R716" s="10">
        <f t="shared" si="23"/>
        <v>40000</v>
      </c>
    </row>
    <row r="717" spans="1:18" x14ac:dyDescent="0.3">
      <c r="A717" s="9">
        <v>27090</v>
      </c>
      <c r="B717" s="9" t="s">
        <v>37</v>
      </c>
      <c r="C717" s="9" t="s">
        <v>38</v>
      </c>
      <c r="D717" s="10">
        <v>60000</v>
      </c>
      <c r="E717" s="9" t="str" cm="1">
        <f t="array" ref="E717">_xlfn.IFS(D717&lt;= 60000, "Low Income",
D717&lt;=120000,"Medium Income",
D717&gt; 120000,"High Income"
)</f>
        <v>Low Income</v>
      </c>
      <c r="F717" s="9">
        <v>1</v>
      </c>
      <c r="G717" s="9" t="s">
        <v>34</v>
      </c>
      <c r="H717" s="9" t="s">
        <v>23</v>
      </c>
      <c r="I717" s="9" t="s">
        <v>17</v>
      </c>
      <c r="J717" s="9">
        <v>0</v>
      </c>
      <c r="K717" s="9" t="s">
        <v>24</v>
      </c>
      <c r="L717" s="9" t="s">
        <v>35</v>
      </c>
      <c r="M717" s="9">
        <v>37</v>
      </c>
      <c r="N717" s="9" t="str" cm="1">
        <f t="array" ref="N717">_xlfn.IFS(
M717&lt;=12,"Children",
M717&lt;=19,"Teens",
M717&lt;=29,"Young Adults",
M717&lt;=39,"Adults",
M717&lt;=59,"Middle-Aged",
M717&gt;=60,"Seniors"
)</f>
        <v>Adults</v>
      </c>
      <c r="O717" s="9" t="s">
        <v>17</v>
      </c>
      <c r="P717" s="9">
        <f t="shared" si="22"/>
        <v>1</v>
      </c>
      <c r="Q717" s="9">
        <v>1</v>
      </c>
      <c r="R717" s="10">
        <f t="shared" si="23"/>
        <v>60000</v>
      </c>
    </row>
    <row r="718" spans="1:18" x14ac:dyDescent="0.3">
      <c r="A718" s="9">
        <v>27198</v>
      </c>
      <c r="B718" s="9" t="s">
        <v>40</v>
      </c>
      <c r="C718" s="9" t="s">
        <v>38</v>
      </c>
      <c r="D718" s="10">
        <v>80000</v>
      </c>
      <c r="E718" s="9" t="str" cm="1">
        <f t="array" ref="E718">_xlfn.IFS(D718&lt;= 60000, "Low Income",
D718&lt;=120000,"Medium Income",
D718&gt; 120000,"High Income"
)</f>
        <v>Medium Income</v>
      </c>
      <c r="F718" s="9">
        <v>0</v>
      </c>
      <c r="G718" s="9" t="s">
        <v>34</v>
      </c>
      <c r="H718" s="9" t="s">
        <v>16</v>
      </c>
      <c r="I718" s="9" t="s">
        <v>20</v>
      </c>
      <c r="J718" s="9">
        <v>0</v>
      </c>
      <c r="K718" s="9" t="s">
        <v>18</v>
      </c>
      <c r="L718" s="9" t="s">
        <v>35</v>
      </c>
      <c r="M718" s="9">
        <v>40</v>
      </c>
      <c r="N718" s="9" t="str" cm="1">
        <f t="array" ref="N718">_xlfn.IFS(
M718&lt;=12,"Children",
M718&lt;=19,"Teens",
M718&lt;=29,"Young Adults",
M718&lt;=39,"Adults",
M718&lt;=59,"Middle-Aged",
M718&gt;=60,"Seniors"
)</f>
        <v>Middle-Aged</v>
      </c>
      <c r="O718" s="9" t="s">
        <v>20</v>
      </c>
      <c r="P718" s="9">
        <f t="shared" si="22"/>
        <v>0</v>
      </c>
      <c r="Q718" s="9">
        <v>1</v>
      </c>
      <c r="R718" s="10">
        <f t="shared" si="23"/>
        <v>0</v>
      </c>
    </row>
    <row r="719" spans="1:18" x14ac:dyDescent="0.3">
      <c r="A719" s="9">
        <v>19661</v>
      </c>
      <c r="B719" s="9" t="s">
        <v>40</v>
      </c>
      <c r="C719" s="9" t="s">
        <v>39</v>
      </c>
      <c r="D719" s="10">
        <v>90000</v>
      </c>
      <c r="E719" s="9" t="str" cm="1">
        <f t="array" ref="E719">_xlfn.IFS(D719&lt;= 60000, "Low Income",
D719&lt;=120000,"Medium Income",
D719&gt; 120000,"High Income"
)</f>
        <v>Medium Income</v>
      </c>
      <c r="F719" s="9">
        <v>4</v>
      </c>
      <c r="G719" s="9" t="s">
        <v>15</v>
      </c>
      <c r="H719" s="9" t="s">
        <v>31</v>
      </c>
      <c r="I719" s="9" t="s">
        <v>17</v>
      </c>
      <c r="J719" s="9">
        <v>1</v>
      </c>
      <c r="K719" s="9" t="s">
        <v>29</v>
      </c>
      <c r="L719" s="9" t="s">
        <v>35</v>
      </c>
      <c r="M719" s="9">
        <v>38</v>
      </c>
      <c r="N719" s="9" t="str" cm="1">
        <f t="array" ref="N719">_xlfn.IFS(
M719&lt;=12,"Children",
M719&lt;=19,"Teens",
M719&lt;=29,"Young Adults",
M719&lt;=39,"Adults",
M719&lt;=59,"Middle-Aged",
M719&gt;=60,"Seniors"
)</f>
        <v>Adults</v>
      </c>
      <c r="O719" s="9" t="s">
        <v>17</v>
      </c>
      <c r="P719" s="9">
        <f t="shared" si="22"/>
        <v>1</v>
      </c>
      <c r="Q719" s="9">
        <v>1</v>
      </c>
      <c r="R719" s="10">
        <f t="shared" si="23"/>
        <v>90000</v>
      </c>
    </row>
    <row r="720" spans="1:18" x14ac:dyDescent="0.3">
      <c r="A720" s="9">
        <v>26327</v>
      </c>
      <c r="B720" s="9" t="s">
        <v>37</v>
      </c>
      <c r="C720" s="9" t="s">
        <v>39</v>
      </c>
      <c r="D720" s="10">
        <v>70000</v>
      </c>
      <c r="E720" s="9" t="str" cm="1">
        <f t="array" ref="E720">_xlfn.IFS(D720&lt;= 60000, "Low Income",
D720&lt;=120000,"Medium Income",
D720&gt; 120000,"High Income"
)</f>
        <v>Medium Income</v>
      </c>
      <c r="F720" s="9">
        <v>4</v>
      </c>
      <c r="G720" s="9" t="s">
        <v>34</v>
      </c>
      <c r="H720" s="9" t="s">
        <v>23</v>
      </c>
      <c r="I720" s="9" t="s">
        <v>17</v>
      </c>
      <c r="J720" s="9">
        <v>0</v>
      </c>
      <c r="K720" s="9" t="s">
        <v>24</v>
      </c>
      <c r="L720" s="9" t="s">
        <v>35</v>
      </c>
      <c r="M720" s="9">
        <v>36</v>
      </c>
      <c r="N720" s="9" t="str" cm="1">
        <f t="array" ref="N720">_xlfn.IFS(
M720&lt;=12,"Children",
M720&lt;=19,"Teens",
M720&lt;=29,"Young Adults",
M720&lt;=39,"Adults",
M720&lt;=59,"Middle-Aged",
M720&gt;=60,"Seniors"
)</f>
        <v>Adults</v>
      </c>
      <c r="O720" s="9" t="s">
        <v>17</v>
      </c>
      <c r="P720" s="9">
        <f t="shared" si="22"/>
        <v>1</v>
      </c>
      <c r="Q720" s="9">
        <v>1</v>
      </c>
      <c r="R720" s="10">
        <f t="shared" si="23"/>
        <v>70000</v>
      </c>
    </row>
    <row r="721" spans="1:18" x14ac:dyDescent="0.3">
      <c r="A721" s="9">
        <v>26341</v>
      </c>
      <c r="B721" s="9" t="s">
        <v>37</v>
      </c>
      <c r="C721" s="9" t="s">
        <v>38</v>
      </c>
      <c r="D721" s="10">
        <v>70000</v>
      </c>
      <c r="E721" s="9" t="str" cm="1">
        <f t="array" ref="E721">_xlfn.IFS(D721&lt;= 60000, "Low Income",
D721&lt;=120000,"Medium Income",
D721&gt; 120000,"High Income"
)</f>
        <v>Medium Income</v>
      </c>
      <c r="F721" s="9">
        <v>5</v>
      </c>
      <c r="G721" s="9" t="s">
        <v>34</v>
      </c>
      <c r="H721" s="9" t="s">
        <v>23</v>
      </c>
      <c r="I721" s="9" t="s">
        <v>17</v>
      </c>
      <c r="J721" s="9">
        <v>2</v>
      </c>
      <c r="K721" s="9" t="s">
        <v>18</v>
      </c>
      <c r="L721" s="9" t="s">
        <v>35</v>
      </c>
      <c r="M721" s="9">
        <v>37</v>
      </c>
      <c r="N721" s="9" t="str" cm="1">
        <f t="array" ref="N721">_xlfn.IFS(
M721&lt;=12,"Children",
M721&lt;=19,"Teens",
M721&lt;=29,"Young Adults",
M721&lt;=39,"Adults",
M721&lt;=59,"Middle-Aged",
M721&gt;=60,"Seniors"
)</f>
        <v>Adults</v>
      </c>
      <c r="O721" s="9" t="s">
        <v>20</v>
      </c>
      <c r="P721" s="9">
        <f t="shared" si="22"/>
        <v>0</v>
      </c>
      <c r="Q721" s="9">
        <v>1</v>
      </c>
      <c r="R721" s="10">
        <f t="shared" si="23"/>
        <v>0</v>
      </c>
    </row>
    <row r="722" spans="1:18" x14ac:dyDescent="0.3">
      <c r="A722" s="9">
        <v>24958</v>
      </c>
      <c r="B722" s="9" t="s">
        <v>40</v>
      </c>
      <c r="C722" s="9" t="s">
        <v>38</v>
      </c>
      <c r="D722" s="10">
        <v>40000</v>
      </c>
      <c r="E722" s="9" t="str" cm="1">
        <f t="array" ref="E722">_xlfn.IFS(D722&lt;= 60000, "Low Income",
D722&lt;=120000,"Medium Income",
D722&gt; 120000,"High Income"
)</f>
        <v>Low Income</v>
      </c>
      <c r="F722" s="9">
        <v>5</v>
      </c>
      <c r="G722" s="9" t="s">
        <v>30</v>
      </c>
      <c r="H722" s="9" t="s">
        <v>23</v>
      </c>
      <c r="I722" s="9" t="s">
        <v>20</v>
      </c>
      <c r="J722" s="9">
        <v>3</v>
      </c>
      <c r="K722" s="9" t="s">
        <v>24</v>
      </c>
      <c r="L722" s="9" t="s">
        <v>35</v>
      </c>
      <c r="M722" s="9">
        <v>60</v>
      </c>
      <c r="N722" s="9" t="str" cm="1">
        <f t="array" ref="N722">_xlfn.IFS(
M722&lt;=12,"Children",
M722&lt;=19,"Teens",
M722&lt;=29,"Young Adults",
M722&lt;=39,"Adults",
M722&lt;=59,"Middle-Aged",
M722&gt;=60,"Seniors"
)</f>
        <v>Seniors</v>
      </c>
      <c r="O722" s="9" t="s">
        <v>17</v>
      </c>
      <c r="P722" s="9">
        <f t="shared" si="22"/>
        <v>1</v>
      </c>
      <c r="Q722" s="9">
        <v>1</v>
      </c>
      <c r="R722" s="10">
        <f t="shared" si="23"/>
        <v>40000</v>
      </c>
    </row>
    <row r="723" spans="1:18" x14ac:dyDescent="0.3">
      <c r="A723" s="9">
        <v>13287</v>
      </c>
      <c r="B723" s="9" t="s">
        <v>40</v>
      </c>
      <c r="C723" s="9" t="s">
        <v>39</v>
      </c>
      <c r="D723" s="10">
        <v>110000</v>
      </c>
      <c r="E723" s="9" t="str" cm="1">
        <f t="array" ref="E723">_xlfn.IFS(D723&lt;= 60000, "Low Income",
D723&lt;=120000,"Medium Income",
D723&gt; 120000,"High Income"
)</f>
        <v>Medium Income</v>
      </c>
      <c r="F723" s="9">
        <v>4</v>
      </c>
      <c r="G723" s="9" t="s">
        <v>15</v>
      </c>
      <c r="H723" s="9" t="s">
        <v>31</v>
      </c>
      <c r="I723" s="9" t="s">
        <v>17</v>
      </c>
      <c r="J723" s="9">
        <v>4</v>
      </c>
      <c r="K723" s="9" t="s">
        <v>26</v>
      </c>
      <c r="L723" s="9" t="s">
        <v>35</v>
      </c>
      <c r="M723" s="9">
        <v>42</v>
      </c>
      <c r="N723" s="9" t="str" cm="1">
        <f t="array" ref="N723">_xlfn.IFS(
M723&lt;=12,"Children",
M723&lt;=19,"Teens",
M723&lt;=29,"Young Adults",
M723&lt;=39,"Adults",
M723&lt;=59,"Middle-Aged",
M723&gt;=60,"Seniors"
)</f>
        <v>Middle-Aged</v>
      </c>
      <c r="O723" s="9" t="s">
        <v>17</v>
      </c>
      <c r="P723" s="9">
        <f t="shared" si="22"/>
        <v>1</v>
      </c>
      <c r="Q723" s="9">
        <v>1</v>
      </c>
      <c r="R723" s="10">
        <f t="shared" si="23"/>
        <v>110000</v>
      </c>
    </row>
    <row r="724" spans="1:18" x14ac:dyDescent="0.3">
      <c r="A724" s="9">
        <v>14493</v>
      </c>
      <c r="B724" s="9" t="s">
        <v>40</v>
      </c>
      <c r="C724" s="9" t="s">
        <v>38</v>
      </c>
      <c r="D724" s="10">
        <v>70000</v>
      </c>
      <c r="E724" s="9" t="str" cm="1">
        <f t="array" ref="E724">_xlfn.IFS(D724&lt;= 60000, "Low Income",
D724&lt;=120000,"Medium Income",
D724&gt; 120000,"High Income"
)</f>
        <v>Medium Income</v>
      </c>
      <c r="F724" s="9">
        <v>3</v>
      </c>
      <c r="G724" s="9" t="s">
        <v>34</v>
      </c>
      <c r="H724" s="9" t="s">
        <v>31</v>
      </c>
      <c r="I724" s="9" t="s">
        <v>20</v>
      </c>
      <c r="J724" s="9">
        <v>2</v>
      </c>
      <c r="K724" s="9" t="s">
        <v>29</v>
      </c>
      <c r="L724" s="9" t="s">
        <v>35</v>
      </c>
      <c r="M724" s="9">
        <v>53</v>
      </c>
      <c r="N724" s="9" t="str" cm="1">
        <f t="array" ref="N724">_xlfn.IFS(
M724&lt;=12,"Children",
M724&lt;=19,"Teens",
M724&lt;=29,"Young Adults",
M724&lt;=39,"Adults",
M724&lt;=59,"Middle-Aged",
M724&gt;=60,"Seniors"
)</f>
        <v>Middle-Aged</v>
      </c>
      <c r="O724" s="9" t="s">
        <v>20</v>
      </c>
      <c r="P724" s="9">
        <f t="shared" si="22"/>
        <v>0</v>
      </c>
      <c r="Q724" s="9">
        <v>1</v>
      </c>
      <c r="R724" s="10">
        <f t="shared" si="23"/>
        <v>0</v>
      </c>
    </row>
    <row r="725" spans="1:18" x14ac:dyDescent="0.3">
      <c r="A725" s="9">
        <v>26678</v>
      </c>
      <c r="B725" s="9" t="s">
        <v>40</v>
      </c>
      <c r="C725" s="9" t="s">
        <v>38</v>
      </c>
      <c r="D725" s="10">
        <v>80000</v>
      </c>
      <c r="E725" s="9" t="str" cm="1">
        <f t="array" ref="E725">_xlfn.IFS(D725&lt;= 60000, "Low Income",
D725&lt;=120000,"Medium Income",
D725&gt; 120000,"High Income"
)</f>
        <v>Medium Income</v>
      </c>
      <c r="F725" s="9">
        <v>2</v>
      </c>
      <c r="G725" s="9" t="s">
        <v>32</v>
      </c>
      <c r="H725" s="9" t="s">
        <v>16</v>
      </c>
      <c r="I725" s="9" t="s">
        <v>17</v>
      </c>
      <c r="J725" s="9">
        <v>2</v>
      </c>
      <c r="K725" s="9" t="s">
        <v>26</v>
      </c>
      <c r="L725" s="9" t="s">
        <v>35</v>
      </c>
      <c r="M725" s="9">
        <v>49</v>
      </c>
      <c r="N725" s="9" t="str" cm="1">
        <f t="array" ref="N725">_xlfn.IFS(
M725&lt;=12,"Children",
M725&lt;=19,"Teens",
M725&lt;=29,"Young Adults",
M725&lt;=39,"Adults",
M725&lt;=59,"Middle-Aged",
M725&gt;=60,"Seniors"
)</f>
        <v>Middle-Aged</v>
      </c>
      <c r="O725" s="9" t="s">
        <v>20</v>
      </c>
      <c r="P725" s="9">
        <f t="shared" si="22"/>
        <v>0</v>
      </c>
      <c r="Q725" s="9">
        <v>1</v>
      </c>
      <c r="R725" s="10">
        <f t="shared" si="23"/>
        <v>0</v>
      </c>
    </row>
    <row r="726" spans="1:18" x14ac:dyDescent="0.3">
      <c r="A726" s="9">
        <v>23275</v>
      </c>
      <c r="B726" s="9" t="s">
        <v>37</v>
      </c>
      <c r="C726" s="9" t="s">
        <v>39</v>
      </c>
      <c r="D726" s="10">
        <v>30000</v>
      </c>
      <c r="E726" s="9" t="str" cm="1">
        <f t="array" ref="E726">_xlfn.IFS(D726&lt;= 60000, "Low Income",
D726&lt;=120000,"Medium Income",
D726&gt; 120000,"High Income"
)</f>
        <v>Low Income</v>
      </c>
      <c r="F726" s="9">
        <v>2</v>
      </c>
      <c r="G726" s="9" t="s">
        <v>30</v>
      </c>
      <c r="H726" s="9" t="s">
        <v>16</v>
      </c>
      <c r="I726" s="9" t="s">
        <v>17</v>
      </c>
      <c r="J726" s="9">
        <v>2</v>
      </c>
      <c r="K726" s="9" t="s">
        <v>29</v>
      </c>
      <c r="L726" s="9" t="s">
        <v>35</v>
      </c>
      <c r="M726" s="9">
        <v>49</v>
      </c>
      <c r="N726" s="9" t="str" cm="1">
        <f t="array" ref="N726">_xlfn.IFS(
M726&lt;=12,"Children",
M726&lt;=19,"Teens",
M726&lt;=29,"Young Adults",
M726&lt;=39,"Adults",
M726&lt;=59,"Middle-Aged",
M726&gt;=60,"Seniors"
)</f>
        <v>Middle-Aged</v>
      </c>
      <c r="O726" s="9" t="s">
        <v>20</v>
      </c>
      <c r="P726" s="9">
        <f t="shared" si="22"/>
        <v>0</v>
      </c>
      <c r="Q726" s="9">
        <v>1</v>
      </c>
      <c r="R726" s="10">
        <f t="shared" si="23"/>
        <v>0</v>
      </c>
    </row>
    <row r="727" spans="1:18" x14ac:dyDescent="0.3">
      <c r="A727" s="9">
        <v>11270</v>
      </c>
      <c r="B727" s="9" t="s">
        <v>37</v>
      </c>
      <c r="C727" s="9" t="s">
        <v>39</v>
      </c>
      <c r="D727" s="10">
        <v>130000</v>
      </c>
      <c r="E727" s="9" t="str" cm="1">
        <f t="array" ref="E727">_xlfn.IFS(D727&lt;= 60000, "Low Income",
D727&lt;=120000,"Medium Income",
D727&gt; 120000,"High Income"
)</f>
        <v>High Income</v>
      </c>
      <c r="F727" s="9">
        <v>2</v>
      </c>
      <c r="G727" s="9" t="s">
        <v>34</v>
      </c>
      <c r="H727" s="9" t="s">
        <v>31</v>
      </c>
      <c r="I727" s="9" t="s">
        <v>17</v>
      </c>
      <c r="J727" s="9">
        <v>3</v>
      </c>
      <c r="K727" s="9" t="s">
        <v>18</v>
      </c>
      <c r="L727" s="9" t="s">
        <v>35</v>
      </c>
      <c r="M727" s="9">
        <v>42</v>
      </c>
      <c r="N727" s="9" t="str" cm="1">
        <f t="array" ref="N727">_xlfn.IFS(
M727&lt;=12,"Children",
M727&lt;=19,"Teens",
M727&lt;=29,"Young Adults",
M727&lt;=39,"Adults",
M727&lt;=59,"Middle-Aged",
M727&gt;=60,"Seniors"
)</f>
        <v>Middle-Aged</v>
      </c>
      <c r="O727" s="9" t="s">
        <v>17</v>
      </c>
      <c r="P727" s="9">
        <f t="shared" si="22"/>
        <v>1</v>
      </c>
      <c r="Q727" s="9">
        <v>1</v>
      </c>
      <c r="R727" s="10">
        <f t="shared" si="23"/>
        <v>130000</v>
      </c>
    </row>
    <row r="728" spans="1:18" x14ac:dyDescent="0.3">
      <c r="A728" s="9">
        <v>20084</v>
      </c>
      <c r="B728" s="9" t="s">
        <v>37</v>
      </c>
      <c r="C728" s="9" t="s">
        <v>39</v>
      </c>
      <c r="D728" s="10">
        <v>20000</v>
      </c>
      <c r="E728" s="9" t="str" cm="1">
        <f t="array" ref="E728">_xlfn.IFS(D728&lt;= 60000, "Low Income",
D728&lt;=120000,"Medium Income",
D728&gt; 120000,"High Income"
)</f>
        <v>Low Income</v>
      </c>
      <c r="F728" s="9">
        <v>2</v>
      </c>
      <c r="G728" s="9" t="s">
        <v>30</v>
      </c>
      <c r="H728" s="9" t="s">
        <v>28</v>
      </c>
      <c r="I728" s="9" t="s">
        <v>20</v>
      </c>
      <c r="J728" s="9">
        <v>2</v>
      </c>
      <c r="K728" s="9" t="s">
        <v>18</v>
      </c>
      <c r="L728" s="9" t="s">
        <v>35</v>
      </c>
      <c r="M728" s="9">
        <v>53</v>
      </c>
      <c r="N728" s="9" t="str" cm="1">
        <f t="array" ref="N728">_xlfn.IFS(
M728&lt;=12,"Children",
M728&lt;=19,"Teens",
M728&lt;=29,"Young Adults",
M728&lt;=39,"Adults",
M728&lt;=59,"Middle-Aged",
M728&gt;=60,"Seniors"
)</f>
        <v>Middle-Aged</v>
      </c>
      <c r="O728" s="9" t="s">
        <v>20</v>
      </c>
      <c r="P728" s="9">
        <f t="shared" si="22"/>
        <v>0</v>
      </c>
      <c r="Q728" s="9">
        <v>1</v>
      </c>
      <c r="R728" s="10">
        <f t="shared" si="23"/>
        <v>0</v>
      </c>
    </row>
    <row r="729" spans="1:18" x14ac:dyDescent="0.3">
      <c r="A729" s="9">
        <v>16144</v>
      </c>
      <c r="B729" s="9" t="s">
        <v>37</v>
      </c>
      <c r="C729" s="9" t="s">
        <v>39</v>
      </c>
      <c r="D729" s="10">
        <v>70000</v>
      </c>
      <c r="E729" s="9" t="str" cm="1">
        <f t="array" ref="E729">_xlfn.IFS(D729&lt;= 60000, "Low Income",
D729&lt;=120000,"Medium Income",
D729&gt; 120000,"High Income"
)</f>
        <v>Medium Income</v>
      </c>
      <c r="F729" s="9">
        <v>1</v>
      </c>
      <c r="G729" s="9" t="s">
        <v>34</v>
      </c>
      <c r="H729" s="9" t="s">
        <v>23</v>
      </c>
      <c r="I729" s="9" t="s">
        <v>17</v>
      </c>
      <c r="J729" s="9">
        <v>1</v>
      </c>
      <c r="K729" s="9" t="s">
        <v>18</v>
      </c>
      <c r="L729" s="9" t="s">
        <v>35</v>
      </c>
      <c r="M729" s="9">
        <v>46</v>
      </c>
      <c r="N729" s="9" t="str" cm="1">
        <f t="array" ref="N729">_xlfn.IFS(
M729&lt;=12,"Children",
M729&lt;=19,"Teens",
M729&lt;=29,"Young Adults",
M729&lt;=39,"Adults",
M729&lt;=59,"Middle-Aged",
M729&gt;=60,"Seniors"
)</f>
        <v>Middle-Aged</v>
      </c>
      <c r="O729" s="9" t="s">
        <v>17</v>
      </c>
      <c r="P729" s="9">
        <f t="shared" si="22"/>
        <v>1</v>
      </c>
      <c r="Q729" s="9">
        <v>1</v>
      </c>
      <c r="R729" s="10">
        <f t="shared" si="23"/>
        <v>70000</v>
      </c>
    </row>
    <row r="730" spans="1:18" x14ac:dyDescent="0.3">
      <c r="A730" s="9">
        <v>27731</v>
      </c>
      <c r="B730" s="9" t="s">
        <v>37</v>
      </c>
      <c r="C730" s="9" t="s">
        <v>39</v>
      </c>
      <c r="D730" s="10">
        <v>40000</v>
      </c>
      <c r="E730" s="9" t="str" cm="1">
        <f t="array" ref="E730">_xlfn.IFS(D730&lt;= 60000, "Low Income",
D730&lt;=120000,"Medium Income",
D730&gt; 120000,"High Income"
)</f>
        <v>Low Income</v>
      </c>
      <c r="F730" s="9">
        <v>0</v>
      </c>
      <c r="G730" s="9" t="s">
        <v>30</v>
      </c>
      <c r="H730" s="9" t="s">
        <v>16</v>
      </c>
      <c r="I730" s="9" t="s">
        <v>17</v>
      </c>
      <c r="J730" s="9">
        <v>2</v>
      </c>
      <c r="K730" s="9" t="s">
        <v>26</v>
      </c>
      <c r="L730" s="9" t="s">
        <v>35</v>
      </c>
      <c r="M730" s="9">
        <v>27</v>
      </c>
      <c r="N730" s="9" t="str" cm="1">
        <f t="array" ref="N730">_xlfn.IFS(
M730&lt;=12,"Children",
M730&lt;=19,"Teens",
M730&lt;=29,"Young Adults",
M730&lt;=39,"Adults",
M730&lt;=59,"Middle-Aged",
M730&gt;=60,"Seniors"
)</f>
        <v>Young Adults</v>
      </c>
      <c r="O730" s="9" t="s">
        <v>20</v>
      </c>
      <c r="P730" s="9">
        <f t="shared" si="22"/>
        <v>0</v>
      </c>
      <c r="Q730" s="9">
        <v>1</v>
      </c>
      <c r="R730" s="10">
        <f t="shared" si="23"/>
        <v>0</v>
      </c>
    </row>
    <row r="731" spans="1:18" x14ac:dyDescent="0.3">
      <c r="A731" s="9">
        <v>11886</v>
      </c>
      <c r="B731" s="9" t="s">
        <v>37</v>
      </c>
      <c r="C731" s="9" t="s">
        <v>38</v>
      </c>
      <c r="D731" s="10">
        <v>60000</v>
      </c>
      <c r="E731" s="9" t="str" cm="1">
        <f t="array" ref="E731">_xlfn.IFS(D731&lt;= 60000, "Low Income",
D731&lt;=120000,"Medium Income",
D731&gt; 120000,"High Income"
)</f>
        <v>Low Income</v>
      </c>
      <c r="F731" s="9">
        <v>3</v>
      </c>
      <c r="G731" s="9" t="s">
        <v>15</v>
      </c>
      <c r="H731" s="9" t="s">
        <v>23</v>
      </c>
      <c r="I731" s="9" t="s">
        <v>17</v>
      </c>
      <c r="J731" s="9">
        <v>1</v>
      </c>
      <c r="K731" s="9" t="s">
        <v>18</v>
      </c>
      <c r="L731" s="9" t="s">
        <v>35</v>
      </c>
      <c r="M731" s="9">
        <v>48</v>
      </c>
      <c r="N731" s="9" t="str" cm="1">
        <f t="array" ref="N731">_xlfn.IFS(
M731&lt;=12,"Children",
M731&lt;=19,"Teens",
M731&lt;=29,"Young Adults",
M731&lt;=39,"Adults",
M731&lt;=59,"Middle-Aged",
M731&gt;=60,"Seniors"
)</f>
        <v>Middle-Aged</v>
      </c>
      <c r="O731" s="9" t="s">
        <v>17</v>
      </c>
      <c r="P731" s="9">
        <f t="shared" si="22"/>
        <v>1</v>
      </c>
      <c r="Q731" s="9">
        <v>1</v>
      </c>
      <c r="R731" s="10">
        <f t="shared" si="23"/>
        <v>60000</v>
      </c>
    </row>
    <row r="732" spans="1:18" x14ac:dyDescent="0.3">
      <c r="A732" s="9">
        <v>24324</v>
      </c>
      <c r="B732" s="9" t="s">
        <v>40</v>
      </c>
      <c r="C732" s="9" t="s">
        <v>38</v>
      </c>
      <c r="D732" s="10">
        <v>60000</v>
      </c>
      <c r="E732" s="9" t="str" cm="1">
        <f t="array" ref="E732">_xlfn.IFS(D732&lt;= 60000, "Low Income",
D732&lt;=120000,"Medium Income",
D732&gt; 120000,"High Income"
)</f>
        <v>Low Income</v>
      </c>
      <c r="F732" s="9">
        <v>4</v>
      </c>
      <c r="G732" s="9" t="s">
        <v>15</v>
      </c>
      <c r="H732" s="9" t="s">
        <v>16</v>
      </c>
      <c r="I732" s="9" t="s">
        <v>17</v>
      </c>
      <c r="J732" s="9">
        <v>2</v>
      </c>
      <c r="K732" s="9" t="s">
        <v>24</v>
      </c>
      <c r="L732" s="9" t="s">
        <v>35</v>
      </c>
      <c r="M732" s="9">
        <v>41</v>
      </c>
      <c r="N732" s="9" t="str" cm="1">
        <f t="array" ref="N732">_xlfn.IFS(
M732&lt;=12,"Children",
M732&lt;=19,"Teens",
M732&lt;=29,"Young Adults",
M732&lt;=39,"Adults",
M732&lt;=59,"Middle-Aged",
M732&gt;=60,"Seniors"
)</f>
        <v>Middle-Aged</v>
      </c>
      <c r="O732" s="9" t="s">
        <v>17</v>
      </c>
      <c r="P732" s="9">
        <f t="shared" si="22"/>
        <v>1</v>
      </c>
      <c r="Q732" s="9">
        <v>1</v>
      </c>
      <c r="R732" s="10">
        <f t="shared" si="23"/>
        <v>60000</v>
      </c>
    </row>
    <row r="733" spans="1:18" x14ac:dyDescent="0.3">
      <c r="A733" s="9">
        <v>22220</v>
      </c>
      <c r="B733" s="9" t="s">
        <v>37</v>
      </c>
      <c r="C733" s="9" t="s">
        <v>39</v>
      </c>
      <c r="D733" s="10">
        <v>60000</v>
      </c>
      <c r="E733" s="9" t="str" cm="1">
        <f t="array" ref="E733">_xlfn.IFS(D733&lt;= 60000, "Low Income",
D733&lt;=120000,"Medium Income",
D733&gt; 120000,"High Income"
)</f>
        <v>Low Income</v>
      </c>
      <c r="F733" s="9">
        <v>2</v>
      </c>
      <c r="G733" s="9" t="s">
        <v>30</v>
      </c>
      <c r="H733" s="9" t="s">
        <v>23</v>
      </c>
      <c r="I733" s="9" t="s">
        <v>20</v>
      </c>
      <c r="J733" s="9">
        <v>2</v>
      </c>
      <c r="K733" s="9" t="s">
        <v>29</v>
      </c>
      <c r="L733" s="9" t="s">
        <v>35</v>
      </c>
      <c r="M733" s="9">
        <v>49</v>
      </c>
      <c r="N733" s="9" t="str" cm="1">
        <f t="array" ref="N733">_xlfn.IFS(
M733&lt;=12,"Children",
M733&lt;=19,"Teens",
M733&lt;=29,"Young Adults",
M733&lt;=39,"Adults",
M733&lt;=59,"Middle-Aged",
M733&gt;=60,"Seniors"
)</f>
        <v>Middle-Aged</v>
      </c>
      <c r="O733" s="9" t="s">
        <v>17</v>
      </c>
      <c r="P733" s="9">
        <f t="shared" si="22"/>
        <v>1</v>
      </c>
      <c r="Q733" s="9">
        <v>1</v>
      </c>
      <c r="R733" s="10">
        <f t="shared" si="23"/>
        <v>60000</v>
      </c>
    </row>
    <row r="734" spans="1:18" x14ac:dyDescent="0.3">
      <c r="A734" s="9">
        <v>26625</v>
      </c>
      <c r="B734" s="9" t="s">
        <v>40</v>
      </c>
      <c r="C734" s="9" t="s">
        <v>38</v>
      </c>
      <c r="D734" s="10">
        <v>60000</v>
      </c>
      <c r="E734" s="9" t="str" cm="1">
        <f t="array" ref="E734">_xlfn.IFS(D734&lt;= 60000, "Low Income",
D734&lt;=120000,"Medium Income",
D734&gt; 120000,"High Income"
)</f>
        <v>Low Income</v>
      </c>
      <c r="F734" s="9">
        <v>0</v>
      </c>
      <c r="G734" s="9" t="s">
        <v>34</v>
      </c>
      <c r="H734" s="9" t="s">
        <v>23</v>
      </c>
      <c r="I734" s="9" t="s">
        <v>17</v>
      </c>
      <c r="J734" s="9">
        <v>1</v>
      </c>
      <c r="K734" s="9" t="s">
        <v>24</v>
      </c>
      <c r="L734" s="9" t="s">
        <v>35</v>
      </c>
      <c r="M734" s="9">
        <v>38</v>
      </c>
      <c r="N734" s="9" t="str" cm="1">
        <f t="array" ref="N734">_xlfn.IFS(
M734&lt;=12,"Children",
M734&lt;=19,"Teens",
M734&lt;=29,"Young Adults",
M734&lt;=39,"Adults",
M734&lt;=59,"Middle-Aged",
M734&gt;=60,"Seniors"
)</f>
        <v>Adults</v>
      </c>
      <c r="O734" s="9" t="s">
        <v>17</v>
      </c>
      <c r="P734" s="9">
        <f t="shared" si="22"/>
        <v>1</v>
      </c>
      <c r="Q734" s="9">
        <v>1</v>
      </c>
      <c r="R734" s="10">
        <f t="shared" si="23"/>
        <v>60000</v>
      </c>
    </row>
    <row r="735" spans="1:18" x14ac:dyDescent="0.3">
      <c r="A735" s="9">
        <v>23027</v>
      </c>
      <c r="B735" s="9" t="s">
        <v>40</v>
      </c>
      <c r="C735" s="9" t="s">
        <v>39</v>
      </c>
      <c r="D735" s="10">
        <v>130000</v>
      </c>
      <c r="E735" s="9" t="str" cm="1">
        <f t="array" ref="E735">_xlfn.IFS(D735&lt;= 60000, "Low Income",
D735&lt;=120000,"Medium Income",
D735&gt; 120000,"High Income"
)</f>
        <v>High Income</v>
      </c>
      <c r="F735" s="9">
        <v>1</v>
      </c>
      <c r="G735" s="9" t="s">
        <v>15</v>
      </c>
      <c r="H735" s="9" t="s">
        <v>31</v>
      </c>
      <c r="I735" s="9" t="s">
        <v>20</v>
      </c>
      <c r="J735" s="9">
        <v>4</v>
      </c>
      <c r="K735" s="9" t="s">
        <v>18</v>
      </c>
      <c r="L735" s="9" t="s">
        <v>35</v>
      </c>
      <c r="M735" s="9">
        <v>44</v>
      </c>
      <c r="N735" s="9" t="str" cm="1">
        <f t="array" ref="N735">_xlfn.IFS(
M735&lt;=12,"Children",
M735&lt;=19,"Teens",
M735&lt;=29,"Young Adults",
M735&lt;=39,"Adults",
M735&lt;=59,"Middle-Aged",
M735&gt;=60,"Seniors"
)</f>
        <v>Middle-Aged</v>
      </c>
      <c r="O735" s="9" t="s">
        <v>20</v>
      </c>
      <c r="P735" s="9">
        <f t="shared" si="22"/>
        <v>0</v>
      </c>
      <c r="Q735" s="9">
        <v>1</v>
      </c>
      <c r="R735" s="10">
        <f t="shared" si="23"/>
        <v>0</v>
      </c>
    </row>
    <row r="736" spans="1:18" x14ac:dyDescent="0.3">
      <c r="A736" s="9">
        <v>16867</v>
      </c>
      <c r="B736" s="9" t="s">
        <v>40</v>
      </c>
      <c r="C736" s="9" t="s">
        <v>38</v>
      </c>
      <c r="D736" s="10">
        <v>130000</v>
      </c>
      <c r="E736" s="9" t="str" cm="1">
        <f t="array" ref="E736">_xlfn.IFS(D736&lt;= 60000, "Low Income",
D736&lt;=120000,"Medium Income",
D736&gt; 120000,"High Income"
)</f>
        <v>High Income</v>
      </c>
      <c r="F736" s="9">
        <v>1</v>
      </c>
      <c r="G736" s="9" t="s">
        <v>15</v>
      </c>
      <c r="H736" s="9" t="s">
        <v>31</v>
      </c>
      <c r="I736" s="9" t="s">
        <v>20</v>
      </c>
      <c r="J736" s="9">
        <v>3</v>
      </c>
      <c r="K736" s="9" t="s">
        <v>18</v>
      </c>
      <c r="L736" s="9" t="s">
        <v>35</v>
      </c>
      <c r="M736" s="9">
        <v>45</v>
      </c>
      <c r="N736" s="9" t="str" cm="1">
        <f t="array" ref="N736">_xlfn.IFS(
M736&lt;=12,"Children",
M736&lt;=19,"Teens",
M736&lt;=29,"Young Adults",
M736&lt;=39,"Adults",
M736&lt;=59,"Middle-Aged",
M736&gt;=60,"Seniors"
)</f>
        <v>Middle-Aged</v>
      </c>
      <c r="O736" s="9" t="s">
        <v>17</v>
      </c>
      <c r="P736" s="9">
        <f t="shared" si="22"/>
        <v>1</v>
      </c>
      <c r="Q736" s="9">
        <v>1</v>
      </c>
      <c r="R736" s="10">
        <f t="shared" si="23"/>
        <v>130000</v>
      </c>
    </row>
    <row r="737" spans="1:18" x14ac:dyDescent="0.3">
      <c r="A737" s="9">
        <v>14514</v>
      </c>
      <c r="B737" s="9" t="s">
        <v>40</v>
      </c>
      <c r="C737" s="9" t="s">
        <v>38</v>
      </c>
      <c r="D737" s="10">
        <v>30000</v>
      </c>
      <c r="E737" s="9" t="str" cm="1">
        <f t="array" ref="E737">_xlfn.IFS(D737&lt;= 60000, "Low Income",
D737&lt;=120000,"Medium Income",
D737&gt; 120000,"High Income"
)</f>
        <v>Low Income</v>
      </c>
      <c r="F737" s="9">
        <v>0</v>
      </c>
      <c r="G737" s="9" t="s">
        <v>21</v>
      </c>
      <c r="H737" s="9" t="s">
        <v>16</v>
      </c>
      <c r="I737" s="9" t="s">
        <v>17</v>
      </c>
      <c r="J737" s="9">
        <v>1</v>
      </c>
      <c r="K737" s="9" t="s">
        <v>26</v>
      </c>
      <c r="L737" s="9" t="s">
        <v>35</v>
      </c>
      <c r="M737" s="9">
        <v>26</v>
      </c>
      <c r="N737" s="9" t="str" cm="1">
        <f t="array" ref="N737">_xlfn.IFS(
M737&lt;=12,"Children",
M737&lt;=19,"Teens",
M737&lt;=29,"Young Adults",
M737&lt;=39,"Adults",
M737&lt;=59,"Middle-Aged",
M737&gt;=60,"Seniors"
)</f>
        <v>Young Adults</v>
      </c>
      <c r="O737" s="9" t="s">
        <v>20</v>
      </c>
      <c r="P737" s="9">
        <f t="shared" si="22"/>
        <v>0</v>
      </c>
      <c r="Q737" s="9">
        <v>1</v>
      </c>
      <c r="R737" s="10">
        <f t="shared" si="23"/>
        <v>0</v>
      </c>
    </row>
    <row r="738" spans="1:18" x14ac:dyDescent="0.3">
      <c r="A738" s="9">
        <v>19634</v>
      </c>
      <c r="B738" s="9" t="s">
        <v>37</v>
      </c>
      <c r="C738" s="9" t="s">
        <v>39</v>
      </c>
      <c r="D738" s="10">
        <v>40000</v>
      </c>
      <c r="E738" s="9" t="str" cm="1">
        <f t="array" ref="E738">_xlfn.IFS(D738&lt;= 60000, "Low Income",
D738&lt;=120000,"Medium Income",
D738&gt; 120000,"High Income"
)</f>
        <v>Low Income</v>
      </c>
      <c r="F738" s="9">
        <v>0</v>
      </c>
      <c r="G738" s="9" t="s">
        <v>30</v>
      </c>
      <c r="H738" s="9" t="s">
        <v>16</v>
      </c>
      <c r="I738" s="9" t="s">
        <v>17</v>
      </c>
      <c r="J738" s="9">
        <v>1</v>
      </c>
      <c r="K738" s="9" t="s">
        <v>26</v>
      </c>
      <c r="L738" s="9" t="s">
        <v>35</v>
      </c>
      <c r="M738" s="9">
        <v>31</v>
      </c>
      <c r="N738" s="9" t="str" cm="1">
        <f t="array" ref="N738">_xlfn.IFS(
M738&lt;=12,"Children",
M738&lt;=19,"Teens",
M738&lt;=29,"Young Adults",
M738&lt;=39,"Adults",
M738&lt;=59,"Middle-Aged",
M738&gt;=60,"Seniors"
)</f>
        <v>Adults</v>
      </c>
      <c r="O738" s="9" t="s">
        <v>20</v>
      </c>
      <c r="P738" s="9">
        <f t="shared" si="22"/>
        <v>0</v>
      </c>
      <c r="Q738" s="9">
        <v>1</v>
      </c>
      <c r="R738" s="10">
        <f t="shared" si="23"/>
        <v>0</v>
      </c>
    </row>
    <row r="739" spans="1:18" x14ac:dyDescent="0.3">
      <c r="A739" s="9">
        <v>18504</v>
      </c>
      <c r="B739" s="9" t="s">
        <v>37</v>
      </c>
      <c r="C739" s="9" t="s">
        <v>39</v>
      </c>
      <c r="D739" s="10">
        <v>70000</v>
      </c>
      <c r="E739" s="9" t="str" cm="1">
        <f t="array" ref="E739">_xlfn.IFS(D739&lt;= 60000, "Low Income",
D739&lt;=120000,"Medium Income",
D739&gt; 120000,"High Income"
)</f>
        <v>Medium Income</v>
      </c>
      <c r="F739" s="9">
        <v>2</v>
      </c>
      <c r="G739" s="9" t="s">
        <v>32</v>
      </c>
      <c r="H739" s="9" t="s">
        <v>16</v>
      </c>
      <c r="I739" s="9" t="s">
        <v>20</v>
      </c>
      <c r="J739" s="9">
        <v>2</v>
      </c>
      <c r="K739" s="9" t="s">
        <v>29</v>
      </c>
      <c r="L739" s="9" t="s">
        <v>35</v>
      </c>
      <c r="M739" s="9">
        <v>49</v>
      </c>
      <c r="N739" s="9" t="str" cm="1">
        <f t="array" ref="N739">_xlfn.IFS(
M739&lt;=12,"Children",
M739&lt;=19,"Teens",
M739&lt;=29,"Young Adults",
M739&lt;=39,"Adults",
M739&lt;=59,"Middle-Aged",
M739&gt;=60,"Seniors"
)</f>
        <v>Middle-Aged</v>
      </c>
      <c r="O739" s="9" t="s">
        <v>20</v>
      </c>
      <c r="P739" s="9">
        <f t="shared" si="22"/>
        <v>0</v>
      </c>
      <c r="Q739" s="9">
        <v>1</v>
      </c>
      <c r="R739" s="10">
        <f t="shared" si="23"/>
        <v>0</v>
      </c>
    </row>
    <row r="740" spans="1:18" x14ac:dyDescent="0.3">
      <c r="A740" s="9">
        <v>28799</v>
      </c>
      <c r="B740" s="9" t="s">
        <v>40</v>
      </c>
      <c r="C740" s="9" t="s">
        <v>38</v>
      </c>
      <c r="D740" s="10">
        <v>40000</v>
      </c>
      <c r="E740" s="9" t="str" cm="1">
        <f t="array" ref="E740">_xlfn.IFS(D740&lt;= 60000, "Low Income",
D740&lt;=120000,"Medium Income",
D740&gt; 120000,"High Income"
)</f>
        <v>Low Income</v>
      </c>
      <c r="F740" s="9">
        <v>2</v>
      </c>
      <c r="G740" s="9" t="s">
        <v>21</v>
      </c>
      <c r="H740" s="9" t="s">
        <v>22</v>
      </c>
      <c r="I740" s="9" t="s">
        <v>20</v>
      </c>
      <c r="J740" s="9">
        <v>1</v>
      </c>
      <c r="K740" s="9" t="s">
        <v>29</v>
      </c>
      <c r="L740" s="9" t="s">
        <v>35</v>
      </c>
      <c r="M740" s="9">
        <v>47</v>
      </c>
      <c r="N740" s="9" t="str" cm="1">
        <f t="array" ref="N740">_xlfn.IFS(
M740&lt;=12,"Children",
M740&lt;=19,"Teens",
M740&lt;=29,"Young Adults",
M740&lt;=39,"Adults",
M740&lt;=59,"Middle-Aged",
M740&gt;=60,"Seniors"
)</f>
        <v>Middle-Aged</v>
      </c>
      <c r="O740" s="9" t="s">
        <v>17</v>
      </c>
      <c r="P740" s="9">
        <f t="shared" si="22"/>
        <v>1</v>
      </c>
      <c r="Q740" s="9">
        <v>1</v>
      </c>
      <c r="R740" s="10">
        <f t="shared" si="23"/>
        <v>40000</v>
      </c>
    </row>
    <row r="741" spans="1:18" x14ac:dyDescent="0.3">
      <c r="A741" s="9">
        <v>11225</v>
      </c>
      <c r="B741" s="9" t="s">
        <v>37</v>
      </c>
      <c r="C741" s="9" t="s">
        <v>38</v>
      </c>
      <c r="D741" s="10">
        <v>60000</v>
      </c>
      <c r="E741" s="9" t="str" cm="1">
        <f t="array" ref="E741">_xlfn.IFS(D741&lt;= 60000, "Low Income",
D741&lt;=120000,"Medium Income",
D741&gt; 120000,"High Income"
)</f>
        <v>Low Income</v>
      </c>
      <c r="F741" s="9">
        <v>2</v>
      </c>
      <c r="G741" s="9" t="s">
        <v>21</v>
      </c>
      <c r="H741" s="9" t="s">
        <v>23</v>
      </c>
      <c r="I741" s="9" t="s">
        <v>17</v>
      </c>
      <c r="J741" s="9">
        <v>1</v>
      </c>
      <c r="K741" s="9" t="s">
        <v>41</v>
      </c>
      <c r="L741" s="9" t="s">
        <v>35</v>
      </c>
      <c r="M741" s="9">
        <v>55</v>
      </c>
      <c r="N741" s="9" t="str" cm="1">
        <f t="array" ref="N741">_xlfn.IFS(
M741&lt;=12,"Children",
M741&lt;=19,"Teens",
M741&lt;=29,"Young Adults",
M741&lt;=39,"Adults",
M741&lt;=59,"Middle-Aged",
M741&gt;=60,"Seniors"
)</f>
        <v>Middle-Aged</v>
      </c>
      <c r="O741" s="9" t="s">
        <v>20</v>
      </c>
      <c r="P741" s="9">
        <f t="shared" si="22"/>
        <v>0</v>
      </c>
      <c r="Q741" s="9">
        <v>1</v>
      </c>
      <c r="R741" s="10">
        <f t="shared" si="23"/>
        <v>0</v>
      </c>
    </row>
    <row r="742" spans="1:18" x14ac:dyDescent="0.3">
      <c r="A742" s="9">
        <v>17657</v>
      </c>
      <c r="B742" s="9" t="s">
        <v>37</v>
      </c>
      <c r="C742" s="9" t="s">
        <v>39</v>
      </c>
      <c r="D742" s="10">
        <v>40000</v>
      </c>
      <c r="E742" s="9" t="str" cm="1">
        <f t="array" ref="E742">_xlfn.IFS(D742&lt;= 60000, "Low Income",
D742&lt;=120000,"Medium Income",
D742&gt; 120000,"High Income"
)</f>
        <v>Low Income</v>
      </c>
      <c r="F742" s="9">
        <v>4</v>
      </c>
      <c r="G742" s="9" t="s">
        <v>21</v>
      </c>
      <c r="H742" s="9" t="s">
        <v>22</v>
      </c>
      <c r="I742" s="9" t="s">
        <v>20</v>
      </c>
      <c r="J742" s="9">
        <v>0</v>
      </c>
      <c r="K742" s="9" t="s">
        <v>18</v>
      </c>
      <c r="L742" s="9" t="s">
        <v>35</v>
      </c>
      <c r="M742" s="9">
        <v>30</v>
      </c>
      <c r="N742" s="9" t="str" cm="1">
        <f t="array" ref="N742">_xlfn.IFS(
M742&lt;=12,"Children",
M742&lt;=19,"Teens",
M742&lt;=29,"Young Adults",
M742&lt;=39,"Adults",
M742&lt;=59,"Middle-Aged",
M742&gt;=60,"Seniors"
)</f>
        <v>Adults</v>
      </c>
      <c r="O742" s="9" t="s">
        <v>20</v>
      </c>
      <c r="P742" s="9">
        <f t="shared" si="22"/>
        <v>0</v>
      </c>
      <c r="Q742" s="9">
        <v>1</v>
      </c>
      <c r="R742" s="10">
        <f t="shared" si="23"/>
        <v>0</v>
      </c>
    </row>
    <row r="743" spans="1:18" x14ac:dyDescent="0.3">
      <c r="A743" s="9">
        <v>14913</v>
      </c>
      <c r="B743" s="9" t="s">
        <v>37</v>
      </c>
      <c r="C743" s="9" t="s">
        <v>38</v>
      </c>
      <c r="D743" s="10">
        <v>40000</v>
      </c>
      <c r="E743" s="9" t="str" cm="1">
        <f t="array" ref="E743">_xlfn.IFS(D743&lt;= 60000, "Low Income",
D743&lt;=120000,"Medium Income",
D743&gt; 120000,"High Income"
)</f>
        <v>Low Income</v>
      </c>
      <c r="F743" s="9">
        <v>1</v>
      </c>
      <c r="G743" s="9" t="s">
        <v>21</v>
      </c>
      <c r="H743" s="9" t="s">
        <v>22</v>
      </c>
      <c r="I743" s="9" t="s">
        <v>17</v>
      </c>
      <c r="J743" s="9">
        <v>1</v>
      </c>
      <c r="K743" s="9" t="s">
        <v>29</v>
      </c>
      <c r="L743" s="9" t="s">
        <v>35</v>
      </c>
      <c r="M743" s="9">
        <v>48</v>
      </c>
      <c r="N743" s="9" t="str" cm="1">
        <f t="array" ref="N743">_xlfn.IFS(
M743&lt;=12,"Children",
M743&lt;=19,"Teens",
M743&lt;=29,"Young Adults",
M743&lt;=39,"Adults",
M743&lt;=59,"Middle-Aged",
M743&gt;=60,"Seniors"
)</f>
        <v>Middle-Aged</v>
      </c>
      <c r="O743" s="9" t="s">
        <v>17</v>
      </c>
      <c r="P743" s="9">
        <f t="shared" si="22"/>
        <v>1</v>
      </c>
      <c r="Q743" s="9">
        <v>1</v>
      </c>
      <c r="R743" s="10">
        <f t="shared" si="23"/>
        <v>40000</v>
      </c>
    </row>
    <row r="744" spans="1:18" x14ac:dyDescent="0.3">
      <c r="A744" s="9">
        <v>14077</v>
      </c>
      <c r="B744" s="9" t="s">
        <v>40</v>
      </c>
      <c r="C744" s="9" t="s">
        <v>39</v>
      </c>
      <c r="D744" s="10">
        <v>30000</v>
      </c>
      <c r="E744" s="9" t="str" cm="1">
        <f t="array" ref="E744">_xlfn.IFS(D744&lt;= 60000, "Low Income",
D744&lt;=120000,"Medium Income",
D744&gt; 120000,"High Income"
)</f>
        <v>Low Income</v>
      </c>
      <c r="F744" s="9">
        <v>0</v>
      </c>
      <c r="G744" s="9" t="s">
        <v>30</v>
      </c>
      <c r="H744" s="9" t="s">
        <v>16</v>
      </c>
      <c r="I744" s="9" t="s">
        <v>17</v>
      </c>
      <c r="J744" s="9">
        <v>2</v>
      </c>
      <c r="K744" s="9" t="s">
        <v>26</v>
      </c>
      <c r="L744" s="9" t="s">
        <v>35</v>
      </c>
      <c r="M744" s="9">
        <v>30</v>
      </c>
      <c r="N744" s="9" t="str" cm="1">
        <f t="array" ref="N744">_xlfn.IFS(
M744&lt;=12,"Children",
M744&lt;=19,"Teens",
M744&lt;=29,"Young Adults",
M744&lt;=39,"Adults",
M744&lt;=59,"Middle-Aged",
M744&gt;=60,"Seniors"
)</f>
        <v>Adults</v>
      </c>
      <c r="O744" s="9" t="s">
        <v>20</v>
      </c>
      <c r="P744" s="9">
        <f t="shared" si="22"/>
        <v>0</v>
      </c>
      <c r="Q744" s="9">
        <v>1</v>
      </c>
      <c r="R744" s="10">
        <f t="shared" si="23"/>
        <v>0</v>
      </c>
    </row>
    <row r="745" spans="1:18" x14ac:dyDescent="0.3">
      <c r="A745" s="9">
        <v>13296</v>
      </c>
      <c r="B745" s="9" t="s">
        <v>37</v>
      </c>
      <c r="C745" s="9" t="s">
        <v>39</v>
      </c>
      <c r="D745" s="10">
        <v>110000</v>
      </c>
      <c r="E745" s="9" t="str" cm="1">
        <f t="array" ref="E745">_xlfn.IFS(D745&lt;= 60000, "Low Income",
D745&lt;=120000,"Medium Income",
D745&gt; 120000,"High Income"
)</f>
        <v>Medium Income</v>
      </c>
      <c r="F745" s="9">
        <v>1</v>
      </c>
      <c r="G745" s="9" t="s">
        <v>15</v>
      </c>
      <c r="H745" s="9" t="s">
        <v>31</v>
      </c>
      <c r="I745" s="9" t="s">
        <v>17</v>
      </c>
      <c r="J745" s="9">
        <v>3</v>
      </c>
      <c r="K745" s="9" t="s">
        <v>26</v>
      </c>
      <c r="L745" s="9" t="s">
        <v>35</v>
      </c>
      <c r="M745" s="9">
        <v>45</v>
      </c>
      <c r="N745" s="9" t="str" cm="1">
        <f t="array" ref="N745">_xlfn.IFS(
M745&lt;=12,"Children",
M745&lt;=19,"Teens",
M745&lt;=29,"Young Adults",
M745&lt;=39,"Adults",
M745&lt;=59,"Middle-Aged",
M745&gt;=60,"Seniors"
)</f>
        <v>Middle-Aged</v>
      </c>
      <c r="O745" s="9" t="s">
        <v>20</v>
      </c>
      <c r="P745" s="9">
        <f t="shared" si="22"/>
        <v>0</v>
      </c>
      <c r="Q745" s="9">
        <v>1</v>
      </c>
      <c r="R745" s="10">
        <f t="shared" si="23"/>
        <v>0</v>
      </c>
    </row>
    <row r="746" spans="1:18" x14ac:dyDescent="0.3">
      <c r="A746" s="9">
        <v>20535</v>
      </c>
      <c r="B746" s="9" t="s">
        <v>37</v>
      </c>
      <c r="C746" s="9" t="s">
        <v>38</v>
      </c>
      <c r="D746" s="10">
        <v>70000</v>
      </c>
      <c r="E746" s="9" t="str" cm="1">
        <f t="array" ref="E746">_xlfn.IFS(D746&lt;= 60000, "Low Income",
D746&lt;=120000,"Medium Income",
D746&gt; 120000,"High Income"
)</f>
        <v>Medium Income</v>
      </c>
      <c r="F746" s="9">
        <v>4</v>
      </c>
      <c r="G746" s="9" t="s">
        <v>21</v>
      </c>
      <c r="H746" s="9" t="s">
        <v>23</v>
      </c>
      <c r="I746" s="9" t="s">
        <v>17</v>
      </c>
      <c r="J746" s="9">
        <v>1</v>
      </c>
      <c r="K746" s="9" t="s">
        <v>41</v>
      </c>
      <c r="L746" s="9" t="s">
        <v>35</v>
      </c>
      <c r="M746" s="9">
        <v>56</v>
      </c>
      <c r="N746" s="9" t="str" cm="1">
        <f t="array" ref="N746">_xlfn.IFS(
M746&lt;=12,"Children",
M746&lt;=19,"Teens",
M746&lt;=29,"Young Adults",
M746&lt;=39,"Adults",
M746&lt;=59,"Middle-Aged",
M746&gt;=60,"Seniors"
)</f>
        <v>Middle-Aged</v>
      </c>
      <c r="O746" s="9" t="s">
        <v>20</v>
      </c>
      <c r="P746" s="9">
        <f t="shared" si="22"/>
        <v>0</v>
      </c>
      <c r="Q746" s="9">
        <v>1</v>
      </c>
      <c r="R746" s="10">
        <f t="shared" si="23"/>
        <v>0</v>
      </c>
    </row>
    <row r="747" spans="1:18" x14ac:dyDescent="0.3">
      <c r="A747" s="9">
        <v>12452</v>
      </c>
      <c r="B747" s="9" t="s">
        <v>37</v>
      </c>
      <c r="C747" s="9" t="s">
        <v>39</v>
      </c>
      <c r="D747" s="10">
        <v>60000</v>
      </c>
      <c r="E747" s="9" t="str" cm="1">
        <f t="array" ref="E747">_xlfn.IFS(D747&lt;= 60000, "Low Income",
D747&lt;=120000,"Medium Income",
D747&gt; 120000,"High Income"
)</f>
        <v>Low Income</v>
      </c>
      <c r="F747" s="9">
        <v>4</v>
      </c>
      <c r="G747" s="9" t="s">
        <v>34</v>
      </c>
      <c r="H747" s="9" t="s">
        <v>16</v>
      </c>
      <c r="I747" s="9" t="s">
        <v>17</v>
      </c>
      <c r="J747" s="9">
        <v>0</v>
      </c>
      <c r="K747" s="9" t="s">
        <v>29</v>
      </c>
      <c r="L747" s="9" t="s">
        <v>35</v>
      </c>
      <c r="M747" s="9">
        <v>47</v>
      </c>
      <c r="N747" s="9" t="str" cm="1">
        <f t="array" ref="N747">_xlfn.IFS(
M747&lt;=12,"Children",
M747&lt;=19,"Teens",
M747&lt;=29,"Young Adults",
M747&lt;=39,"Adults",
M747&lt;=59,"Middle-Aged",
M747&gt;=60,"Seniors"
)</f>
        <v>Middle-Aged</v>
      </c>
      <c r="O747" s="9" t="s">
        <v>17</v>
      </c>
      <c r="P747" s="9">
        <f t="shared" si="22"/>
        <v>1</v>
      </c>
      <c r="Q747" s="9">
        <v>1</v>
      </c>
      <c r="R747" s="10">
        <f t="shared" si="23"/>
        <v>60000</v>
      </c>
    </row>
    <row r="748" spans="1:18" x14ac:dyDescent="0.3">
      <c r="A748" s="9">
        <v>28043</v>
      </c>
      <c r="B748" s="9" t="s">
        <v>37</v>
      </c>
      <c r="C748" s="9" t="s">
        <v>38</v>
      </c>
      <c r="D748" s="10">
        <v>60000</v>
      </c>
      <c r="E748" s="9" t="str" cm="1">
        <f t="array" ref="E748">_xlfn.IFS(D748&lt;= 60000, "Low Income",
D748&lt;=120000,"Medium Income",
D748&gt; 120000,"High Income"
)</f>
        <v>Low Income</v>
      </c>
      <c r="F748" s="9">
        <v>2</v>
      </c>
      <c r="G748" s="9" t="s">
        <v>15</v>
      </c>
      <c r="H748" s="9" t="s">
        <v>31</v>
      </c>
      <c r="I748" s="9" t="s">
        <v>17</v>
      </c>
      <c r="J748" s="9">
        <v>0</v>
      </c>
      <c r="K748" s="9" t="s">
        <v>41</v>
      </c>
      <c r="L748" s="9" t="s">
        <v>35</v>
      </c>
      <c r="M748" s="9">
        <v>56</v>
      </c>
      <c r="N748" s="9" t="str" cm="1">
        <f t="array" ref="N748">_xlfn.IFS(
M748&lt;=12,"Children",
M748&lt;=19,"Teens",
M748&lt;=29,"Young Adults",
M748&lt;=39,"Adults",
M748&lt;=59,"Middle-Aged",
M748&gt;=60,"Seniors"
)</f>
        <v>Middle-Aged</v>
      </c>
      <c r="O748" s="9" t="s">
        <v>20</v>
      </c>
      <c r="P748" s="9">
        <f t="shared" si="22"/>
        <v>0</v>
      </c>
      <c r="Q748" s="9">
        <v>1</v>
      </c>
      <c r="R748" s="10">
        <f t="shared" si="23"/>
        <v>0</v>
      </c>
    </row>
    <row r="749" spans="1:18" x14ac:dyDescent="0.3">
      <c r="A749" s="9">
        <v>12957</v>
      </c>
      <c r="B749" s="9" t="s">
        <v>40</v>
      </c>
      <c r="C749" s="9" t="s">
        <v>38</v>
      </c>
      <c r="D749" s="10">
        <v>70000</v>
      </c>
      <c r="E749" s="9" t="str" cm="1">
        <f t="array" ref="E749">_xlfn.IFS(D749&lt;= 60000, "Low Income",
D749&lt;=120000,"Medium Income",
D749&gt; 120000,"High Income"
)</f>
        <v>Medium Income</v>
      </c>
      <c r="F749" s="9">
        <v>1</v>
      </c>
      <c r="G749" s="9" t="s">
        <v>15</v>
      </c>
      <c r="H749" s="9" t="s">
        <v>23</v>
      </c>
      <c r="I749" s="9" t="s">
        <v>20</v>
      </c>
      <c r="J749" s="9">
        <v>1</v>
      </c>
      <c r="K749" s="9" t="s">
        <v>18</v>
      </c>
      <c r="L749" s="9" t="s">
        <v>35</v>
      </c>
      <c r="M749" s="9">
        <v>44</v>
      </c>
      <c r="N749" s="9" t="str" cm="1">
        <f t="array" ref="N749">_xlfn.IFS(
M749&lt;=12,"Children",
M749&lt;=19,"Teens",
M749&lt;=29,"Young Adults",
M749&lt;=39,"Adults",
M749&lt;=59,"Middle-Aged",
M749&gt;=60,"Seniors"
)</f>
        <v>Middle-Aged</v>
      </c>
      <c r="O749" s="9" t="s">
        <v>20</v>
      </c>
      <c r="P749" s="9">
        <f t="shared" si="22"/>
        <v>0</v>
      </c>
      <c r="Q749" s="9">
        <v>1</v>
      </c>
      <c r="R749" s="10">
        <f t="shared" si="23"/>
        <v>0</v>
      </c>
    </row>
    <row r="750" spans="1:18" x14ac:dyDescent="0.3">
      <c r="A750" s="9">
        <v>15412</v>
      </c>
      <c r="B750" s="9" t="s">
        <v>37</v>
      </c>
      <c r="C750" s="9" t="s">
        <v>39</v>
      </c>
      <c r="D750" s="10">
        <v>130000</v>
      </c>
      <c r="E750" s="9" t="str" cm="1">
        <f t="array" ref="E750">_xlfn.IFS(D750&lt;= 60000, "Low Income",
D750&lt;=120000,"Medium Income",
D750&gt; 120000,"High Income"
)</f>
        <v>High Income</v>
      </c>
      <c r="F750" s="9">
        <v>2</v>
      </c>
      <c r="G750" s="9" t="s">
        <v>34</v>
      </c>
      <c r="H750" s="9" t="s">
        <v>31</v>
      </c>
      <c r="I750" s="9" t="s">
        <v>17</v>
      </c>
      <c r="J750" s="9">
        <v>3</v>
      </c>
      <c r="K750" s="9" t="s">
        <v>24</v>
      </c>
      <c r="L750" s="9" t="s">
        <v>35</v>
      </c>
      <c r="M750" s="9">
        <v>69</v>
      </c>
      <c r="N750" s="9" t="str" cm="1">
        <f t="array" ref="N750">_xlfn.IFS(
M750&lt;=12,"Children",
M750&lt;=19,"Teens",
M750&lt;=29,"Young Adults",
M750&lt;=39,"Adults",
M750&lt;=59,"Middle-Aged",
M750&gt;=60,"Seniors"
)</f>
        <v>Seniors</v>
      </c>
      <c r="O750" s="9" t="s">
        <v>20</v>
      </c>
      <c r="P750" s="9">
        <f t="shared" si="22"/>
        <v>0</v>
      </c>
      <c r="Q750" s="9">
        <v>1</v>
      </c>
      <c r="R750" s="10">
        <f t="shared" si="23"/>
        <v>0</v>
      </c>
    </row>
    <row r="751" spans="1:18" x14ac:dyDescent="0.3">
      <c r="A751" s="9">
        <v>20514</v>
      </c>
      <c r="B751" s="9" t="s">
        <v>37</v>
      </c>
      <c r="C751" s="9" t="s">
        <v>38</v>
      </c>
      <c r="D751" s="10">
        <v>70000</v>
      </c>
      <c r="E751" s="9" t="str" cm="1">
        <f t="array" ref="E751">_xlfn.IFS(D751&lt;= 60000, "Low Income",
D751&lt;=120000,"Medium Income",
D751&gt; 120000,"High Income"
)</f>
        <v>Medium Income</v>
      </c>
      <c r="F751" s="9">
        <v>2</v>
      </c>
      <c r="G751" s="9" t="s">
        <v>21</v>
      </c>
      <c r="H751" s="9" t="s">
        <v>23</v>
      </c>
      <c r="I751" s="9" t="s">
        <v>17</v>
      </c>
      <c r="J751" s="9">
        <v>1</v>
      </c>
      <c r="K751" s="9" t="s">
        <v>24</v>
      </c>
      <c r="L751" s="9" t="s">
        <v>35</v>
      </c>
      <c r="M751" s="9">
        <v>59</v>
      </c>
      <c r="N751" s="9" t="str" cm="1">
        <f t="array" ref="N751">_xlfn.IFS(
M751&lt;=12,"Children",
M751&lt;=19,"Teens",
M751&lt;=29,"Young Adults",
M751&lt;=39,"Adults",
M751&lt;=59,"Middle-Aged",
M751&gt;=60,"Seniors"
)</f>
        <v>Middle-Aged</v>
      </c>
      <c r="O751" s="9" t="s">
        <v>20</v>
      </c>
      <c r="P751" s="9">
        <f t="shared" si="22"/>
        <v>0</v>
      </c>
      <c r="Q751" s="9">
        <v>1</v>
      </c>
      <c r="R751" s="10">
        <f t="shared" si="23"/>
        <v>0</v>
      </c>
    </row>
    <row r="752" spans="1:18" x14ac:dyDescent="0.3">
      <c r="A752" s="9">
        <v>20758</v>
      </c>
      <c r="B752" s="9" t="s">
        <v>37</v>
      </c>
      <c r="C752" s="9" t="s">
        <v>39</v>
      </c>
      <c r="D752" s="10">
        <v>30000</v>
      </c>
      <c r="E752" s="9" t="str" cm="1">
        <f t="array" ref="E752">_xlfn.IFS(D752&lt;= 60000, "Low Income",
D752&lt;=120000,"Medium Income",
D752&gt; 120000,"High Income"
)</f>
        <v>Low Income</v>
      </c>
      <c r="F752" s="9">
        <v>2</v>
      </c>
      <c r="G752" s="9" t="s">
        <v>30</v>
      </c>
      <c r="H752" s="9" t="s">
        <v>16</v>
      </c>
      <c r="I752" s="9" t="s">
        <v>17</v>
      </c>
      <c r="J752" s="9">
        <v>2</v>
      </c>
      <c r="K752" s="9" t="s">
        <v>29</v>
      </c>
      <c r="L752" s="9" t="s">
        <v>35</v>
      </c>
      <c r="M752" s="9">
        <v>50</v>
      </c>
      <c r="N752" s="9" t="str" cm="1">
        <f t="array" ref="N752">_xlfn.IFS(
M752&lt;=12,"Children",
M752&lt;=19,"Teens",
M752&lt;=29,"Young Adults",
M752&lt;=39,"Adults",
M752&lt;=59,"Middle-Aged",
M752&gt;=60,"Seniors"
)</f>
        <v>Middle-Aged</v>
      </c>
      <c r="O752" s="9" t="s">
        <v>20</v>
      </c>
      <c r="P752" s="9">
        <f t="shared" si="22"/>
        <v>0</v>
      </c>
      <c r="Q752" s="9">
        <v>1</v>
      </c>
      <c r="R752" s="10">
        <f t="shared" si="23"/>
        <v>0</v>
      </c>
    </row>
    <row r="753" spans="1:18" x14ac:dyDescent="0.3">
      <c r="A753" s="9">
        <v>11801</v>
      </c>
      <c r="B753" s="9" t="s">
        <v>37</v>
      </c>
      <c r="C753" s="9" t="s">
        <v>39</v>
      </c>
      <c r="D753" s="10">
        <v>60000</v>
      </c>
      <c r="E753" s="9" t="str" cm="1">
        <f t="array" ref="E753">_xlfn.IFS(D753&lt;= 60000, "Low Income",
D753&lt;=120000,"Medium Income",
D753&gt; 120000,"High Income"
)</f>
        <v>Low Income</v>
      </c>
      <c r="F753" s="9">
        <v>1</v>
      </c>
      <c r="G753" s="9" t="s">
        <v>34</v>
      </c>
      <c r="H753" s="9" t="s">
        <v>23</v>
      </c>
      <c r="I753" s="9" t="s">
        <v>17</v>
      </c>
      <c r="J753" s="9">
        <v>0</v>
      </c>
      <c r="K753" s="9" t="s">
        <v>24</v>
      </c>
      <c r="L753" s="9" t="s">
        <v>35</v>
      </c>
      <c r="M753" s="9">
        <v>36</v>
      </c>
      <c r="N753" s="9" t="str" cm="1">
        <f t="array" ref="N753">_xlfn.IFS(
M753&lt;=12,"Children",
M753&lt;=19,"Teens",
M753&lt;=29,"Young Adults",
M753&lt;=39,"Adults",
M753&lt;=59,"Middle-Aged",
M753&gt;=60,"Seniors"
)</f>
        <v>Adults</v>
      </c>
      <c r="O753" s="9" t="s">
        <v>20</v>
      </c>
      <c r="P753" s="9">
        <f t="shared" si="22"/>
        <v>0</v>
      </c>
      <c r="Q753" s="9">
        <v>1</v>
      </c>
      <c r="R753" s="10">
        <f t="shared" si="23"/>
        <v>0</v>
      </c>
    </row>
    <row r="754" spans="1:18" x14ac:dyDescent="0.3">
      <c r="A754" s="9">
        <v>22211</v>
      </c>
      <c r="B754" s="9" t="s">
        <v>37</v>
      </c>
      <c r="C754" s="9" t="s">
        <v>39</v>
      </c>
      <c r="D754" s="10">
        <v>60000</v>
      </c>
      <c r="E754" s="9" t="str" cm="1">
        <f t="array" ref="E754">_xlfn.IFS(D754&lt;= 60000, "Low Income",
D754&lt;=120000,"Medium Income",
D754&gt; 120000,"High Income"
)</f>
        <v>Low Income</v>
      </c>
      <c r="F754" s="9">
        <v>0</v>
      </c>
      <c r="G754" s="9" t="s">
        <v>21</v>
      </c>
      <c r="H754" s="9" t="s">
        <v>23</v>
      </c>
      <c r="I754" s="9" t="s">
        <v>17</v>
      </c>
      <c r="J754" s="9">
        <v>2</v>
      </c>
      <c r="K754" s="9" t="s">
        <v>26</v>
      </c>
      <c r="L754" s="9" t="s">
        <v>35</v>
      </c>
      <c r="M754" s="9">
        <v>32</v>
      </c>
      <c r="N754" s="9" t="str" cm="1">
        <f t="array" ref="N754">_xlfn.IFS(
M754&lt;=12,"Children",
M754&lt;=19,"Teens",
M754&lt;=29,"Young Adults",
M754&lt;=39,"Adults",
M754&lt;=59,"Middle-Aged",
M754&gt;=60,"Seniors"
)</f>
        <v>Adults</v>
      </c>
      <c r="O754" s="9" t="s">
        <v>20</v>
      </c>
      <c r="P754" s="9">
        <f t="shared" si="22"/>
        <v>0</v>
      </c>
      <c r="Q754" s="9">
        <v>1</v>
      </c>
      <c r="R754" s="10">
        <f t="shared" si="23"/>
        <v>0</v>
      </c>
    </row>
    <row r="755" spans="1:18" x14ac:dyDescent="0.3">
      <c r="A755" s="9">
        <v>28087</v>
      </c>
      <c r="B755" s="9" t="s">
        <v>40</v>
      </c>
      <c r="C755" s="9" t="s">
        <v>38</v>
      </c>
      <c r="D755" s="10">
        <v>40000</v>
      </c>
      <c r="E755" s="9" t="str" cm="1">
        <f t="array" ref="E755">_xlfn.IFS(D755&lt;= 60000, "Low Income",
D755&lt;=120000,"Medium Income",
D755&gt; 120000,"High Income"
)</f>
        <v>Low Income</v>
      </c>
      <c r="F755" s="9">
        <v>0</v>
      </c>
      <c r="G755" s="9" t="s">
        <v>21</v>
      </c>
      <c r="H755" s="9" t="s">
        <v>16</v>
      </c>
      <c r="I755" s="9" t="s">
        <v>20</v>
      </c>
      <c r="J755" s="9">
        <v>1</v>
      </c>
      <c r="K755" s="9" t="s">
        <v>29</v>
      </c>
      <c r="L755" s="9" t="s">
        <v>35</v>
      </c>
      <c r="M755" s="9">
        <v>27</v>
      </c>
      <c r="N755" s="9" t="str" cm="1">
        <f t="array" ref="N755">_xlfn.IFS(
M755&lt;=12,"Children",
M755&lt;=19,"Teens",
M755&lt;=29,"Young Adults",
M755&lt;=39,"Adults",
M755&lt;=59,"Middle-Aged",
M755&gt;=60,"Seniors"
)</f>
        <v>Young Adults</v>
      </c>
      <c r="O755" s="9" t="s">
        <v>20</v>
      </c>
      <c r="P755" s="9">
        <f t="shared" si="22"/>
        <v>0</v>
      </c>
      <c r="Q755" s="9">
        <v>1</v>
      </c>
      <c r="R755" s="10">
        <f t="shared" si="23"/>
        <v>0</v>
      </c>
    </row>
    <row r="756" spans="1:18" x14ac:dyDescent="0.3">
      <c r="A756" s="9">
        <v>23668</v>
      </c>
      <c r="B756" s="9" t="s">
        <v>37</v>
      </c>
      <c r="C756" s="9" t="s">
        <v>38</v>
      </c>
      <c r="D756" s="10">
        <v>40000</v>
      </c>
      <c r="E756" s="9" t="str" cm="1">
        <f t="array" ref="E756">_xlfn.IFS(D756&lt;= 60000, "Low Income",
D756&lt;=120000,"Medium Income",
D756&gt; 120000,"High Income"
)</f>
        <v>Low Income</v>
      </c>
      <c r="F756" s="9">
        <v>4</v>
      </c>
      <c r="G756" s="9" t="s">
        <v>30</v>
      </c>
      <c r="H756" s="9" t="s">
        <v>23</v>
      </c>
      <c r="I756" s="9" t="s">
        <v>17</v>
      </c>
      <c r="J756" s="9">
        <v>2</v>
      </c>
      <c r="K756" s="9" t="s">
        <v>26</v>
      </c>
      <c r="L756" s="9" t="s">
        <v>35</v>
      </c>
      <c r="M756" s="9">
        <v>59</v>
      </c>
      <c r="N756" s="9" t="str" cm="1">
        <f t="array" ref="N756">_xlfn.IFS(
M756&lt;=12,"Children",
M756&lt;=19,"Teens",
M756&lt;=29,"Young Adults",
M756&lt;=39,"Adults",
M756&lt;=59,"Middle-Aged",
M756&gt;=60,"Seniors"
)</f>
        <v>Middle-Aged</v>
      </c>
      <c r="O756" s="9" t="s">
        <v>17</v>
      </c>
      <c r="P756" s="9">
        <f t="shared" si="22"/>
        <v>1</v>
      </c>
      <c r="Q756" s="9">
        <v>1</v>
      </c>
      <c r="R756" s="10">
        <f t="shared" si="23"/>
        <v>40000</v>
      </c>
    </row>
    <row r="757" spans="1:18" x14ac:dyDescent="0.3">
      <c r="A757" s="9">
        <v>27441</v>
      </c>
      <c r="B757" s="9" t="s">
        <v>37</v>
      </c>
      <c r="C757" s="9" t="s">
        <v>39</v>
      </c>
      <c r="D757" s="10">
        <v>60000</v>
      </c>
      <c r="E757" s="9" t="str" cm="1">
        <f t="array" ref="E757">_xlfn.IFS(D757&lt;= 60000, "Low Income",
D757&lt;=120000,"Medium Income",
D757&gt; 120000,"High Income"
)</f>
        <v>Low Income</v>
      </c>
      <c r="F757" s="9">
        <v>3</v>
      </c>
      <c r="G757" s="9" t="s">
        <v>30</v>
      </c>
      <c r="H757" s="9" t="s">
        <v>23</v>
      </c>
      <c r="I757" s="9" t="s">
        <v>20</v>
      </c>
      <c r="J757" s="9">
        <v>2</v>
      </c>
      <c r="K757" s="9" t="s">
        <v>24</v>
      </c>
      <c r="L757" s="9" t="s">
        <v>35</v>
      </c>
      <c r="M757" s="9">
        <v>53</v>
      </c>
      <c r="N757" s="9" t="str" cm="1">
        <f t="array" ref="N757">_xlfn.IFS(
M757&lt;=12,"Children",
M757&lt;=19,"Teens",
M757&lt;=29,"Young Adults",
M757&lt;=39,"Adults",
M757&lt;=59,"Middle-Aged",
M757&gt;=60,"Seniors"
)</f>
        <v>Middle-Aged</v>
      </c>
      <c r="O757" s="9" t="s">
        <v>20</v>
      </c>
      <c r="P757" s="9">
        <f t="shared" si="22"/>
        <v>0</v>
      </c>
      <c r="Q757" s="9">
        <v>1</v>
      </c>
      <c r="R757" s="10">
        <f t="shared" si="23"/>
        <v>0</v>
      </c>
    </row>
    <row r="758" spans="1:18" x14ac:dyDescent="0.3">
      <c r="A758" s="9">
        <v>27261</v>
      </c>
      <c r="B758" s="9" t="s">
        <v>37</v>
      </c>
      <c r="C758" s="9" t="s">
        <v>39</v>
      </c>
      <c r="D758" s="10">
        <v>40000</v>
      </c>
      <c r="E758" s="9" t="str" cm="1">
        <f t="array" ref="E758">_xlfn.IFS(D758&lt;= 60000, "Low Income",
D758&lt;=120000,"Medium Income",
D758&gt; 120000,"High Income"
)</f>
        <v>Low Income</v>
      </c>
      <c r="F758" s="9">
        <v>1</v>
      </c>
      <c r="G758" s="9" t="s">
        <v>15</v>
      </c>
      <c r="H758" s="9" t="s">
        <v>16</v>
      </c>
      <c r="I758" s="9" t="s">
        <v>20</v>
      </c>
      <c r="J758" s="9">
        <v>1</v>
      </c>
      <c r="K758" s="9" t="s">
        <v>18</v>
      </c>
      <c r="L758" s="9" t="s">
        <v>35</v>
      </c>
      <c r="M758" s="9">
        <v>36</v>
      </c>
      <c r="N758" s="9" t="str" cm="1">
        <f t="array" ref="N758">_xlfn.IFS(
M758&lt;=12,"Children",
M758&lt;=19,"Teens",
M758&lt;=29,"Young Adults",
M758&lt;=39,"Adults",
M758&lt;=59,"Middle-Aged",
M758&gt;=60,"Seniors"
)</f>
        <v>Adults</v>
      </c>
      <c r="O758" s="9" t="s">
        <v>17</v>
      </c>
      <c r="P758" s="9">
        <f t="shared" si="22"/>
        <v>1</v>
      </c>
      <c r="Q758" s="9">
        <v>1</v>
      </c>
      <c r="R758" s="10">
        <f t="shared" si="23"/>
        <v>40000</v>
      </c>
    </row>
    <row r="759" spans="1:18" x14ac:dyDescent="0.3">
      <c r="A759" s="9">
        <v>18649</v>
      </c>
      <c r="B759" s="9" t="s">
        <v>40</v>
      </c>
      <c r="C759" s="9" t="s">
        <v>39</v>
      </c>
      <c r="D759" s="10">
        <v>30000</v>
      </c>
      <c r="E759" s="9" t="str" cm="1">
        <f t="array" ref="E759">_xlfn.IFS(D759&lt;= 60000, "Low Income",
D759&lt;=120000,"Medium Income",
D759&gt; 120000,"High Income"
)</f>
        <v>Low Income</v>
      </c>
      <c r="F759" s="9">
        <v>1</v>
      </c>
      <c r="G759" s="9" t="s">
        <v>30</v>
      </c>
      <c r="H759" s="9" t="s">
        <v>22</v>
      </c>
      <c r="I759" s="9" t="s">
        <v>17</v>
      </c>
      <c r="J759" s="9">
        <v>2</v>
      </c>
      <c r="K759" s="9" t="s">
        <v>29</v>
      </c>
      <c r="L759" s="9" t="s">
        <v>35</v>
      </c>
      <c r="M759" s="9">
        <v>51</v>
      </c>
      <c r="N759" s="9" t="str" cm="1">
        <f t="array" ref="N759">_xlfn.IFS(
M759&lt;=12,"Children",
M759&lt;=19,"Teens",
M759&lt;=29,"Young Adults",
M759&lt;=39,"Adults",
M759&lt;=59,"Middle-Aged",
M759&gt;=60,"Seniors"
)</f>
        <v>Middle-Aged</v>
      </c>
      <c r="O759" s="9" t="s">
        <v>17</v>
      </c>
      <c r="P759" s="9">
        <f t="shared" si="22"/>
        <v>1</v>
      </c>
      <c r="Q759" s="9">
        <v>1</v>
      </c>
      <c r="R759" s="10">
        <f t="shared" si="23"/>
        <v>30000</v>
      </c>
    </row>
    <row r="760" spans="1:18" x14ac:dyDescent="0.3">
      <c r="A760" s="9">
        <v>21714</v>
      </c>
      <c r="B760" s="9" t="s">
        <v>40</v>
      </c>
      <c r="C760" s="9" t="s">
        <v>38</v>
      </c>
      <c r="D760" s="10">
        <v>80000</v>
      </c>
      <c r="E760" s="9" t="str" cm="1">
        <f t="array" ref="E760">_xlfn.IFS(D760&lt;= 60000, "Low Income",
D760&lt;=120000,"Medium Income",
D760&gt; 120000,"High Income"
)</f>
        <v>Medium Income</v>
      </c>
      <c r="F760" s="9">
        <v>5</v>
      </c>
      <c r="G760" s="9" t="s">
        <v>34</v>
      </c>
      <c r="H760" s="9" t="s">
        <v>16</v>
      </c>
      <c r="I760" s="9" t="s">
        <v>20</v>
      </c>
      <c r="J760" s="9">
        <v>0</v>
      </c>
      <c r="K760" s="9" t="s">
        <v>18</v>
      </c>
      <c r="L760" s="9" t="s">
        <v>35</v>
      </c>
      <c r="M760" s="9">
        <v>47</v>
      </c>
      <c r="N760" s="9" t="str" cm="1">
        <f t="array" ref="N760">_xlfn.IFS(
M760&lt;=12,"Children",
M760&lt;=19,"Teens",
M760&lt;=29,"Young Adults",
M760&lt;=39,"Adults",
M760&lt;=59,"Middle-Aged",
M760&gt;=60,"Seniors"
)</f>
        <v>Middle-Aged</v>
      </c>
      <c r="O760" s="9" t="s">
        <v>20</v>
      </c>
      <c r="P760" s="9">
        <f t="shared" si="22"/>
        <v>0</v>
      </c>
      <c r="Q760" s="9">
        <v>1</v>
      </c>
      <c r="R760" s="10">
        <f t="shared" si="23"/>
        <v>0</v>
      </c>
    </row>
    <row r="761" spans="1:18" x14ac:dyDescent="0.3">
      <c r="A761" s="9">
        <v>23217</v>
      </c>
      <c r="B761" s="9" t="s">
        <v>40</v>
      </c>
      <c r="C761" s="9" t="s">
        <v>38</v>
      </c>
      <c r="D761" s="10">
        <v>60000</v>
      </c>
      <c r="E761" s="9" t="str" cm="1">
        <f t="array" ref="E761">_xlfn.IFS(D761&lt;= 60000, "Low Income",
D761&lt;=120000,"Medium Income",
D761&gt; 120000,"High Income"
)</f>
        <v>Low Income</v>
      </c>
      <c r="F761" s="9">
        <v>3</v>
      </c>
      <c r="G761" s="9" t="s">
        <v>34</v>
      </c>
      <c r="H761" s="9" t="s">
        <v>23</v>
      </c>
      <c r="I761" s="9" t="s">
        <v>17</v>
      </c>
      <c r="J761" s="9">
        <v>0</v>
      </c>
      <c r="K761" s="9" t="s">
        <v>24</v>
      </c>
      <c r="L761" s="9" t="s">
        <v>35</v>
      </c>
      <c r="M761" s="9">
        <v>43</v>
      </c>
      <c r="N761" s="9" t="str" cm="1">
        <f t="array" ref="N761">_xlfn.IFS(
M761&lt;=12,"Children",
M761&lt;=19,"Teens",
M761&lt;=29,"Young Adults",
M761&lt;=39,"Adults",
M761&lt;=59,"Middle-Aged",
M761&gt;=60,"Seniors"
)</f>
        <v>Middle-Aged</v>
      </c>
      <c r="O761" s="9" t="s">
        <v>17</v>
      </c>
      <c r="P761" s="9">
        <f t="shared" si="22"/>
        <v>1</v>
      </c>
      <c r="Q761" s="9">
        <v>1</v>
      </c>
      <c r="R761" s="10">
        <f t="shared" si="23"/>
        <v>60000</v>
      </c>
    </row>
    <row r="762" spans="1:18" x14ac:dyDescent="0.3">
      <c r="A762" s="9">
        <v>23797</v>
      </c>
      <c r="B762" s="9" t="s">
        <v>40</v>
      </c>
      <c r="C762" s="9" t="s">
        <v>39</v>
      </c>
      <c r="D762" s="10">
        <v>20000</v>
      </c>
      <c r="E762" s="9" t="str" cm="1">
        <f t="array" ref="E762">_xlfn.IFS(D762&lt;= 60000, "Low Income",
D762&lt;=120000,"Medium Income",
D762&gt; 120000,"High Income"
)</f>
        <v>Low Income</v>
      </c>
      <c r="F762" s="9">
        <v>3</v>
      </c>
      <c r="G762" s="9" t="s">
        <v>32</v>
      </c>
      <c r="H762" s="9" t="s">
        <v>22</v>
      </c>
      <c r="I762" s="9" t="s">
        <v>20</v>
      </c>
      <c r="J762" s="9">
        <v>2</v>
      </c>
      <c r="K762" s="9" t="s">
        <v>18</v>
      </c>
      <c r="L762" s="9" t="s">
        <v>35</v>
      </c>
      <c r="M762" s="9">
        <v>50</v>
      </c>
      <c r="N762" s="9" t="str" cm="1">
        <f t="array" ref="N762">_xlfn.IFS(
M762&lt;=12,"Children",
M762&lt;=19,"Teens",
M762&lt;=29,"Young Adults",
M762&lt;=39,"Adults",
M762&lt;=59,"Middle-Aged",
M762&gt;=60,"Seniors"
)</f>
        <v>Middle-Aged</v>
      </c>
      <c r="O762" s="9" t="s">
        <v>20</v>
      </c>
      <c r="P762" s="9">
        <f t="shared" si="22"/>
        <v>0</v>
      </c>
      <c r="Q762" s="9">
        <v>1</v>
      </c>
      <c r="R762" s="10">
        <f t="shared" si="23"/>
        <v>0</v>
      </c>
    </row>
    <row r="763" spans="1:18" x14ac:dyDescent="0.3">
      <c r="A763" s="9">
        <v>13216</v>
      </c>
      <c r="B763" s="9" t="s">
        <v>37</v>
      </c>
      <c r="C763" s="9" t="s">
        <v>38</v>
      </c>
      <c r="D763" s="10">
        <v>60000</v>
      </c>
      <c r="E763" s="9" t="str" cm="1">
        <f t="array" ref="E763">_xlfn.IFS(D763&lt;= 60000, "Low Income",
D763&lt;=120000,"Medium Income",
D763&gt; 120000,"High Income"
)</f>
        <v>Low Income</v>
      </c>
      <c r="F763" s="9">
        <v>5</v>
      </c>
      <c r="G763" s="9" t="s">
        <v>15</v>
      </c>
      <c r="H763" s="9" t="s">
        <v>31</v>
      </c>
      <c r="I763" s="9" t="s">
        <v>17</v>
      </c>
      <c r="J763" s="9">
        <v>3</v>
      </c>
      <c r="K763" s="9" t="s">
        <v>41</v>
      </c>
      <c r="L763" s="9" t="s">
        <v>35</v>
      </c>
      <c r="M763" s="9">
        <v>59</v>
      </c>
      <c r="N763" s="9" t="str" cm="1">
        <f t="array" ref="N763">_xlfn.IFS(
M763&lt;=12,"Children",
M763&lt;=19,"Teens",
M763&lt;=29,"Young Adults",
M763&lt;=39,"Adults",
M763&lt;=59,"Middle-Aged",
M763&gt;=60,"Seniors"
)</f>
        <v>Middle-Aged</v>
      </c>
      <c r="O763" s="9" t="s">
        <v>20</v>
      </c>
      <c r="P763" s="9">
        <f t="shared" si="22"/>
        <v>0</v>
      </c>
      <c r="Q763" s="9">
        <v>1</v>
      </c>
      <c r="R763" s="10">
        <f t="shared" si="23"/>
        <v>0</v>
      </c>
    </row>
    <row r="764" spans="1:18" x14ac:dyDescent="0.3">
      <c r="A764" s="9">
        <v>20657</v>
      </c>
      <c r="B764" s="9" t="s">
        <v>40</v>
      </c>
      <c r="C764" s="9" t="s">
        <v>39</v>
      </c>
      <c r="D764" s="10">
        <v>50000</v>
      </c>
      <c r="E764" s="9" t="str" cm="1">
        <f t="array" ref="E764">_xlfn.IFS(D764&lt;= 60000, "Low Income",
D764&lt;=120000,"Medium Income",
D764&gt; 120000,"High Income"
)</f>
        <v>Low Income</v>
      </c>
      <c r="F764" s="9">
        <v>2</v>
      </c>
      <c r="G764" s="9" t="s">
        <v>15</v>
      </c>
      <c r="H764" s="9" t="s">
        <v>16</v>
      </c>
      <c r="I764" s="9" t="s">
        <v>17</v>
      </c>
      <c r="J764" s="9">
        <v>0</v>
      </c>
      <c r="K764" s="9" t="s">
        <v>24</v>
      </c>
      <c r="L764" s="9" t="s">
        <v>35</v>
      </c>
      <c r="M764" s="9">
        <v>37</v>
      </c>
      <c r="N764" s="9" t="str" cm="1">
        <f t="array" ref="N764">_xlfn.IFS(
M764&lt;=12,"Children",
M764&lt;=19,"Teens",
M764&lt;=29,"Young Adults",
M764&lt;=39,"Adults",
M764&lt;=59,"Middle-Aged",
M764&gt;=60,"Seniors"
)</f>
        <v>Adults</v>
      </c>
      <c r="O764" s="9" t="s">
        <v>17</v>
      </c>
      <c r="P764" s="9">
        <f t="shared" si="22"/>
        <v>1</v>
      </c>
      <c r="Q764" s="9">
        <v>1</v>
      </c>
      <c r="R764" s="10">
        <f t="shared" si="23"/>
        <v>50000</v>
      </c>
    </row>
    <row r="765" spans="1:18" x14ac:dyDescent="0.3">
      <c r="A765" s="9">
        <v>12882</v>
      </c>
      <c r="B765" s="9" t="s">
        <v>37</v>
      </c>
      <c r="C765" s="9" t="s">
        <v>39</v>
      </c>
      <c r="D765" s="10">
        <v>50000</v>
      </c>
      <c r="E765" s="9" t="str" cm="1">
        <f t="array" ref="E765">_xlfn.IFS(D765&lt;= 60000, "Low Income",
D765&lt;=120000,"Medium Income",
D765&gt; 120000,"High Income"
)</f>
        <v>Low Income</v>
      </c>
      <c r="F765" s="9">
        <v>1</v>
      </c>
      <c r="G765" s="9" t="s">
        <v>34</v>
      </c>
      <c r="H765" s="9" t="s">
        <v>16</v>
      </c>
      <c r="I765" s="9" t="s">
        <v>17</v>
      </c>
      <c r="J765" s="9">
        <v>0</v>
      </c>
      <c r="K765" s="9" t="s">
        <v>18</v>
      </c>
      <c r="L765" s="9" t="s">
        <v>35</v>
      </c>
      <c r="M765" s="9">
        <v>33</v>
      </c>
      <c r="N765" s="9" t="str" cm="1">
        <f t="array" ref="N765">_xlfn.IFS(
M765&lt;=12,"Children",
M765&lt;=19,"Teens",
M765&lt;=29,"Young Adults",
M765&lt;=39,"Adults",
M765&lt;=59,"Middle-Aged",
M765&gt;=60,"Seniors"
)</f>
        <v>Adults</v>
      </c>
      <c r="O765" s="9" t="s">
        <v>17</v>
      </c>
      <c r="P765" s="9">
        <f t="shared" si="22"/>
        <v>1</v>
      </c>
      <c r="Q765" s="9">
        <v>1</v>
      </c>
      <c r="R765" s="10">
        <f t="shared" si="23"/>
        <v>50000</v>
      </c>
    </row>
    <row r="766" spans="1:18" x14ac:dyDescent="0.3">
      <c r="A766" s="9">
        <v>25908</v>
      </c>
      <c r="B766" s="9" t="s">
        <v>37</v>
      </c>
      <c r="C766" s="9" t="s">
        <v>38</v>
      </c>
      <c r="D766" s="10">
        <v>60000</v>
      </c>
      <c r="E766" s="9" t="str" cm="1">
        <f t="array" ref="E766">_xlfn.IFS(D766&lt;= 60000, "Low Income",
D766&lt;=120000,"Medium Income",
D766&gt; 120000,"High Income"
)</f>
        <v>Low Income</v>
      </c>
      <c r="F766" s="9">
        <v>0</v>
      </c>
      <c r="G766" s="9" t="s">
        <v>21</v>
      </c>
      <c r="H766" s="9" t="s">
        <v>16</v>
      </c>
      <c r="I766" s="9" t="s">
        <v>20</v>
      </c>
      <c r="J766" s="9">
        <v>1</v>
      </c>
      <c r="K766" s="9" t="s">
        <v>29</v>
      </c>
      <c r="L766" s="9" t="s">
        <v>35</v>
      </c>
      <c r="M766" s="9">
        <v>27</v>
      </c>
      <c r="N766" s="9" t="str" cm="1">
        <f t="array" ref="N766">_xlfn.IFS(
M766&lt;=12,"Children",
M766&lt;=19,"Teens",
M766&lt;=29,"Young Adults",
M766&lt;=39,"Adults",
M766&lt;=59,"Middle-Aged",
M766&gt;=60,"Seniors"
)</f>
        <v>Young Adults</v>
      </c>
      <c r="O766" s="9" t="s">
        <v>20</v>
      </c>
      <c r="P766" s="9">
        <f t="shared" si="22"/>
        <v>0</v>
      </c>
      <c r="Q766" s="9">
        <v>1</v>
      </c>
      <c r="R766" s="10">
        <f t="shared" si="23"/>
        <v>0</v>
      </c>
    </row>
    <row r="767" spans="1:18" x14ac:dyDescent="0.3">
      <c r="A767" s="9">
        <v>16753</v>
      </c>
      <c r="B767" s="9" t="s">
        <v>40</v>
      </c>
      <c r="C767" s="9" t="s">
        <v>38</v>
      </c>
      <c r="D767" s="10">
        <v>70000</v>
      </c>
      <c r="E767" s="9" t="str" cm="1">
        <f t="array" ref="E767">_xlfn.IFS(D767&lt;= 60000, "Low Income",
D767&lt;=120000,"Medium Income",
D767&gt; 120000,"High Income"
)</f>
        <v>Medium Income</v>
      </c>
      <c r="F767" s="9">
        <v>0</v>
      </c>
      <c r="G767" s="9" t="s">
        <v>21</v>
      </c>
      <c r="H767" s="9" t="s">
        <v>16</v>
      </c>
      <c r="I767" s="9" t="s">
        <v>17</v>
      </c>
      <c r="J767" s="9">
        <v>2</v>
      </c>
      <c r="K767" s="9" t="s">
        <v>26</v>
      </c>
      <c r="L767" s="9" t="s">
        <v>35</v>
      </c>
      <c r="M767" s="9">
        <v>34</v>
      </c>
      <c r="N767" s="9" t="str" cm="1">
        <f t="array" ref="N767">_xlfn.IFS(
M767&lt;=12,"Children",
M767&lt;=19,"Teens",
M767&lt;=29,"Young Adults",
M767&lt;=39,"Adults",
M767&lt;=59,"Middle-Aged",
M767&gt;=60,"Seniors"
)</f>
        <v>Adults</v>
      </c>
      <c r="O767" s="9" t="s">
        <v>17</v>
      </c>
      <c r="P767" s="9">
        <f t="shared" si="22"/>
        <v>1</v>
      </c>
      <c r="Q767" s="9">
        <v>1</v>
      </c>
      <c r="R767" s="10">
        <f t="shared" si="23"/>
        <v>70000</v>
      </c>
    </row>
    <row r="768" spans="1:18" x14ac:dyDescent="0.3">
      <c r="A768" s="9">
        <v>14608</v>
      </c>
      <c r="B768" s="9" t="s">
        <v>37</v>
      </c>
      <c r="C768" s="9" t="s">
        <v>39</v>
      </c>
      <c r="D768" s="10">
        <v>50000</v>
      </c>
      <c r="E768" s="9" t="str" cm="1">
        <f t="array" ref="E768">_xlfn.IFS(D768&lt;= 60000, "Low Income",
D768&lt;=120000,"Medium Income",
D768&gt; 120000,"High Income"
)</f>
        <v>Low Income</v>
      </c>
      <c r="F768" s="9">
        <v>4</v>
      </c>
      <c r="G768" s="9" t="s">
        <v>15</v>
      </c>
      <c r="H768" s="9" t="s">
        <v>16</v>
      </c>
      <c r="I768" s="9" t="s">
        <v>17</v>
      </c>
      <c r="J768" s="9">
        <v>3</v>
      </c>
      <c r="K768" s="9" t="s">
        <v>41</v>
      </c>
      <c r="L768" s="9" t="s">
        <v>35</v>
      </c>
      <c r="M768" s="9">
        <v>42</v>
      </c>
      <c r="N768" s="9" t="str" cm="1">
        <f t="array" ref="N768">_xlfn.IFS(
M768&lt;=12,"Children",
M768&lt;=19,"Teens",
M768&lt;=29,"Young Adults",
M768&lt;=39,"Adults",
M768&lt;=59,"Middle-Aged",
M768&gt;=60,"Seniors"
)</f>
        <v>Middle-Aged</v>
      </c>
      <c r="O768" s="9" t="s">
        <v>20</v>
      </c>
      <c r="P768" s="9">
        <f t="shared" si="22"/>
        <v>0</v>
      </c>
      <c r="Q768" s="9">
        <v>1</v>
      </c>
      <c r="R768" s="10">
        <f t="shared" si="23"/>
        <v>0</v>
      </c>
    </row>
    <row r="769" spans="1:18" x14ac:dyDescent="0.3">
      <c r="A769" s="9">
        <v>24979</v>
      </c>
      <c r="B769" s="9" t="s">
        <v>37</v>
      </c>
      <c r="C769" s="9" t="s">
        <v>38</v>
      </c>
      <c r="D769" s="10">
        <v>60000</v>
      </c>
      <c r="E769" s="9" t="str" cm="1">
        <f t="array" ref="E769">_xlfn.IFS(D769&lt;= 60000, "Low Income",
D769&lt;=120000,"Medium Income",
D769&gt; 120000,"High Income"
)</f>
        <v>Low Income</v>
      </c>
      <c r="F769" s="9">
        <v>2</v>
      </c>
      <c r="G769" s="9" t="s">
        <v>21</v>
      </c>
      <c r="H769" s="9" t="s">
        <v>23</v>
      </c>
      <c r="I769" s="9" t="s">
        <v>17</v>
      </c>
      <c r="J769" s="9">
        <v>2</v>
      </c>
      <c r="K769" s="9" t="s">
        <v>24</v>
      </c>
      <c r="L769" s="9" t="s">
        <v>35</v>
      </c>
      <c r="M769" s="9">
        <v>57</v>
      </c>
      <c r="N769" s="9" t="str" cm="1">
        <f t="array" ref="N769">_xlfn.IFS(
M769&lt;=12,"Children",
M769&lt;=19,"Teens",
M769&lt;=29,"Young Adults",
M769&lt;=39,"Adults",
M769&lt;=59,"Middle-Aged",
M769&gt;=60,"Seniors"
)</f>
        <v>Middle-Aged</v>
      </c>
      <c r="O769" s="9" t="s">
        <v>17</v>
      </c>
      <c r="P769" s="9">
        <f t="shared" si="22"/>
        <v>1</v>
      </c>
      <c r="Q769" s="9">
        <v>1</v>
      </c>
      <c r="R769" s="10">
        <f t="shared" si="23"/>
        <v>60000</v>
      </c>
    </row>
    <row r="770" spans="1:18" x14ac:dyDescent="0.3">
      <c r="A770" s="9">
        <v>13313</v>
      </c>
      <c r="B770" s="9" t="s">
        <v>37</v>
      </c>
      <c r="C770" s="9" t="s">
        <v>38</v>
      </c>
      <c r="D770" s="10">
        <v>120000</v>
      </c>
      <c r="E770" s="9" t="str" cm="1">
        <f t="array" ref="E770">_xlfn.IFS(D770&lt;= 60000, "Low Income",
D770&lt;=120000,"Medium Income",
D770&gt; 120000,"High Income"
)</f>
        <v>Medium Income</v>
      </c>
      <c r="F770" s="9">
        <v>1</v>
      </c>
      <c r="G770" s="9" t="s">
        <v>30</v>
      </c>
      <c r="H770" s="9" t="s">
        <v>23</v>
      </c>
      <c r="I770" s="9" t="s">
        <v>20</v>
      </c>
      <c r="J770" s="9">
        <v>4</v>
      </c>
      <c r="K770" s="9" t="s">
        <v>24</v>
      </c>
      <c r="L770" s="9" t="s">
        <v>35</v>
      </c>
      <c r="M770" s="9">
        <v>45</v>
      </c>
      <c r="N770" s="9" t="str" cm="1">
        <f t="array" ref="N770">_xlfn.IFS(
M770&lt;=12,"Children",
M770&lt;=19,"Teens",
M770&lt;=29,"Young Adults",
M770&lt;=39,"Adults",
M770&lt;=59,"Middle-Aged",
M770&gt;=60,"Seniors"
)</f>
        <v>Middle-Aged</v>
      </c>
      <c r="O770" s="9" t="s">
        <v>20</v>
      </c>
      <c r="P770" s="9">
        <f t="shared" si="22"/>
        <v>0</v>
      </c>
      <c r="Q770" s="9">
        <v>1</v>
      </c>
      <c r="R770" s="10">
        <f t="shared" si="23"/>
        <v>0</v>
      </c>
    </row>
    <row r="771" spans="1:18" x14ac:dyDescent="0.3">
      <c r="A771" s="9">
        <v>18952</v>
      </c>
      <c r="B771" s="9" t="s">
        <v>37</v>
      </c>
      <c r="C771" s="9" t="s">
        <v>38</v>
      </c>
      <c r="D771" s="10">
        <v>100000</v>
      </c>
      <c r="E771" s="9" t="str" cm="1">
        <f t="array" ref="E771">_xlfn.IFS(D771&lt;= 60000, "Low Income",
D771&lt;=120000,"Medium Income",
D771&gt; 120000,"High Income"
)</f>
        <v>Medium Income</v>
      </c>
      <c r="F771" s="9">
        <v>4</v>
      </c>
      <c r="G771" s="9" t="s">
        <v>15</v>
      </c>
      <c r="H771" s="9" t="s">
        <v>31</v>
      </c>
      <c r="I771" s="9" t="s">
        <v>17</v>
      </c>
      <c r="J771" s="9">
        <v>4</v>
      </c>
      <c r="K771" s="9" t="s">
        <v>18</v>
      </c>
      <c r="L771" s="9" t="s">
        <v>35</v>
      </c>
      <c r="M771" s="9">
        <v>40</v>
      </c>
      <c r="N771" s="9" t="str" cm="1">
        <f t="array" ref="N771">_xlfn.IFS(
M771&lt;=12,"Children",
M771&lt;=19,"Teens",
M771&lt;=29,"Young Adults",
M771&lt;=39,"Adults",
M771&lt;=59,"Middle-Aged",
M771&gt;=60,"Seniors"
)</f>
        <v>Middle-Aged</v>
      </c>
      <c r="O771" s="9" t="s">
        <v>20</v>
      </c>
      <c r="P771" s="9">
        <f t="shared" ref="P771:P834" si="24">IF(O771="No", 0, 1)</f>
        <v>0</v>
      </c>
      <c r="Q771" s="9">
        <v>1</v>
      </c>
      <c r="R771" s="10">
        <f t="shared" ref="R771:R834" si="25">IF(P771=1, D771, 0)</f>
        <v>0</v>
      </c>
    </row>
    <row r="772" spans="1:18" x14ac:dyDescent="0.3">
      <c r="A772" s="9">
        <v>17699</v>
      </c>
      <c r="B772" s="9" t="s">
        <v>37</v>
      </c>
      <c r="C772" s="9" t="s">
        <v>39</v>
      </c>
      <c r="D772" s="10">
        <v>60000</v>
      </c>
      <c r="E772" s="9" t="str" cm="1">
        <f t="array" ref="E772">_xlfn.IFS(D772&lt;= 60000, "Low Income",
D772&lt;=120000,"Medium Income",
D772&gt; 120000,"High Income"
)</f>
        <v>Low Income</v>
      </c>
      <c r="F772" s="9">
        <v>1</v>
      </c>
      <c r="G772" s="9" t="s">
        <v>34</v>
      </c>
      <c r="H772" s="9" t="s">
        <v>16</v>
      </c>
      <c r="I772" s="9" t="s">
        <v>20</v>
      </c>
      <c r="J772" s="9">
        <v>0</v>
      </c>
      <c r="K772" s="9" t="s">
        <v>18</v>
      </c>
      <c r="L772" s="9" t="s">
        <v>35</v>
      </c>
      <c r="M772" s="9">
        <v>55</v>
      </c>
      <c r="N772" s="9" t="str" cm="1">
        <f t="array" ref="N772">_xlfn.IFS(
M772&lt;=12,"Children",
M772&lt;=19,"Teens",
M772&lt;=29,"Young Adults",
M772&lt;=39,"Adults",
M772&lt;=59,"Middle-Aged",
M772&gt;=60,"Seniors"
)</f>
        <v>Middle-Aged</v>
      </c>
      <c r="O772" s="9" t="s">
        <v>20</v>
      </c>
      <c r="P772" s="9">
        <f t="shared" si="24"/>
        <v>0</v>
      </c>
      <c r="Q772" s="9">
        <v>1</v>
      </c>
      <c r="R772" s="10">
        <f t="shared" si="25"/>
        <v>0</v>
      </c>
    </row>
    <row r="773" spans="1:18" x14ac:dyDescent="0.3">
      <c r="A773" s="9">
        <v>14657</v>
      </c>
      <c r="B773" s="9" t="s">
        <v>37</v>
      </c>
      <c r="C773" s="9" t="s">
        <v>39</v>
      </c>
      <c r="D773" s="10">
        <v>80000</v>
      </c>
      <c r="E773" s="9" t="str" cm="1">
        <f t="array" ref="E773">_xlfn.IFS(D773&lt;= 60000, "Low Income",
D773&lt;=120000,"Medium Income",
D773&gt; 120000,"High Income"
)</f>
        <v>Medium Income</v>
      </c>
      <c r="F773" s="9">
        <v>1</v>
      </c>
      <c r="G773" s="9" t="s">
        <v>21</v>
      </c>
      <c r="H773" s="9" t="s">
        <v>16</v>
      </c>
      <c r="I773" s="9" t="s">
        <v>20</v>
      </c>
      <c r="J773" s="9">
        <v>1</v>
      </c>
      <c r="K773" s="9" t="s">
        <v>18</v>
      </c>
      <c r="L773" s="9" t="s">
        <v>35</v>
      </c>
      <c r="M773" s="9">
        <v>47</v>
      </c>
      <c r="N773" s="9" t="str" cm="1">
        <f t="array" ref="N773">_xlfn.IFS(
M773&lt;=12,"Children",
M773&lt;=19,"Teens",
M773&lt;=29,"Young Adults",
M773&lt;=39,"Adults",
M773&lt;=59,"Middle-Aged",
M773&gt;=60,"Seniors"
)</f>
        <v>Middle-Aged</v>
      </c>
      <c r="O773" s="9" t="s">
        <v>17</v>
      </c>
      <c r="P773" s="9">
        <f t="shared" si="24"/>
        <v>1</v>
      </c>
      <c r="Q773" s="9">
        <v>1</v>
      </c>
      <c r="R773" s="10">
        <f t="shared" si="25"/>
        <v>80000</v>
      </c>
    </row>
    <row r="774" spans="1:18" x14ac:dyDescent="0.3">
      <c r="A774" s="9">
        <v>11540</v>
      </c>
      <c r="B774" s="9" t="s">
        <v>40</v>
      </c>
      <c r="C774" s="9" t="s">
        <v>39</v>
      </c>
      <c r="D774" s="10">
        <v>60000</v>
      </c>
      <c r="E774" s="9" t="str" cm="1">
        <f t="array" ref="E774">_xlfn.IFS(D774&lt;= 60000, "Low Income",
D774&lt;=120000,"Medium Income",
D774&gt; 120000,"High Income"
)</f>
        <v>Low Income</v>
      </c>
      <c r="F774" s="9">
        <v>4</v>
      </c>
      <c r="G774" s="9" t="s">
        <v>34</v>
      </c>
      <c r="H774" s="9" t="s">
        <v>16</v>
      </c>
      <c r="I774" s="9" t="s">
        <v>17</v>
      </c>
      <c r="J774" s="9">
        <v>0</v>
      </c>
      <c r="K774" s="9" t="s">
        <v>29</v>
      </c>
      <c r="L774" s="9" t="s">
        <v>35</v>
      </c>
      <c r="M774" s="9">
        <v>47</v>
      </c>
      <c r="N774" s="9" t="str" cm="1">
        <f t="array" ref="N774">_xlfn.IFS(
M774&lt;=12,"Children",
M774&lt;=19,"Teens",
M774&lt;=29,"Young Adults",
M774&lt;=39,"Adults",
M774&lt;=59,"Middle-Aged",
M774&gt;=60,"Seniors"
)</f>
        <v>Middle-Aged</v>
      </c>
      <c r="O774" s="9" t="s">
        <v>17</v>
      </c>
      <c r="P774" s="9">
        <f t="shared" si="24"/>
        <v>1</v>
      </c>
      <c r="Q774" s="9">
        <v>1</v>
      </c>
      <c r="R774" s="10">
        <f t="shared" si="25"/>
        <v>60000</v>
      </c>
    </row>
    <row r="775" spans="1:18" x14ac:dyDescent="0.3">
      <c r="A775" s="9">
        <v>11783</v>
      </c>
      <c r="B775" s="9" t="s">
        <v>37</v>
      </c>
      <c r="C775" s="9" t="s">
        <v>38</v>
      </c>
      <c r="D775" s="10">
        <v>60000</v>
      </c>
      <c r="E775" s="9" t="str" cm="1">
        <f t="array" ref="E775">_xlfn.IFS(D775&lt;= 60000, "Low Income",
D775&lt;=120000,"Medium Income",
D775&gt; 120000,"High Income"
)</f>
        <v>Low Income</v>
      </c>
      <c r="F775" s="9">
        <v>1</v>
      </c>
      <c r="G775" s="9" t="s">
        <v>34</v>
      </c>
      <c r="H775" s="9" t="s">
        <v>16</v>
      </c>
      <c r="I775" s="9" t="s">
        <v>17</v>
      </c>
      <c r="J775" s="9">
        <v>0</v>
      </c>
      <c r="K775" s="9" t="s">
        <v>18</v>
      </c>
      <c r="L775" s="9" t="s">
        <v>35</v>
      </c>
      <c r="M775" s="9">
        <v>34</v>
      </c>
      <c r="N775" s="9" t="str" cm="1">
        <f t="array" ref="N775">_xlfn.IFS(
M775&lt;=12,"Children",
M775&lt;=19,"Teens",
M775&lt;=29,"Young Adults",
M775&lt;=39,"Adults",
M775&lt;=59,"Middle-Aged",
M775&gt;=60,"Seniors"
)</f>
        <v>Adults</v>
      </c>
      <c r="O775" s="9" t="s">
        <v>20</v>
      </c>
      <c r="P775" s="9">
        <f t="shared" si="24"/>
        <v>0</v>
      </c>
      <c r="Q775" s="9">
        <v>1</v>
      </c>
      <c r="R775" s="10">
        <f t="shared" si="25"/>
        <v>0</v>
      </c>
    </row>
    <row r="776" spans="1:18" x14ac:dyDescent="0.3">
      <c r="A776" s="9">
        <v>14602</v>
      </c>
      <c r="B776" s="9" t="s">
        <v>37</v>
      </c>
      <c r="C776" s="9" t="s">
        <v>38</v>
      </c>
      <c r="D776" s="10">
        <v>80000</v>
      </c>
      <c r="E776" s="9" t="str" cm="1">
        <f t="array" ref="E776">_xlfn.IFS(D776&lt;= 60000, "Low Income",
D776&lt;=120000,"Medium Income",
D776&gt; 120000,"High Income"
)</f>
        <v>Medium Income</v>
      </c>
      <c r="F776" s="9">
        <v>3</v>
      </c>
      <c r="G776" s="9" t="s">
        <v>34</v>
      </c>
      <c r="H776" s="9" t="s">
        <v>23</v>
      </c>
      <c r="I776" s="9" t="s">
        <v>17</v>
      </c>
      <c r="J776" s="9">
        <v>0</v>
      </c>
      <c r="K776" s="9" t="s">
        <v>18</v>
      </c>
      <c r="L776" s="9" t="s">
        <v>35</v>
      </c>
      <c r="M776" s="9">
        <v>36</v>
      </c>
      <c r="N776" s="9" t="str" cm="1">
        <f t="array" ref="N776">_xlfn.IFS(
M776&lt;=12,"Children",
M776&lt;=19,"Teens",
M776&lt;=29,"Young Adults",
M776&lt;=39,"Adults",
M776&lt;=59,"Middle-Aged",
M776&gt;=60,"Seniors"
)</f>
        <v>Adults</v>
      </c>
      <c r="O776" s="9" t="s">
        <v>17</v>
      </c>
      <c r="P776" s="9">
        <f t="shared" si="24"/>
        <v>1</v>
      </c>
      <c r="Q776" s="9">
        <v>1</v>
      </c>
      <c r="R776" s="10">
        <f t="shared" si="25"/>
        <v>80000</v>
      </c>
    </row>
    <row r="777" spans="1:18" x14ac:dyDescent="0.3">
      <c r="A777" s="9">
        <v>29030</v>
      </c>
      <c r="B777" s="9" t="s">
        <v>37</v>
      </c>
      <c r="C777" s="9" t="s">
        <v>39</v>
      </c>
      <c r="D777" s="10">
        <v>70000</v>
      </c>
      <c r="E777" s="9" t="str" cm="1">
        <f t="array" ref="E777">_xlfn.IFS(D777&lt;= 60000, "Low Income",
D777&lt;=120000,"Medium Income",
D777&gt; 120000,"High Income"
)</f>
        <v>Medium Income</v>
      </c>
      <c r="F777" s="9">
        <v>2</v>
      </c>
      <c r="G777" s="9" t="s">
        <v>32</v>
      </c>
      <c r="H777" s="9" t="s">
        <v>16</v>
      </c>
      <c r="I777" s="9" t="s">
        <v>17</v>
      </c>
      <c r="J777" s="9">
        <v>2</v>
      </c>
      <c r="K777" s="9" t="s">
        <v>41</v>
      </c>
      <c r="L777" s="9" t="s">
        <v>35</v>
      </c>
      <c r="M777" s="9">
        <v>54</v>
      </c>
      <c r="N777" s="9" t="str" cm="1">
        <f t="array" ref="N777">_xlfn.IFS(
M777&lt;=12,"Children",
M777&lt;=19,"Teens",
M777&lt;=29,"Young Adults",
M777&lt;=39,"Adults",
M777&lt;=59,"Middle-Aged",
M777&gt;=60,"Seniors"
)</f>
        <v>Middle-Aged</v>
      </c>
      <c r="O777" s="9" t="s">
        <v>20</v>
      </c>
      <c r="P777" s="9">
        <f t="shared" si="24"/>
        <v>0</v>
      </c>
      <c r="Q777" s="9">
        <v>1</v>
      </c>
      <c r="R777" s="10">
        <f t="shared" si="25"/>
        <v>0</v>
      </c>
    </row>
    <row r="778" spans="1:18" x14ac:dyDescent="0.3">
      <c r="A778" s="9">
        <v>26490</v>
      </c>
      <c r="B778" s="9" t="s">
        <v>40</v>
      </c>
      <c r="C778" s="9" t="s">
        <v>39</v>
      </c>
      <c r="D778" s="10">
        <v>70000</v>
      </c>
      <c r="E778" s="9" t="str" cm="1">
        <f t="array" ref="E778">_xlfn.IFS(D778&lt;= 60000, "Low Income",
D778&lt;=120000,"Medium Income",
D778&gt; 120000,"High Income"
)</f>
        <v>Medium Income</v>
      </c>
      <c r="F778" s="9">
        <v>2</v>
      </c>
      <c r="G778" s="9" t="s">
        <v>15</v>
      </c>
      <c r="H778" s="9" t="s">
        <v>31</v>
      </c>
      <c r="I778" s="9" t="s">
        <v>20</v>
      </c>
      <c r="J778" s="9">
        <v>1</v>
      </c>
      <c r="K778" s="9" t="s">
        <v>24</v>
      </c>
      <c r="L778" s="9" t="s">
        <v>35</v>
      </c>
      <c r="M778" s="9">
        <v>59</v>
      </c>
      <c r="N778" s="9" t="str" cm="1">
        <f t="array" ref="N778">_xlfn.IFS(
M778&lt;=12,"Children",
M778&lt;=19,"Teens",
M778&lt;=29,"Young Adults",
M778&lt;=39,"Adults",
M778&lt;=59,"Middle-Aged",
M778&gt;=60,"Seniors"
)</f>
        <v>Middle-Aged</v>
      </c>
      <c r="O778" s="9" t="s">
        <v>17</v>
      </c>
      <c r="P778" s="9">
        <f t="shared" si="24"/>
        <v>1</v>
      </c>
      <c r="Q778" s="9">
        <v>1</v>
      </c>
      <c r="R778" s="10">
        <f t="shared" si="25"/>
        <v>70000</v>
      </c>
    </row>
    <row r="779" spans="1:18" x14ac:dyDescent="0.3">
      <c r="A779" s="9">
        <v>13151</v>
      </c>
      <c r="B779" s="9" t="s">
        <v>40</v>
      </c>
      <c r="C779" s="9" t="s">
        <v>39</v>
      </c>
      <c r="D779" s="10">
        <v>40000</v>
      </c>
      <c r="E779" s="9" t="str" cm="1">
        <f t="array" ref="E779">_xlfn.IFS(D779&lt;= 60000, "Low Income",
D779&lt;=120000,"Medium Income",
D779&gt; 120000,"High Income"
)</f>
        <v>Low Income</v>
      </c>
      <c r="F779" s="9">
        <v>0</v>
      </c>
      <c r="G779" s="9" t="s">
        <v>30</v>
      </c>
      <c r="H779" s="9" t="s">
        <v>16</v>
      </c>
      <c r="I779" s="9" t="s">
        <v>17</v>
      </c>
      <c r="J779" s="9">
        <v>2</v>
      </c>
      <c r="K779" s="9" t="s">
        <v>26</v>
      </c>
      <c r="L779" s="9" t="s">
        <v>35</v>
      </c>
      <c r="M779" s="9">
        <v>27</v>
      </c>
      <c r="N779" s="9" t="str" cm="1">
        <f t="array" ref="N779">_xlfn.IFS(
M779&lt;=12,"Children",
M779&lt;=19,"Teens",
M779&lt;=29,"Young Adults",
M779&lt;=39,"Adults",
M779&lt;=59,"Middle-Aged",
M779&gt;=60,"Seniors"
)</f>
        <v>Young Adults</v>
      </c>
      <c r="O779" s="9" t="s">
        <v>20</v>
      </c>
      <c r="P779" s="9">
        <f t="shared" si="24"/>
        <v>0</v>
      </c>
      <c r="Q779" s="9">
        <v>1</v>
      </c>
      <c r="R779" s="10">
        <f t="shared" si="25"/>
        <v>0</v>
      </c>
    </row>
    <row r="780" spans="1:18" x14ac:dyDescent="0.3">
      <c r="A780" s="9">
        <v>17260</v>
      </c>
      <c r="B780" s="9" t="s">
        <v>37</v>
      </c>
      <c r="C780" s="9" t="s">
        <v>39</v>
      </c>
      <c r="D780" s="10">
        <v>90000</v>
      </c>
      <c r="E780" s="9" t="str" cm="1">
        <f t="array" ref="E780">_xlfn.IFS(D780&lt;= 60000, "Low Income",
D780&lt;=120000,"Medium Income",
D780&gt; 120000,"High Income"
)</f>
        <v>Medium Income</v>
      </c>
      <c r="F780" s="9">
        <v>5</v>
      </c>
      <c r="G780" s="9" t="s">
        <v>21</v>
      </c>
      <c r="H780" s="9" t="s">
        <v>23</v>
      </c>
      <c r="I780" s="9" t="s">
        <v>17</v>
      </c>
      <c r="J780" s="9">
        <v>3</v>
      </c>
      <c r="K780" s="9" t="s">
        <v>18</v>
      </c>
      <c r="L780" s="9" t="s">
        <v>35</v>
      </c>
      <c r="M780" s="9">
        <v>41</v>
      </c>
      <c r="N780" s="9" t="str" cm="1">
        <f t="array" ref="N780">_xlfn.IFS(
M780&lt;=12,"Children",
M780&lt;=19,"Teens",
M780&lt;=29,"Young Adults",
M780&lt;=39,"Adults",
M780&lt;=59,"Middle-Aged",
M780&gt;=60,"Seniors"
)</f>
        <v>Middle-Aged</v>
      </c>
      <c r="O780" s="9" t="s">
        <v>20</v>
      </c>
      <c r="P780" s="9">
        <f t="shared" si="24"/>
        <v>0</v>
      </c>
      <c r="Q780" s="9">
        <v>1</v>
      </c>
      <c r="R780" s="10">
        <f t="shared" si="25"/>
        <v>0</v>
      </c>
    </row>
    <row r="781" spans="1:18" x14ac:dyDescent="0.3">
      <c r="A781" s="9">
        <v>15372</v>
      </c>
      <c r="B781" s="9" t="s">
        <v>37</v>
      </c>
      <c r="C781" s="9" t="s">
        <v>39</v>
      </c>
      <c r="D781" s="10">
        <v>80000</v>
      </c>
      <c r="E781" s="9" t="str" cm="1">
        <f t="array" ref="E781">_xlfn.IFS(D781&lt;= 60000, "Low Income",
D781&lt;=120000,"Medium Income",
D781&gt; 120000,"High Income"
)</f>
        <v>Medium Income</v>
      </c>
      <c r="F781" s="9">
        <v>3</v>
      </c>
      <c r="G781" s="9" t="s">
        <v>21</v>
      </c>
      <c r="H781" s="9" t="s">
        <v>23</v>
      </c>
      <c r="I781" s="9" t="s">
        <v>20</v>
      </c>
      <c r="J781" s="9">
        <v>2</v>
      </c>
      <c r="K781" s="9" t="s">
        <v>24</v>
      </c>
      <c r="L781" s="9" t="s">
        <v>35</v>
      </c>
      <c r="M781" s="9">
        <v>50</v>
      </c>
      <c r="N781" s="9" t="str" cm="1">
        <f t="array" ref="N781">_xlfn.IFS(
M781&lt;=12,"Children",
M781&lt;=19,"Teens",
M781&lt;=29,"Young Adults",
M781&lt;=39,"Adults",
M781&lt;=59,"Middle-Aged",
M781&gt;=60,"Seniors"
)</f>
        <v>Middle-Aged</v>
      </c>
      <c r="O781" s="9" t="s">
        <v>17</v>
      </c>
      <c r="P781" s="9">
        <f t="shared" si="24"/>
        <v>1</v>
      </c>
      <c r="Q781" s="9">
        <v>1</v>
      </c>
      <c r="R781" s="10">
        <f t="shared" si="25"/>
        <v>80000</v>
      </c>
    </row>
    <row r="782" spans="1:18" x14ac:dyDescent="0.3">
      <c r="A782" s="9">
        <v>18105</v>
      </c>
      <c r="B782" s="9" t="s">
        <v>37</v>
      </c>
      <c r="C782" s="9" t="s">
        <v>38</v>
      </c>
      <c r="D782" s="10">
        <v>60000</v>
      </c>
      <c r="E782" s="9" t="str" cm="1">
        <f t="array" ref="E782">_xlfn.IFS(D782&lt;= 60000, "Low Income",
D782&lt;=120000,"Medium Income",
D782&gt; 120000,"High Income"
)</f>
        <v>Low Income</v>
      </c>
      <c r="F782" s="9">
        <v>2</v>
      </c>
      <c r="G782" s="9" t="s">
        <v>21</v>
      </c>
      <c r="H782" s="9" t="s">
        <v>23</v>
      </c>
      <c r="I782" s="9" t="s">
        <v>17</v>
      </c>
      <c r="J782" s="9">
        <v>1</v>
      </c>
      <c r="K782" s="9" t="s">
        <v>41</v>
      </c>
      <c r="L782" s="9" t="s">
        <v>35</v>
      </c>
      <c r="M782" s="9">
        <v>55</v>
      </c>
      <c r="N782" s="9" t="str" cm="1">
        <f t="array" ref="N782">_xlfn.IFS(
M782&lt;=12,"Children",
M782&lt;=19,"Teens",
M782&lt;=29,"Young Adults",
M782&lt;=39,"Adults",
M782&lt;=59,"Middle-Aged",
M782&gt;=60,"Seniors"
)</f>
        <v>Middle-Aged</v>
      </c>
      <c r="O782" s="9" t="s">
        <v>20</v>
      </c>
      <c r="P782" s="9">
        <f t="shared" si="24"/>
        <v>0</v>
      </c>
      <c r="Q782" s="9">
        <v>1</v>
      </c>
      <c r="R782" s="10">
        <f t="shared" si="25"/>
        <v>0</v>
      </c>
    </row>
    <row r="783" spans="1:18" x14ac:dyDescent="0.3">
      <c r="A783" s="9">
        <v>19660</v>
      </c>
      <c r="B783" s="9" t="s">
        <v>37</v>
      </c>
      <c r="C783" s="9" t="s">
        <v>39</v>
      </c>
      <c r="D783" s="10">
        <v>80000</v>
      </c>
      <c r="E783" s="9" t="str" cm="1">
        <f t="array" ref="E783">_xlfn.IFS(D783&lt;= 60000, "Low Income",
D783&lt;=120000,"Medium Income",
D783&gt; 120000,"High Income"
)</f>
        <v>Medium Income</v>
      </c>
      <c r="F783" s="9">
        <v>4</v>
      </c>
      <c r="G783" s="9" t="s">
        <v>15</v>
      </c>
      <c r="H783" s="9" t="s">
        <v>31</v>
      </c>
      <c r="I783" s="9" t="s">
        <v>17</v>
      </c>
      <c r="J783" s="9">
        <v>0</v>
      </c>
      <c r="K783" s="9" t="s">
        <v>18</v>
      </c>
      <c r="L783" s="9" t="s">
        <v>35</v>
      </c>
      <c r="M783" s="9">
        <v>43</v>
      </c>
      <c r="N783" s="9" t="str" cm="1">
        <f t="array" ref="N783">_xlfn.IFS(
M783&lt;=12,"Children",
M783&lt;=19,"Teens",
M783&lt;=29,"Young Adults",
M783&lt;=39,"Adults",
M783&lt;=59,"Middle-Aged",
M783&gt;=60,"Seniors"
)</f>
        <v>Middle-Aged</v>
      </c>
      <c r="O783" s="9" t="s">
        <v>20</v>
      </c>
      <c r="P783" s="9">
        <f t="shared" si="24"/>
        <v>0</v>
      </c>
      <c r="Q783" s="9">
        <v>1</v>
      </c>
      <c r="R783" s="10">
        <f t="shared" si="25"/>
        <v>0</v>
      </c>
    </row>
    <row r="784" spans="1:18" x14ac:dyDescent="0.3">
      <c r="A784" s="9">
        <v>16112</v>
      </c>
      <c r="B784" s="9" t="s">
        <v>40</v>
      </c>
      <c r="C784" s="9" t="s">
        <v>39</v>
      </c>
      <c r="D784" s="10">
        <v>70000</v>
      </c>
      <c r="E784" s="9" t="str" cm="1">
        <f t="array" ref="E784">_xlfn.IFS(D784&lt;= 60000, "Low Income",
D784&lt;=120000,"Medium Income",
D784&gt; 120000,"High Income"
)</f>
        <v>Medium Income</v>
      </c>
      <c r="F784" s="9">
        <v>4</v>
      </c>
      <c r="G784" s="9" t="s">
        <v>15</v>
      </c>
      <c r="H784" s="9" t="s">
        <v>23</v>
      </c>
      <c r="I784" s="9" t="s">
        <v>17</v>
      </c>
      <c r="J784" s="9">
        <v>2</v>
      </c>
      <c r="K784" s="9" t="s">
        <v>24</v>
      </c>
      <c r="L784" s="9" t="s">
        <v>35</v>
      </c>
      <c r="M784" s="9">
        <v>43</v>
      </c>
      <c r="N784" s="9" t="str" cm="1">
        <f t="array" ref="N784">_xlfn.IFS(
M784&lt;=12,"Children",
M784&lt;=19,"Teens",
M784&lt;=29,"Young Adults",
M784&lt;=39,"Adults",
M784&lt;=59,"Middle-Aged",
M784&gt;=60,"Seniors"
)</f>
        <v>Middle-Aged</v>
      </c>
      <c r="O784" s="9" t="s">
        <v>17</v>
      </c>
      <c r="P784" s="9">
        <f t="shared" si="24"/>
        <v>1</v>
      </c>
      <c r="Q784" s="9">
        <v>1</v>
      </c>
      <c r="R784" s="10">
        <f t="shared" si="25"/>
        <v>70000</v>
      </c>
    </row>
    <row r="785" spans="1:18" x14ac:dyDescent="0.3">
      <c r="A785" s="9">
        <v>20698</v>
      </c>
      <c r="B785" s="9" t="s">
        <v>37</v>
      </c>
      <c r="C785" s="9" t="s">
        <v>39</v>
      </c>
      <c r="D785" s="10">
        <v>60000</v>
      </c>
      <c r="E785" s="9" t="str" cm="1">
        <f t="array" ref="E785">_xlfn.IFS(D785&lt;= 60000, "Low Income",
D785&lt;=120000,"Medium Income",
D785&gt; 120000,"High Income"
)</f>
        <v>Low Income</v>
      </c>
      <c r="F785" s="9">
        <v>4</v>
      </c>
      <c r="G785" s="9" t="s">
        <v>15</v>
      </c>
      <c r="H785" s="9" t="s">
        <v>16</v>
      </c>
      <c r="I785" s="9" t="s">
        <v>17</v>
      </c>
      <c r="J785" s="9">
        <v>3</v>
      </c>
      <c r="K785" s="9" t="s">
        <v>26</v>
      </c>
      <c r="L785" s="9" t="s">
        <v>35</v>
      </c>
      <c r="M785" s="9">
        <v>42</v>
      </c>
      <c r="N785" s="9" t="str" cm="1">
        <f t="array" ref="N785">_xlfn.IFS(
M785&lt;=12,"Children",
M785&lt;=19,"Teens",
M785&lt;=29,"Young Adults",
M785&lt;=39,"Adults",
M785&lt;=59,"Middle-Aged",
M785&gt;=60,"Seniors"
)</f>
        <v>Middle-Aged</v>
      </c>
      <c r="O785" s="9" t="s">
        <v>20</v>
      </c>
      <c r="P785" s="9">
        <f t="shared" si="24"/>
        <v>0</v>
      </c>
      <c r="Q785" s="9">
        <v>1</v>
      </c>
      <c r="R785" s="10">
        <f t="shared" si="25"/>
        <v>0</v>
      </c>
    </row>
    <row r="786" spans="1:18" x14ac:dyDescent="0.3">
      <c r="A786" s="9">
        <v>20076</v>
      </c>
      <c r="B786" s="9" t="s">
        <v>40</v>
      </c>
      <c r="C786" s="9" t="s">
        <v>38</v>
      </c>
      <c r="D786" s="10">
        <v>10000</v>
      </c>
      <c r="E786" s="9" t="str" cm="1">
        <f t="array" ref="E786">_xlfn.IFS(D786&lt;= 60000, "Low Income",
D786&lt;=120000,"Medium Income",
D786&gt; 120000,"High Income"
)</f>
        <v>Low Income</v>
      </c>
      <c r="F786" s="9">
        <v>2</v>
      </c>
      <c r="G786" s="9" t="s">
        <v>30</v>
      </c>
      <c r="H786" s="9" t="s">
        <v>28</v>
      </c>
      <c r="I786" s="9" t="s">
        <v>17</v>
      </c>
      <c r="J786" s="9">
        <v>2</v>
      </c>
      <c r="K786" s="9" t="s">
        <v>29</v>
      </c>
      <c r="L786" s="9" t="s">
        <v>35</v>
      </c>
      <c r="M786" s="9">
        <v>53</v>
      </c>
      <c r="N786" s="9" t="str" cm="1">
        <f t="array" ref="N786">_xlfn.IFS(
M786&lt;=12,"Children",
M786&lt;=19,"Teens",
M786&lt;=29,"Young Adults",
M786&lt;=39,"Adults",
M786&lt;=59,"Middle-Aged",
M786&gt;=60,"Seniors"
)</f>
        <v>Middle-Aged</v>
      </c>
      <c r="O786" s="9" t="s">
        <v>17</v>
      </c>
      <c r="P786" s="9">
        <f t="shared" si="24"/>
        <v>1</v>
      </c>
      <c r="Q786" s="9">
        <v>1</v>
      </c>
      <c r="R786" s="10">
        <f t="shared" si="25"/>
        <v>10000</v>
      </c>
    </row>
    <row r="787" spans="1:18" x14ac:dyDescent="0.3">
      <c r="A787" s="9">
        <v>24496</v>
      </c>
      <c r="B787" s="9" t="s">
        <v>40</v>
      </c>
      <c r="C787" s="9" t="s">
        <v>38</v>
      </c>
      <c r="D787" s="10">
        <v>40000</v>
      </c>
      <c r="E787" s="9" t="str" cm="1">
        <f t="array" ref="E787">_xlfn.IFS(D787&lt;= 60000, "Low Income",
D787&lt;=120000,"Medium Income",
D787&gt; 120000,"High Income"
)</f>
        <v>Low Income</v>
      </c>
      <c r="F787" s="9">
        <v>0</v>
      </c>
      <c r="G787" s="9" t="s">
        <v>30</v>
      </c>
      <c r="H787" s="9" t="s">
        <v>16</v>
      </c>
      <c r="I787" s="9" t="s">
        <v>20</v>
      </c>
      <c r="J787" s="9">
        <v>2</v>
      </c>
      <c r="K787" s="9" t="s">
        <v>18</v>
      </c>
      <c r="L787" s="9" t="s">
        <v>35</v>
      </c>
      <c r="M787" s="9">
        <v>28</v>
      </c>
      <c r="N787" s="9" t="str" cm="1">
        <f t="array" ref="N787">_xlfn.IFS(
M787&lt;=12,"Children",
M787&lt;=19,"Teens",
M787&lt;=29,"Young Adults",
M787&lt;=39,"Adults",
M787&lt;=59,"Middle-Aged",
M787&gt;=60,"Seniors"
)</f>
        <v>Young Adults</v>
      </c>
      <c r="O787" s="9" t="s">
        <v>17</v>
      </c>
      <c r="P787" s="9">
        <f t="shared" si="24"/>
        <v>1</v>
      </c>
      <c r="Q787" s="9">
        <v>1</v>
      </c>
      <c r="R787" s="10">
        <f t="shared" si="25"/>
        <v>40000</v>
      </c>
    </row>
    <row r="788" spans="1:18" x14ac:dyDescent="0.3">
      <c r="A788" s="9">
        <v>15468</v>
      </c>
      <c r="B788" s="9" t="s">
        <v>37</v>
      </c>
      <c r="C788" s="9" t="s">
        <v>38</v>
      </c>
      <c r="D788" s="10">
        <v>50000</v>
      </c>
      <c r="E788" s="9" t="str" cm="1">
        <f t="array" ref="E788">_xlfn.IFS(D788&lt;= 60000, "Low Income",
D788&lt;=120000,"Medium Income",
D788&gt; 120000,"High Income"
)</f>
        <v>Low Income</v>
      </c>
      <c r="F788" s="9">
        <v>1</v>
      </c>
      <c r="G788" s="9" t="s">
        <v>15</v>
      </c>
      <c r="H788" s="9" t="s">
        <v>16</v>
      </c>
      <c r="I788" s="9" t="s">
        <v>17</v>
      </c>
      <c r="J788" s="9">
        <v>1</v>
      </c>
      <c r="K788" s="9" t="s">
        <v>18</v>
      </c>
      <c r="L788" s="9" t="s">
        <v>35</v>
      </c>
      <c r="M788" s="9">
        <v>35</v>
      </c>
      <c r="N788" s="9" t="str" cm="1">
        <f t="array" ref="N788">_xlfn.IFS(
M788&lt;=12,"Children",
M788&lt;=19,"Teens",
M788&lt;=29,"Young Adults",
M788&lt;=39,"Adults",
M788&lt;=59,"Middle-Aged",
M788&gt;=60,"Seniors"
)</f>
        <v>Adults</v>
      </c>
      <c r="O788" s="9" t="s">
        <v>20</v>
      </c>
      <c r="P788" s="9">
        <f t="shared" si="24"/>
        <v>0</v>
      </c>
      <c r="Q788" s="9">
        <v>1</v>
      </c>
      <c r="R788" s="10">
        <f t="shared" si="25"/>
        <v>0</v>
      </c>
    </row>
    <row r="789" spans="1:18" x14ac:dyDescent="0.3">
      <c r="A789" s="9">
        <v>28031</v>
      </c>
      <c r="B789" s="9" t="s">
        <v>40</v>
      </c>
      <c r="C789" s="9" t="s">
        <v>38</v>
      </c>
      <c r="D789" s="10">
        <v>70000</v>
      </c>
      <c r="E789" s="9" t="str" cm="1">
        <f t="array" ref="E789">_xlfn.IFS(D789&lt;= 60000, "Low Income",
D789&lt;=120000,"Medium Income",
D789&gt; 120000,"High Income"
)</f>
        <v>Medium Income</v>
      </c>
      <c r="F789" s="9">
        <v>2</v>
      </c>
      <c r="G789" s="9" t="s">
        <v>15</v>
      </c>
      <c r="H789" s="9" t="s">
        <v>31</v>
      </c>
      <c r="I789" s="9" t="s">
        <v>20</v>
      </c>
      <c r="J789" s="9">
        <v>1</v>
      </c>
      <c r="K789" s="9" t="s">
        <v>24</v>
      </c>
      <c r="L789" s="9" t="s">
        <v>35</v>
      </c>
      <c r="M789" s="9">
        <v>59</v>
      </c>
      <c r="N789" s="9" t="str" cm="1">
        <f t="array" ref="N789">_xlfn.IFS(
M789&lt;=12,"Children",
M789&lt;=19,"Teens",
M789&lt;=29,"Young Adults",
M789&lt;=39,"Adults",
M789&lt;=59,"Middle-Aged",
M789&gt;=60,"Seniors"
)</f>
        <v>Middle-Aged</v>
      </c>
      <c r="O789" s="9" t="s">
        <v>17</v>
      </c>
      <c r="P789" s="9">
        <f t="shared" si="24"/>
        <v>1</v>
      </c>
      <c r="Q789" s="9">
        <v>1</v>
      </c>
      <c r="R789" s="10">
        <f t="shared" si="25"/>
        <v>70000</v>
      </c>
    </row>
    <row r="790" spans="1:18" x14ac:dyDescent="0.3">
      <c r="A790" s="9">
        <v>26270</v>
      </c>
      <c r="B790" s="9" t="s">
        <v>40</v>
      </c>
      <c r="C790" s="9" t="s">
        <v>38</v>
      </c>
      <c r="D790" s="10">
        <v>20000</v>
      </c>
      <c r="E790" s="9" t="str" cm="1">
        <f t="array" ref="E790">_xlfn.IFS(D790&lt;= 60000, "Low Income",
D790&lt;=120000,"Medium Income",
D790&gt; 120000,"High Income"
)</f>
        <v>Low Income</v>
      </c>
      <c r="F790" s="9">
        <v>2</v>
      </c>
      <c r="G790" s="9" t="s">
        <v>32</v>
      </c>
      <c r="H790" s="9" t="s">
        <v>22</v>
      </c>
      <c r="I790" s="9" t="s">
        <v>17</v>
      </c>
      <c r="J790" s="9">
        <v>2</v>
      </c>
      <c r="K790" s="9" t="s">
        <v>29</v>
      </c>
      <c r="L790" s="9" t="s">
        <v>35</v>
      </c>
      <c r="M790" s="9">
        <v>49</v>
      </c>
      <c r="N790" s="9" t="str" cm="1">
        <f t="array" ref="N790">_xlfn.IFS(
M790&lt;=12,"Children",
M790&lt;=19,"Teens",
M790&lt;=29,"Young Adults",
M790&lt;=39,"Adults",
M790&lt;=59,"Middle-Aged",
M790&gt;=60,"Seniors"
)</f>
        <v>Middle-Aged</v>
      </c>
      <c r="O790" s="9" t="s">
        <v>20</v>
      </c>
      <c r="P790" s="9">
        <f t="shared" si="24"/>
        <v>0</v>
      </c>
      <c r="Q790" s="9">
        <v>1</v>
      </c>
      <c r="R790" s="10">
        <f t="shared" si="25"/>
        <v>0</v>
      </c>
    </row>
    <row r="791" spans="1:18" x14ac:dyDescent="0.3">
      <c r="A791" s="9">
        <v>22221</v>
      </c>
      <c r="B791" s="9" t="s">
        <v>37</v>
      </c>
      <c r="C791" s="9" t="s">
        <v>39</v>
      </c>
      <c r="D791" s="10">
        <v>60000</v>
      </c>
      <c r="E791" s="9" t="str" cm="1">
        <f t="array" ref="E791">_xlfn.IFS(D791&lt;= 60000, "Low Income",
D791&lt;=120000,"Medium Income",
D791&gt; 120000,"High Income"
)</f>
        <v>Low Income</v>
      </c>
      <c r="F791" s="9">
        <v>2</v>
      </c>
      <c r="G791" s="9" t="s">
        <v>30</v>
      </c>
      <c r="H791" s="9" t="s">
        <v>23</v>
      </c>
      <c r="I791" s="9" t="s">
        <v>20</v>
      </c>
      <c r="J791" s="9">
        <v>2</v>
      </c>
      <c r="K791" s="9" t="s">
        <v>29</v>
      </c>
      <c r="L791" s="9" t="s">
        <v>35</v>
      </c>
      <c r="M791" s="9">
        <v>48</v>
      </c>
      <c r="N791" s="9" t="str" cm="1">
        <f t="array" ref="N791">_xlfn.IFS(
M791&lt;=12,"Children",
M791&lt;=19,"Teens",
M791&lt;=29,"Young Adults",
M791&lt;=39,"Adults",
M791&lt;=59,"Middle-Aged",
M791&gt;=60,"Seniors"
)</f>
        <v>Middle-Aged</v>
      </c>
      <c r="O791" s="9" t="s">
        <v>17</v>
      </c>
      <c r="P791" s="9">
        <f t="shared" si="24"/>
        <v>1</v>
      </c>
      <c r="Q791" s="9">
        <v>1</v>
      </c>
      <c r="R791" s="10">
        <f t="shared" si="25"/>
        <v>60000</v>
      </c>
    </row>
    <row r="792" spans="1:18" x14ac:dyDescent="0.3">
      <c r="A792" s="9">
        <v>28228</v>
      </c>
      <c r="B792" s="9" t="s">
        <v>40</v>
      </c>
      <c r="C792" s="9" t="s">
        <v>38</v>
      </c>
      <c r="D792" s="10">
        <v>80000</v>
      </c>
      <c r="E792" s="9" t="str" cm="1">
        <f t="array" ref="E792">_xlfn.IFS(D792&lt;= 60000, "Low Income",
D792&lt;=120000,"Medium Income",
D792&gt; 120000,"High Income"
)</f>
        <v>Medium Income</v>
      </c>
      <c r="F792" s="9">
        <v>2</v>
      </c>
      <c r="G792" s="9" t="s">
        <v>32</v>
      </c>
      <c r="H792" s="9" t="s">
        <v>16</v>
      </c>
      <c r="I792" s="9" t="s">
        <v>20</v>
      </c>
      <c r="J792" s="9">
        <v>2</v>
      </c>
      <c r="K792" s="9" t="s">
        <v>29</v>
      </c>
      <c r="L792" s="9" t="s">
        <v>35</v>
      </c>
      <c r="M792" s="9">
        <v>50</v>
      </c>
      <c r="N792" s="9" t="str" cm="1">
        <f t="array" ref="N792">_xlfn.IFS(
M792&lt;=12,"Children",
M792&lt;=19,"Teens",
M792&lt;=29,"Young Adults",
M792&lt;=39,"Adults",
M792&lt;=59,"Middle-Aged",
M792&gt;=60,"Seniors"
)</f>
        <v>Middle-Aged</v>
      </c>
      <c r="O792" s="9" t="s">
        <v>20</v>
      </c>
      <c r="P792" s="9">
        <f t="shared" si="24"/>
        <v>0</v>
      </c>
      <c r="Q792" s="9">
        <v>1</v>
      </c>
      <c r="R792" s="10">
        <f t="shared" si="25"/>
        <v>0</v>
      </c>
    </row>
    <row r="793" spans="1:18" x14ac:dyDescent="0.3">
      <c r="A793" s="9">
        <v>18363</v>
      </c>
      <c r="B793" s="9" t="s">
        <v>37</v>
      </c>
      <c r="C793" s="9" t="s">
        <v>39</v>
      </c>
      <c r="D793" s="10">
        <v>40000</v>
      </c>
      <c r="E793" s="9" t="str" cm="1">
        <f t="array" ref="E793">_xlfn.IFS(D793&lt;= 60000, "Low Income",
D793&lt;=120000,"Medium Income",
D793&gt; 120000,"High Income"
)</f>
        <v>Low Income</v>
      </c>
      <c r="F793" s="9">
        <v>0</v>
      </c>
      <c r="G793" s="9" t="s">
        <v>30</v>
      </c>
      <c r="H793" s="9" t="s">
        <v>16</v>
      </c>
      <c r="I793" s="9" t="s">
        <v>17</v>
      </c>
      <c r="J793" s="9">
        <v>2</v>
      </c>
      <c r="K793" s="9" t="s">
        <v>26</v>
      </c>
      <c r="L793" s="9" t="s">
        <v>35</v>
      </c>
      <c r="M793" s="9">
        <v>28</v>
      </c>
      <c r="N793" s="9" t="str" cm="1">
        <f t="array" ref="N793">_xlfn.IFS(
M793&lt;=12,"Children",
M793&lt;=19,"Teens",
M793&lt;=29,"Young Adults",
M793&lt;=39,"Adults",
M793&lt;=59,"Middle-Aged",
M793&gt;=60,"Seniors"
)</f>
        <v>Young Adults</v>
      </c>
      <c r="O793" s="9" t="s">
        <v>17</v>
      </c>
      <c r="P793" s="9">
        <f t="shared" si="24"/>
        <v>1</v>
      </c>
      <c r="Q793" s="9">
        <v>1</v>
      </c>
      <c r="R793" s="10">
        <f t="shared" si="25"/>
        <v>40000</v>
      </c>
    </row>
    <row r="794" spans="1:18" x14ac:dyDescent="0.3">
      <c r="A794" s="9">
        <v>23256</v>
      </c>
      <c r="B794" s="9" t="s">
        <v>40</v>
      </c>
      <c r="C794" s="9" t="s">
        <v>39</v>
      </c>
      <c r="D794" s="10">
        <v>30000</v>
      </c>
      <c r="E794" s="9" t="str" cm="1">
        <f t="array" ref="E794">_xlfn.IFS(D794&lt;= 60000, "Low Income",
D794&lt;=120000,"Medium Income",
D794&gt; 120000,"High Income"
)</f>
        <v>Low Income</v>
      </c>
      <c r="F794" s="9">
        <v>1</v>
      </c>
      <c r="G794" s="9" t="s">
        <v>30</v>
      </c>
      <c r="H794" s="9" t="s">
        <v>22</v>
      </c>
      <c r="I794" s="9" t="s">
        <v>20</v>
      </c>
      <c r="J794" s="9">
        <v>1</v>
      </c>
      <c r="K794" s="9" t="s">
        <v>26</v>
      </c>
      <c r="L794" s="9" t="s">
        <v>35</v>
      </c>
      <c r="M794" s="9">
        <v>52</v>
      </c>
      <c r="N794" s="9" t="str" cm="1">
        <f t="array" ref="N794">_xlfn.IFS(
M794&lt;=12,"Children",
M794&lt;=19,"Teens",
M794&lt;=29,"Young Adults",
M794&lt;=39,"Adults",
M794&lt;=59,"Middle-Aged",
M794&gt;=60,"Seniors"
)</f>
        <v>Middle-Aged</v>
      </c>
      <c r="O794" s="9" t="s">
        <v>20</v>
      </c>
      <c r="P794" s="9">
        <f t="shared" si="24"/>
        <v>0</v>
      </c>
      <c r="Q794" s="9">
        <v>1</v>
      </c>
      <c r="R794" s="10">
        <f t="shared" si="25"/>
        <v>0</v>
      </c>
    </row>
    <row r="795" spans="1:18" x14ac:dyDescent="0.3">
      <c r="A795" s="9">
        <v>12768</v>
      </c>
      <c r="B795" s="9" t="s">
        <v>37</v>
      </c>
      <c r="C795" s="9" t="s">
        <v>39</v>
      </c>
      <c r="D795" s="10">
        <v>30000</v>
      </c>
      <c r="E795" s="9" t="str" cm="1">
        <f t="array" ref="E795">_xlfn.IFS(D795&lt;= 60000, "Low Income",
D795&lt;=120000,"Medium Income",
D795&gt; 120000,"High Income"
)</f>
        <v>Low Income</v>
      </c>
      <c r="F795" s="9">
        <v>1</v>
      </c>
      <c r="G795" s="9" t="s">
        <v>30</v>
      </c>
      <c r="H795" s="9" t="s">
        <v>22</v>
      </c>
      <c r="I795" s="9" t="s">
        <v>17</v>
      </c>
      <c r="J795" s="9">
        <v>1</v>
      </c>
      <c r="K795" s="9" t="s">
        <v>24</v>
      </c>
      <c r="L795" s="9" t="s">
        <v>35</v>
      </c>
      <c r="M795" s="9">
        <v>52</v>
      </c>
      <c r="N795" s="9" t="str" cm="1">
        <f t="array" ref="N795">_xlfn.IFS(
M795&lt;=12,"Children",
M795&lt;=19,"Teens",
M795&lt;=29,"Young Adults",
M795&lt;=39,"Adults",
M795&lt;=59,"Middle-Aged",
M795&gt;=60,"Seniors"
)</f>
        <v>Middle-Aged</v>
      </c>
      <c r="O795" s="9" t="s">
        <v>17</v>
      </c>
      <c r="P795" s="9">
        <f t="shared" si="24"/>
        <v>1</v>
      </c>
      <c r="Q795" s="9">
        <v>1</v>
      </c>
      <c r="R795" s="10">
        <f t="shared" si="25"/>
        <v>30000</v>
      </c>
    </row>
    <row r="796" spans="1:18" x14ac:dyDescent="0.3">
      <c r="A796" s="9">
        <v>20361</v>
      </c>
      <c r="B796" s="9" t="s">
        <v>37</v>
      </c>
      <c r="C796" s="9" t="s">
        <v>39</v>
      </c>
      <c r="D796" s="10">
        <v>50000</v>
      </c>
      <c r="E796" s="9" t="str" cm="1">
        <f t="array" ref="E796">_xlfn.IFS(D796&lt;= 60000, "Low Income",
D796&lt;=120000,"Medium Income",
D796&gt; 120000,"High Income"
)</f>
        <v>Low Income</v>
      </c>
      <c r="F796" s="9">
        <v>2</v>
      </c>
      <c r="G796" s="9" t="s">
        <v>34</v>
      </c>
      <c r="H796" s="9" t="s">
        <v>31</v>
      </c>
      <c r="I796" s="9" t="s">
        <v>17</v>
      </c>
      <c r="J796" s="9">
        <v>2</v>
      </c>
      <c r="K796" s="9" t="s">
        <v>26</v>
      </c>
      <c r="L796" s="9" t="s">
        <v>35</v>
      </c>
      <c r="M796" s="9">
        <v>69</v>
      </c>
      <c r="N796" s="9" t="str" cm="1">
        <f t="array" ref="N796">_xlfn.IFS(
M796&lt;=12,"Children",
M796&lt;=19,"Teens",
M796&lt;=29,"Young Adults",
M796&lt;=39,"Adults",
M796&lt;=59,"Middle-Aged",
M796&gt;=60,"Seniors"
)</f>
        <v>Seniors</v>
      </c>
      <c r="O796" s="9" t="s">
        <v>20</v>
      </c>
      <c r="P796" s="9">
        <f t="shared" si="24"/>
        <v>0</v>
      </c>
      <c r="Q796" s="9">
        <v>1</v>
      </c>
      <c r="R796" s="10">
        <f t="shared" si="25"/>
        <v>0</v>
      </c>
    </row>
    <row r="797" spans="1:18" x14ac:dyDescent="0.3">
      <c r="A797" s="9">
        <v>21306</v>
      </c>
      <c r="B797" s="9" t="s">
        <v>40</v>
      </c>
      <c r="C797" s="9" t="s">
        <v>39</v>
      </c>
      <c r="D797" s="10">
        <v>60000</v>
      </c>
      <c r="E797" s="9" t="str" cm="1">
        <f t="array" ref="E797">_xlfn.IFS(D797&lt;= 60000, "Low Income",
D797&lt;=120000,"Medium Income",
D797&gt; 120000,"High Income"
)</f>
        <v>Low Income</v>
      </c>
      <c r="F797" s="9">
        <v>2</v>
      </c>
      <c r="G797" s="9" t="s">
        <v>30</v>
      </c>
      <c r="H797" s="9" t="s">
        <v>23</v>
      </c>
      <c r="I797" s="9" t="s">
        <v>17</v>
      </c>
      <c r="J797" s="9">
        <v>2</v>
      </c>
      <c r="K797" s="9" t="s">
        <v>26</v>
      </c>
      <c r="L797" s="9" t="s">
        <v>35</v>
      </c>
      <c r="M797" s="9">
        <v>51</v>
      </c>
      <c r="N797" s="9" t="str" cm="1">
        <f t="array" ref="N797">_xlfn.IFS(
M797&lt;=12,"Children",
M797&lt;=19,"Teens",
M797&lt;=29,"Young Adults",
M797&lt;=39,"Adults",
M797&lt;=59,"Middle-Aged",
M797&gt;=60,"Seniors"
)</f>
        <v>Middle-Aged</v>
      </c>
      <c r="O797" s="9" t="s">
        <v>20</v>
      </c>
      <c r="P797" s="9">
        <f t="shared" si="24"/>
        <v>0</v>
      </c>
      <c r="Q797" s="9">
        <v>1</v>
      </c>
      <c r="R797" s="10">
        <f t="shared" si="25"/>
        <v>0</v>
      </c>
    </row>
    <row r="798" spans="1:18" x14ac:dyDescent="0.3">
      <c r="A798" s="9">
        <v>13382</v>
      </c>
      <c r="B798" s="9" t="s">
        <v>37</v>
      </c>
      <c r="C798" s="9" t="s">
        <v>39</v>
      </c>
      <c r="D798" s="10">
        <v>70000</v>
      </c>
      <c r="E798" s="9" t="str" cm="1">
        <f t="array" ref="E798">_xlfn.IFS(D798&lt;= 60000, "Low Income",
D798&lt;=120000,"Medium Income",
D798&gt; 120000,"High Income"
)</f>
        <v>Medium Income</v>
      </c>
      <c r="F798" s="9">
        <v>5</v>
      </c>
      <c r="G798" s="9" t="s">
        <v>21</v>
      </c>
      <c r="H798" s="9" t="s">
        <v>23</v>
      </c>
      <c r="I798" s="9" t="s">
        <v>17</v>
      </c>
      <c r="J798" s="9">
        <v>2</v>
      </c>
      <c r="K798" s="9" t="s">
        <v>29</v>
      </c>
      <c r="L798" s="9" t="s">
        <v>35</v>
      </c>
      <c r="M798" s="9">
        <v>57</v>
      </c>
      <c r="N798" s="9" t="str" cm="1">
        <f t="array" ref="N798">_xlfn.IFS(
M798&lt;=12,"Children",
M798&lt;=19,"Teens",
M798&lt;=29,"Young Adults",
M798&lt;=39,"Adults",
M798&lt;=59,"Middle-Aged",
M798&gt;=60,"Seniors"
)</f>
        <v>Middle-Aged</v>
      </c>
      <c r="O798" s="9" t="s">
        <v>17</v>
      </c>
      <c r="P798" s="9">
        <f t="shared" si="24"/>
        <v>1</v>
      </c>
      <c r="Q798" s="9">
        <v>1</v>
      </c>
      <c r="R798" s="10">
        <f t="shared" si="25"/>
        <v>70000</v>
      </c>
    </row>
    <row r="799" spans="1:18" x14ac:dyDescent="0.3">
      <c r="A799" s="9">
        <v>20310</v>
      </c>
      <c r="B799" s="9" t="s">
        <v>40</v>
      </c>
      <c r="C799" s="9" t="s">
        <v>39</v>
      </c>
      <c r="D799" s="10">
        <v>60000</v>
      </c>
      <c r="E799" s="9" t="str" cm="1">
        <f t="array" ref="E799">_xlfn.IFS(D799&lt;= 60000, "Low Income",
D799&lt;=120000,"Medium Income",
D799&gt; 120000,"High Income"
)</f>
        <v>Low Income</v>
      </c>
      <c r="F799" s="9">
        <v>0</v>
      </c>
      <c r="G799" s="9" t="s">
        <v>21</v>
      </c>
      <c r="H799" s="9" t="s">
        <v>16</v>
      </c>
      <c r="I799" s="9" t="s">
        <v>17</v>
      </c>
      <c r="J799" s="9">
        <v>1</v>
      </c>
      <c r="K799" s="9" t="s">
        <v>26</v>
      </c>
      <c r="L799" s="9" t="s">
        <v>35</v>
      </c>
      <c r="M799" s="9">
        <v>27</v>
      </c>
      <c r="N799" s="9" t="str" cm="1">
        <f t="array" ref="N799">_xlfn.IFS(
M799&lt;=12,"Children",
M799&lt;=19,"Teens",
M799&lt;=29,"Young Adults",
M799&lt;=39,"Adults",
M799&lt;=59,"Middle-Aged",
M799&gt;=60,"Seniors"
)</f>
        <v>Young Adults</v>
      </c>
      <c r="O799" s="9" t="s">
        <v>17</v>
      </c>
      <c r="P799" s="9">
        <f t="shared" si="24"/>
        <v>1</v>
      </c>
      <c r="Q799" s="9">
        <v>1</v>
      </c>
      <c r="R799" s="10">
        <f t="shared" si="25"/>
        <v>60000</v>
      </c>
    </row>
    <row r="800" spans="1:18" x14ac:dyDescent="0.3">
      <c r="A800" s="9">
        <v>22971</v>
      </c>
      <c r="B800" s="9" t="s">
        <v>40</v>
      </c>
      <c r="C800" s="9" t="s">
        <v>38</v>
      </c>
      <c r="D800" s="10">
        <v>30000</v>
      </c>
      <c r="E800" s="9" t="str" cm="1">
        <f t="array" ref="E800">_xlfn.IFS(D800&lt;= 60000, "Low Income",
D800&lt;=120000,"Medium Income",
D800&gt; 120000,"High Income"
)</f>
        <v>Low Income</v>
      </c>
      <c r="F800" s="9">
        <v>0</v>
      </c>
      <c r="G800" s="9" t="s">
        <v>30</v>
      </c>
      <c r="H800" s="9" t="s">
        <v>16</v>
      </c>
      <c r="I800" s="9" t="s">
        <v>20</v>
      </c>
      <c r="J800" s="9">
        <v>2</v>
      </c>
      <c r="K800" s="9" t="s">
        <v>18</v>
      </c>
      <c r="L800" s="9" t="s">
        <v>35</v>
      </c>
      <c r="M800" s="9">
        <v>25</v>
      </c>
      <c r="N800" s="9" t="str" cm="1">
        <f t="array" ref="N800">_xlfn.IFS(
M800&lt;=12,"Children",
M800&lt;=19,"Teens",
M800&lt;=29,"Young Adults",
M800&lt;=39,"Adults",
M800&lt;=59,"Middle-Aged",
M800&gt;=60,"Seniors"
)</f>
        <v>Young Adults</v>
      </c>
      <c r="O800" s="9" t="s">
        <v>17</v>
      </c>
      <c r="P800" s="9">
        <f t="shared" si="24"/>
        <v>1</v>
      </c>
      <c r="Q800" s="9">
        <v>1</v>
      </c>
      <c r="R800" s="10">
        <f t="shared" si="25"/>
        <v>30000</v>
      </c>
    </row>
    <row r="801" spans="1:18" x14ac:dyDescent="0.3">
      <c r="A801" s="9">
        <v>15287</v>
      </c>
      <c r="B801" s="9" t="s">
        <v>40</v>
      </c>
      <c r="C801" s="9" t="s">
        <v>38</v>
      </c>
      <c r="D801" s="10">
        <v>50000</v>
      </c>
      <c r="E801" s="9" t="str" cm="1">
        <f t="array" ref="E801">_xlfn.IFS(D801&lt;= 60000, "Low Income",
D801&lt;=120000,"Medium Income",
D801&gt; 120000,"High Income"
)</f>
        <v>Low Income</v>
      </c>
      <c r="F801" s="9">
        <v>1</v>
      </c>
      <c r="G801" s="9" t="s">
        <v>34</v>
      </c>
      <c r="H801" s="9" t="s">
        <v>16</v>
      </c>
      <c r="I801" s="9" t="s">
        <v>17</v>
      </c>
      <c r="J801" s="9">
        <v>0</v>
      </c>
      <c r="K801" s="9" t="s">
        <v>29</v>
      </c>
      <c r="L801" s="9" t="s">
        <v>35</v>
      </c>
      <c r="M801" s="9">
        <v>33</v>
      </c>
      <c r="N801" s="9" t="str" cm="1">
        <f t="array" ref="N801">_xlfn.IFS(
M801&lt;=12,"Children",
M801&lt;=19,"Teens",
M801&lt;=29,"Young Adults",
M801&lt;=39,"Adults",
M801&lt;=59,"Middle-Aged",
M801&gt;=60,"Seniors"
)</f>
        <v>Adults</v>
      </c>
      <c r="O801" s="9" t="s">
        <v>17</v>
      </c>
      <c r="P801" s="9">
        <f t="shared" si="24"/>
        <v>1</v>
      </c>
      <c r="Q801" s="9">
        <v>1</v>
      </c>
      <c r="R801" s="10">
        <f t="shared" si="25"/>
        <v>50000</v>
      </c>
    </row>
    <row r="802" spans="1:18" x14ac:dyDescent="0.3">
      <c r="A802" s="9">
        <v>15532</v>
      </c>
      <c r="B802" s="9" t="s">
        <v>40</v>
      </c>
      <c r="C802" s="9" t="s">
        <v>39</v>
      </c>
      <c r="D802" s="10">
        <v>60000</v>
      </c>
      <c r="E802" s="9" t="str" cm="1">
        <f t="array" ref="E802">_xlfn.IFS(D802&lt;= 60000, "Low Income",
D802&lt;=120000,"Medium Income",
D802&gt; 120000,"High Income"
)</f>
        <v>Low Income</v>
      </c>
      <c r="F802" s="9">
        <v>4</v>
      </c>
      <c r="G802" s="9" t="s">
        <v>15</v>
      </c>
      <c r="H802" s="9" t="s">
        <v>23</v>
      </c>
      <c r="I802" s="9" t="s">
        <v>17</v>
      </c>
      <c r="J802" s="9">
        <v>2</v>
      </c>
      <c r="K802" s="9" t="s">
        <v>24</v>
      </c>
      <c r="L802" s="9" t="s">
        <v>35</v>
      </c>
      <c r="M802" s="9">
        <v>43</v>
      </c>
      <c r="N802" s="9" t="str" cm="1">
        <f t="array" ref="N802">_xlfn.IFS(
M802&lt;=12,"Children",
M802&lt;=19,"Teens",
M802&lt;=29,"Young Adults",
M802&lt;=39,"Adults",
M802&lt;=59,"Middle-Aged",
M802&gt;=60,"Seniors"
)</f>
        <v>Middle-Aged</v>
      </c>
      <c r="O802" s="9" t="s">
        <v>17</v>
      </c>
      <c r="P802" s="9">
        <f t="shared" si="24"/>
        <v>1</v>
      </c>
      <c r="Q802" s="9">
        <v>1</v>
      </c>
      <c r="R802" s="10">
        <f t="shared" si="25"/>
        <v>60000</v>
      </c>
    </row>
    <row r="803" spans="1:18" x14ac:dyDescent="0.3">
      <c r="A803" s="9">
        <v>11255</v>
      </c>
      <c r="B803" s="9" t="s">
        <v>37</v>
      </c>
      <c r="C803" s="9" t="s">
        <v>39</v>
      </c>
      <c r="D803" s="10">
        <v>70000</v>
      </c>
      <c r="E803" s="9" t="str" cm="1">
        <f t="array" ref="E803">_xlfn.IFS(D803&lt;= 60000, "Low Income",
D803&lt;=120000,"Medium Income",
D803&gt; 120000,"High Income"
)</f>
        <v>Medium Income</v>
      </c>
      <c r="F803" s="9">
        <v>4</v>
      </c>
      <c r="G803" s="9" t="s">
        <v>34</v>
      </c>
      <c r="H803" s="9" t="s">
        <v>31</v>
      </c>
      <c r="I803" s="9" t="s">
        <v>17</v>
      </c>
      <c r="J803" s="9">
        <v>2</v>
      </c>
      <c r="K803" s="9" t="s">
        <v>26</v>
      </c>
      <c r="L803" s="9" t="s">
        <v>35</v>
      </c>
      <c r="M803" s="9">
        <v>73</v>
      </c>
      <c r="N803" s="9" t="str" cm="1">
        <f t="array" ref="N803">_xlfn.IFS(
M803&lt;=12,"Children",
M803&lt;=19,"Teens",
M803&lt;=29,"Young Adults",
M803&lt;=39,"Adults",
M803&lt;=59,"Middle-Aged",
M803&gt;=60,"Seniors"
)</f>
        <v>Seniors</v>
      </c>
      <c r="O803" s="9" t="s">
        <v>20</v>
      </c>
      <c r="P803" s="9">
        <f t="shared" si="24"/>
        <v>0</v>
      </c>
      <c r="Q803" s="9">
        <v>1</v>
      </c>
      <c r="R803" s="10">
        <f t="shared" si="25"/>
        <v>0</v>
      </c>
    </row>
    <row r="804" spans="1:18" x14ac:dyDescent="0.3">
      <c r="A804" s="9">
        <v>28090</v>
      </c>
      <c r="B804" s="9" t="s">
        <v>37</v>
      </c>
      <c r="C804" s="9" t="s">
        <v>39</v>
      </c>
      <c r="D804" s="10">
        <v>40000</v>
      </c>
      <c r="E804" s="9" t="str" cm="1">
        <f t="array" ref="E804">_xlfn.IFS(D804&lt;= 60000, "Low Income",
D804&lt;=120000,"Medium Income",
D804&gt; 120000,"High Income"
)</f>
        <v>Low Income</v>
      </c>
      <c r="F804" s="9">
        <v>0</v>
      </c>
      <c r="G804" s="9" t="s">
        <v>21</v>
      </c>
      <c r="H804" s="9" t="s">
        <v>16</v>
      </c>
      <c r="I804" s="9" t="s">
        <v>17</v>
      </c>
      <c r="J804" s="9">
        <v>1</v>
      </c>
      <c r="K804" s="9" t="s">
        <v>26</v>
      </c>
      <c r="L804" s="9" t="s">
        <v>35</v>
      </c>
      <c r="M804" s="9">
        <v>27</v>
      </c>
      <c r="N804" s="9" t="str" cm="1">
        <f t="array" ref="N804">_xlfn.IFS(
M804&lt;=12,"Children",
M804&lt;=19,"Teens",
M804&lt;=29,"Young Adults",
M804&lt;=39,"Adults",
M804&lt;=59,"Middle-Aged",
M804&gt;=60,"Seniors"
)</f>
        <v>Young Adults</v>
      </c>
      <c r="O804" s="9" t="s">
        <v>20</v>
      </c>
      <c r="P804" s="9">
        <f t="shared" si="24"/>
        <v>0</v>
      </c>
      <c r="Q804" s="9">
        <v>1</v>
      </c>
      <c r="R804" s="10">
        <f t="shared" si="25"/>
        <v>0</v>
      </c>
    </row>
    <row r="805" spans="1:18" x14ac:dyDescent="0.3">
      <c r="A805" s="9">
        <v>15255</v>
      </c>
      <c r="B805" s="9" t="s">
        <v>37</v>
      </c>
      <c r="C805" s="9" t="s">
        <v>39</v>
      </c>
      <c r="D805" s="10">
        <v>40000</v>
      </c>
      <c r="E805" s="9" t="str" cm="1">
        <f t="array" ref="E805">_xlfn.IFS(D805&lt;= 60000, "Low Income",
D805&lt;=120000,"Medium Income",
D805&gt; 120000,"High Income"
)</f>
        <v>Low Income</v>
      </c>
      <c r="F805" s="9">
        <v>0</v>
      </c>
      <c r="G805" s="9" t="s">
        <v>30</v>
      </c>
      <c r="H805" s="9" t="s">
        <v>16</v>
      </c>
      <c r="I805" s="9" t="s">
        <v>17</v>
      </c>
      <c r="J805" s="9">
        <v>2</v>
      </c>
      <c r="K805" s="9" t="s">
        <v>26</v>
      </c>
      <c r="L805" s="9" t="s">
        <v>35</v>
      </c>
      <c r="M805" s="9">
        <v>28</v>
      </c>
      <c r="N805" s="9" t="str" cm="1">
        <f t="array" ref="N805">_xlfn.IFS(
M805&lt;=12,"Children",
M805&lt;=19,"Teens",
M805&lt;=29,"Young Adults",
M805&lt;=39,"Adults",
M805&lt;=59,"Middle-Aged",
M805&gt;=60,"Seniors"
)</f>
        <v>Young Adults</v>
      </c>
      <c r="O805" s="9" t="s">
        <v>17</v>
      </c>
      <c r="P805" s="9">
        <f t="shared" si="24"/>
        <v>1</v>
      </c>
      <c r="Q805" s="9">
        <v>1</v>
      </c>
      <c r="R805" s="10">
        <f t="shared" si="25"/>
        <v>40000</v>
      </c>
    </row>
    <row r="806" spans="1:18" x14ac:dyDescent="0.3">
      <c r="A806" s="9">
        <v>13154</v>
      </c>
      <c r="B806" s="9" t="s">
        <v>37</v>
      </c>
      <c r="C806" s="9" t="s">
        <v>39</v>
      </c>
      <c r="D806" s="10">
        <v>40000</v>
      </c>
      <c r="E806" s="9" t="str" cm="1">
        <f t="array" ref="E806">_xlfn.IFS(D806&lt;= 60000, "Low Income",
D806&lt;=120000,"Medium Income",
D806&gt; 120000,"High Income"
)</f>
        <v>Low Income</v>
      </c>
      <c r="F806" s="9">
        <v>0</v>
      </c>
      <c r="G806" s="9" t="s">
        <v>30</v>
      </c>
      <c r="H806" s="9" t="s">
        <v>16</v>
      </c>
      <c r="I806" s="9" t="s">
        <v>20</v>
      </c>
      <c r="J806" s="9">
        <v>2</v>
      </c>
      <c r="K806" s="9" t="s">
        <v>18</v>
      </c>
      <c r="L806" s="9" t="s">
        <v>35</v>
      </c>
      <c r="M806" s="9">
        <v>27</v>
      </c>
      <c r="N806" s="9" t="str" cm="1">
        <f t="array" ref="N806">_xlfn.IFS(
M806&lt;=12,"Children",
M806&lt;=19,"Teens",
M806&lt;=29,"Young Adults",
M806&lt;=39,"Adults",
M806&lt;=59,"Middle-Aged",
M806&gt;=60,"Seniors"
)</f>
        <v>Young Adults</v>
      </c>
      <c r="O806" s="9" t="s">
        <v>17</v>
      </c>
      <c r="P806" s="9">
        <f t="shared" si="24"/>
        <v>1</v>
      </c>
      <c r="Q806" s="9">
        <v>1</v>
      </c>
      <c r="R806" s="10">
        <f t="shared" si="25"/>
        <v>40000</v>
      </c>
    </row>
    <row r="807" spans="1:18" x14ac:dyDescent="0.3">
      <c r="A807" s="9">
        <v>26778</v>
      </c>
      <c r="B807" s="9" t="s">
        <v>40</v>
      </c>
      <c r="C807" s="9" t="s">
        <v>38</v>
      </c>
      <c r="D807" s="10">
        <v>40000</v>
      </c>
      <c r="E807" s="9" t="str" cm="1">
        <f t="array" ref="E807">_xlfn.IFS(D807&lt;= 60000, "Low Income",
D807&lt;=120000,"Medium Income",
D807&gt; 120000,"High Income"
)</f>
        <v>Low Income</v>
      </c>
      <c r="F807" s="9">
        <v>0</v>
      </c>
      <c r="G807" s="9" t="s">
        <v>30</v>
      </c>
      <c r="H807" s="9" t="s">
        <v>16</v>
      </c>
      <c r="I807" s="9" t="s">
        <v>17</v>
      </c>
      <c r="J807" s="9">
        <v>2</v>
      </c>
      <c r="K807" s="9" t="s">
        <v>26</v>
      </c>
      <c r="L807" s="9" t="s">
        <v>35</v>
      </c>
      <c r="M807" s="9">
        <v>31</v>
      </c>
      <c r="N807" s="9" t="str" cm="1">
        <f t="array" ref="N807">_xlfn.IFS(
M807&lt;=12,"Children",
M807&lt;=19,"Teens",
M807&lt;=29,"Young Adults",
M807&lt;=39,"Adults",
M807&lt;=59,"Middle-Aged",
M807&gt;=60,"Seniors"
)</f>
        <v>Adults</v>
      </c>
      <c r="O807" s="9" t="s">
        <v>20</v>
      </c>
      <c r="P807" s="9">
        <f t="shared" si="24"/>
        <v>0</v>
      </c>
      <c r="Q807" s="9">
        <v>1</v>
      </c>
      <c r="R807" s="10">
        <f t="shared" si="25"/>
        <v>0</v>
      </c>
    </row>
    <row r="808" spans="1:18" x14ac:dyDescent="0.3">
      <c r="A808" s="9">
        <v>23248</v>
      </c>
      <c r="B808" s="9" t="s">
        <v>37</v>
      </c>
      <c r="C808" s="9" t="s">
        <v>38</v>
      </c>
      <c r="D808" s="10">
        <v>10000</v>
      </c>
      <c r="E808" s="9" t="str" cm="1">
        <f t="array" ref="E808">_xlfn.IFS(D808&lt;= 60000, "Low Income",
D808&lt;=120000,"Medium Income",
D808&gt; 120000,"High Income"
)</f>
        <v>Low Income</v>
      </c>
      <c r="F808" s="9">
        <v>2</v>
      </c>
      <c r="G808" s="9" t="s">
        <v>30</v>
      </c>
      <c r="H808" s="9" t="s">
        <v>28</v>
      </c>
      <c r="I808" s="9" t="s">
        <v>17</v>
      </c>
      <c r="J808" s="9">
        <v>2</v>
      </c>
      <c r="K808" s="9" t="s">
        <v>29</v>
      </c>
      <c r="L808" s="9" t="s">
        <v>35</v>
      </c>
      <c r="M808" s="9">
        <v>53</v>
      </c>
      <c r="N808" s="9" t="str" cm="1">
        <f t="array" ref="N808">_xlfn.IFS(
M808&lt;=12,"Children",
M808&lt;=19,"Teens",
M808&lt;=29,"Young Adults",
M808&lt;=39,"Adults",
M808&lt;=59,"Middle-Aged",
M808&gt;=60,"Seniors"
)</f>
        <v>Middle-Aged</v>
      </c>
      <c r="O808" s="9" t="s">
        <v>20</v>
      </c>
      <c r="P808" s="9">
        <f t="shared" si="24"/>
        <v>0</v>
      </c>
      <c r="Q808" s="9">
        <v>1</v>
      </c>
      <c r="R808" s="10">
        <f t="shared" si="25"/>
        <v>0</v>
      </c>
    </row>
    <row r="809" spans="1:18" x14ac:dyDescent="0.3">
      <c r="A809" s="9">
        <v>21417</v>
      </c>
      <c r="B809" s="9" t="s">
        <v>40</v>
      </c>
      <c r="C809" s="9" t="s">
        <v>38</v>
      </c>
      <c r="D809" s="10">
        <v>60000</v>
      </c>
      <c r="E809" s="9" t="str" cm="1">
        <f t="array" ref="E809">_xlfn.IFS(D809&lt;= 60000, "Low Income",
D809&lt;=120000,"Medium Income",
D809&gt; 120000,"High Income"
)</f>
        <v>Low Income</v>
      </c>
      <c r="F809" s="9">
        <v>0</v>
      </c>
      <c r="G809" s="9" t="s">
        <v>21</v>
      </c>
      <c r="H809" s="9" t="s">
        <v>23</v>
      </c>
      <c r="I809" s="9" t="s">
        <v>20</v>
      </c>
      <c r="J809" s="9">
        <v>2</v>
      </c>
      <c r="K809" s="9" t="s">
        <v>29</v>
      </c>
      <c r="L809" s="9" t="s">
        <v>35</v>
      </c>
      <c r="M809" s="9">
        <v>32</v>
      </c>
      <c r="N809" s="9" t="str" cm="1">
        <f t="array" ref="N809">_xlfn.IFS(
M809&lt;=12,"Children",
M809&lt;=19,"Teens",
M809&lt;=29,"Young Adults",
M809&lt;=39,"Adults",
M809&lt;=59,"Middle-Aged",
M809&gt;=60,"Seniors"
)</f>
        <v>Adults</v>
      </c>
      <c r="O809" s="9" t="s">
        <v>17</v>
      </c>
      <c r="P809" s="9">
        <f t="shared" si="24"/>
        <v>1</v>
      </c>
      <c r="Q809" s="9">
        <v>1</v>
      </c>
      <c r="R809" s="10">
        <f t="shared" si="25"/>
        <v>60000</v>
      </c>
    </row>
    <row r="810" spans="1:18" x14ac:dyDescent="0.3">
      <c r="A810" s="9">
        <v>17668</v>
      </c>
      <c r="B810" s="9" t="s">
        <v>40</v>
      </c>
      <c r="C810" s="9" t="s">
        <v>39</v>
      </c>
      <c r="D810" s="10">
        <v>30000</v>
      </c>
      <c r="E810" s="9" t="str" cm="1">
        <f t="array" ref="E810">_xlfn.IFS(D810&lt;= 60000, "Low Income",
D810&lt;=120000,"Medium Income",
D810&gt; 120000,"High Income"
)</f>
        <v>Low Income</v>
      </c>
      <c r="F810" s="9">
        <v>2</v>
      </c>
      <c r="G810" s="9" t="s">
        <v>30</v>
      </c>
      <c r="H810" s="9" t="s">
        <v>16</v>
      </c>
      <c r="I810" s="9" t="s">
        <v>17</v>
      </c>
      <c r="J810" s="9">
        <v>2</v>
      </c>
      <c r="K810" s="9" t="s">
        <v>29</v>
      </c>
      <c r="L810" s="9" t="s">
        <v>35</v>
      </c>
      <c r="M810" s="9">
        <v>50</v>
      </c>
      <c r="N810" s="9" t="str" cm="1">
        <f t="array" ref="N810">_xlfn.IFS(
M810&lt;=12,"Children",
M810&lt;=19,"Teens",
M810&lt;=29,"Young Adults",
M810&lt;=39,"Adults",
M810&lt;=59,"Middle-Aged",
M810&gt;=60,"Seniors"
)</f>
        <v>Middle-Aged</v>
      </c>
      <c r="O810" s="9" t="s">
        <v>17</v>
      </c>
      <c r="P810" s="9">
        <f t="shared" si="24"/>
        <v>1</v>
      </c>
      <c r="Q810" s="9">
        <v>1</v>
      </c>
      <c r="R810" s="10">
        <f t="shared" si="25"/>
        <v>30000</v>
      </c>
    </row>
    <row r="811" spans="1:18" x14ac:dyDescent="0.3">
      <c r="A811" s="9">
        <v>27994</v>
      </c>
      <c r="B811" s="9" t="s">
        <v>37</v>
      </c>
      <c r="C811" s="9" t="s">
        <v>38</v>
      </c>
      <c r="D811" s="10">
        <v>40000</v>
      </c>
      <c r="E811" s="9" t="str" cm="1">
        <f t="array" ref="E811">_xlfn.IFS(D811&lt;= 60000, "Low Income",
D811&lt;=120000,"Medium Income",
D811&gt; 120000,"High Income"
)</f>
        <v>Low Income</v>
      </c>
      <c r="F811" s="9">
        <v>4</v>
      </c>
      <c r="G811" s="9" t="s">
        <v>30</v>
      </c>
      <c r="H811" s="9" t="s">
        <v>23</v>
      </c>
      <c r="I811" s="9" t="s">
        <v>17</v>
      </c>
      <c r="J811" s="9">
        <v>2</v>
      </c>
      <c r="K811" s="9" t="s">
        <v>26</v>
      </c>
      <c r="L811" s="9" t="s">
        <v>35</v>
      </c>
      <c r="M811" s="9">
        <v>69</v>
      </c>
      <c r="N811" s="9" t="str" cm="1">
        <f t="array" ref="N811">_xlfn.IFS(
M811&lt;=12,"Children",
M811&lt;=19,"Teens",
M811&lt;=29,"Young Adults",
M811&lt;=39,"Adults",
M811&lt;=59,"Middle-Aged",
M811&gt;=60,"Seniors"
)</f>
        <v>Seniors</v>
      </c>
      <c r="O811" s="9" t="s">
        <v>20</v>
      </c>
      <c r="P811" s="9">
        <f t="shared" si="24"/>
        <v>0</v>
      </c>
      <c r="Q811" s="9">
        <v>1</v>
      </c>
      <c r="R811" s="10">
        <f t="shared" si="25"/>
        <v>0</v>
      </c>
    </row>
    <row r="812" spans="1:18" x14ac:dyDescent="0.3">
      <c r="A812" s="9">
        <v>20376</v>
      </c>
      <c r="B812" s="9" t="s">
        <v>40</v>
      </c>
      <c r="C812" s="9" t="s">
        <v>38</v>
      </c>
      <c r="D812" s="10">
        <v>70000</v>
      </c>
      <c r="E812" s="9" t="str" cm="1">
        <f t="array" ref="E812">_xlfn.IFS(D812&lt;= 60000, "Low Income",
D812&lt;=120000,"Medium Income",
D812&gt; 120000,"High Income"
)</f>
        <v>Medium Income</v>
      </c>
      <c r="F812" s="9">
        <v>3</v>
      </c>
      <c r="G812" s="9" t="s">
        <v>34</v>
      </c>
      <c r="H812" s="9" t="s">
        <v>31</v>
      </c>
      <c r="I812" s="9" t="s">
        <v>17</v>
      </c>
      <c r="J812" s="9">
        <v>2</v>
      </c>
      <c r="K812" s="9" t="s">
        <v>26</v>
      </c>
      <c r="L812" s="9" t="s">
        <v>35</v>
      </c>
      <c r="M812" s="9">
        <v>52</v>
      </c>
      <c r="N812" s="9" t="str" cm="1">
        <f t="array" ref="N812">_xlfn.IFS(
M812&lt;=12,"Children",
M812&lt;=19,"Teens",
M812&lt;=29,"Young Adults",
M812&lt;=39,"Adults",
M812&lt;=59,"Middle-Aged",
M812&gt;=60,"Seniors"
)</f>
        <v>Middle-Aged</v>
      </c>
      <c r="O812" s="9" t="s">
        <v>17</v>
      </c>
      <c r="P812" s="9">
        <f t="shared" si="24"/>
        <v>1</v>
      </c>
      <c r="Q812" s="9">
        <v>1</v>
      </c>
      <c r="R812" s="10">
        <f t="shared" si="25"/>
        <v>70000</v>
      </c>
    </row>
    <row r="813" spans="1:18" x14ac:dyDescent="0.3">
      <c r="A813" s="9">
        <v>25954</v>
      </c>
      <c r="B813" s="9" t="s">
        <v>37</v>
      </c>
      <c r="C813" s="9" t="s">
        <v>39</v>
      </c>
      <c r="D813" s="10">
        <v>60000</v>
      </c>
      <c r="E813" s="9" t="str" cm="1">
        <f t="array" ref="E813">_xlfn.IFS(D813&lt;= 60000, "Low Income",
D813&lt;=120000,"Medium Income",
D813&gt; 120000,"High Income"
)</f>
        <v>Low Income</v>
      </c>
      <c r="F813" s="9">
        <v>0</v>
      </c>
      <c r="G813" s="9" t="s">
        <v>21</v>
      </c>
      <c r="H813" s="9" t="s">
        <v>16</v>
      </c>
      <c r="I813" s="9" t="s">
        <v>20</v>
      </c>
      <c r="J813" s="9">
        <v>2</v>
      </c>
      <c r="K813" s="9" t="s">
        <v>29</v>
      </c>
      <c r="L813" s="9" t="s">
        <v>35</v>
      </c>
      <c r="M813" s="9">
        <v>31</v>
      </c>
      <c r="N813" s="9" t="str" cm="1">
        <f t="array" ref="N813">_xlfn.IFS(
M813&lt;=12,"Children",
M813&lt;=19,"Teens",
M813&lt;=29,"Young Adults",
M813&lt;=39,"Adults",
M813&lt;=59,"Middle-Aged",
M813&gt;=60,"Seniors"
)</f>
        <v>Adults</v>
      </c>
      <c r="O813" s="9" t="s">
        <v>20</v>
      </c>
      <c r="P813" s="9">
        <f t="shared" si="24"/>
        <v>0</v>
      </c>
      <c r="Q813" s="9">
        <v>1</v>
      </c>
      <c r="R813" s="10">
        <f t="shared" si="25"/>
        <v>0</v>
      </c>
    </row>
    <row r="814" spans="1:18" x14ac:dyDescent="0.3">
      <c r="A814" s="9">
        <v>15749</v>
      </c>
      <c r="B814" s="9" t="s">
        <v>40</v>
      </c>
      <c r="C814" s="9" t="s">
        <v>38</v>
      </c>
      <c r="D814" s="10">
        <v>70000</v>
      </c>
      <c r="E814" s="9" t="str" cm="1">
        <f t="array" ref="E814">_xlfn.IFS(D814&lt;= 60000, "Low Income",
D814&lt;=120000,"Medium Income",
D814&gt; 120000,"High Income"
)</f>
        <v>Medium Income</v>
      </c>
      <c r="F814" s="9">
        <v>4</v>
      </c>
      <c r="G814" s="9" t="s">
        <v>15</v>
      </c>
      <c r="H814" s="9" t="s">
        <v>31</v>
      </c>
      <c r="I814" s="9" t="s">
        <v>17</v>
      </c>
      <c r="J814" s="9">
        <v>2</v>
      </c>
      <c r="K814" s="9" t="s">
        <v>41</v>
      </c>
      <c r="L814" s="9" t="s">
        <v>35</v>
      </c>
      <c r="M814" s="9">
        <v>61</v>
      </c>
      <c r="N814" s="9" t="str" cm="1">
        <f t="array" ref="N814">_xlfn.IFS(
M814&lt;=12,"Children",
M814&lt;=19,"Teens",
M814&lt;=29,"Young Adults",
M814&lt;=39,"Adults",
M814&lt;=59,"Middle-Aged",
M814&gt;=60,"Seniors"
)</f>
        <v>Seniors</v>
      </c>
      <c r="O814" s="9" t="s">
        <v>20</v>
      </c>
      <c r="P814" s="9">
        <f t="shared" si="24"/>
        <v>0</v>
      </c>
      <c r="Q814" s="9">
        <v>1</v>
      </c>
      <c r="R814" s="10">
        <f t="shared" si="25"/>
        <v>0</v>
      </c>
    </row>
    <row r="815" spans="1:18" x14ac:dyDescent="0.3">
      <c r="A815" s="9">
        <v>25899</v>
      </c>
      <c r="B815" s="9" t="s">
        <v>37</v>
      </c>
      <c r="C815" s="9" t="s">
        <v>38</v>
      </c>
      <c r="D815" s="10">
        <v>70000</v>
      </c>
      <c r="E815" s="9" t="str" cm="1">
        <f t="array" ref="E815">_xlfn.IFS(D815&lt;= 60000, "Low Income",
D815&lt;=120000,"Medium Income",
D815&gt; 120000,"High Income"
)</f>
        <v>Medium Income</v>
      </c>
      <c r="F815" s="9">
        <v>2</v>
      </c>
      <c r="G815" s="9" t="s">
        <v>30</v>
      </c>
      <c r="H815" s="9" t="s">
        <v>23</v>
      </c>
      <c r="I815" s="9" t="s">
        <v>17</v>
      </c>
      <c r="J815" s="9">
        <v>2</v>
      </c>
      <c r="K815" s="9" t="s">
        <v>41</v>
      </c>
      <c r="L815" s="9" t="s">
        <v>35</v>
      </c>
      <c r="M815" s="9">
        <v>53</v>
      </c>
      <c r="N815" s="9" t="str" cm="1">
        <f t="array" ref="N815">_xlfn.IFS(
M815&lt;=12,"Children",
M815&lt;=19,"Teens",
M815&lt;=29,"Young Adults",
M815&lt;=39,"Adults",
M815&lt;=59,"Middle-Aged",
M815&gt;=60,"Seniors"
)</f>
        <v>Middle-Aged</v>
      </c>
      <c r="O815" s="9" t="s">
        <v>20</v>
      </c>
      <c r="P815" s="9">
        <f t="shared" si="24"/>
        <v>0</v>
      </c>
      <c r="Q815" s="9">
        <v>1</v>
      </c>
      <c r="R815" s="10">
        <f t="shared" si="25"/>
        <v>0</v>
      </c>
    </row>
    <row r="816" spans="1:18" x14ac:dyDescent="0.3">
      <c r="A816" s="9">
        <v>13351</v>
      </c>
      <c r="B816" s="9" t="s">
        <v>40</v>
      </c>
      <c r="C816" s="9" t="s">
        <v>38</v>
      </c>
      <c r="D816" s="10">
        <v>70000</v>
      </c>
      <c r="E816" s="9" t="str" cm="1">
        <f t="array" ref="E816">_xlfn.IFS(D816&lt;= 60000, "Low Income",
D816&lt;=120000,"Medium Income",
D816&gt; 120000,"High Income"
)</f>
        <v>Medium Income</v>
      </c>
      <c r="F816" s="9">
        <v>4</v>
      </c>
      <c r="G816" s="9" t="s">
        <v>15</v>
      </c>
      <c r="H816" s="9" t="s">
        <v>31</v>
      </c>
      <c r="I816" s="9" t="s">
        <v>17</v>
      </c>
      <c r="J816" s="9">
        <v>2</v>
      </c>
      <c r="K816" s="9" t="s">
        <v>29</v>
      </c>
      <c r="L816" s="9" t="s">
        <v>35</v>
      </c>
      <c r="M816" s="9">
        <v>62</v>
      </c>
      <c r="N816" s="9" t="str" cm="1">
        <f t="array" ref="N816">_xlfn.IFS(
M816&lt;=12,"Children",
M816&lt;=19,"Teens",
M816&lt;=29,"Young Adults",
M816&lt;=39,"Adults",
M816&lt;=59,"Middle-Aged",
M816&gt;=60,"Seniors"
)</f>
        <v>Seniors</v>
      </c>
      <c r="O816" s="9" t="s">
        <v>17</v>
      </c>
      <c r="P816" s="9">
        <f t="shared" si="24"/>
        <v>1</v>
      </c>
      <c r="Q816" s="9">
        <v>1</v>
      </c>
      <c r="R816" s="10">
        <f t="shared" si="25"/>
        <v>70000</v>
      </c>
    </row>
    <row r="817" spans="1:18" x14ac:dyDescent="0.3">
      <c r="A817" s="9">
        <v>23333</v>
      </c>
      <c r="B817" s="9" t="s">
        <v>37</v>
      </c>
      <c r="C817" s="9" t="s">
        <v>39</v>
      </c>
      <c r="D817" s="10">
        <v>40000</v>
      </c>
      <c r="E817" s="9" t="str" cm="1">
        <f t="array" ref="E817">_xlfn.IFS(D817&lt;= 60000, "Low Income",
D817&lt;=120000,"Medium Income",
D817&gt; 120000,"High Income"
)</f>
        <v>Low Income</v>
      </c>
      <c r="F817" s="9">
        <v>0</v>
      </c>
      <c r="G817" s="9" t="s">
        <v>21</v>
      </c>
      <c r="H817" s="9" t="s">
        <v>16</v>
      </c>
      <c r="I817" s="9" t="s">
        <v>20</v>
      </c>
      <c r="J817" s="9">
        <v>2</v>
      </c>
      <c r="K817" s="9" t="s">
        <v>29</v>
      </c>
      <c r="L817" s="9" t="s">
        <v>35</v>
      </c>
      <c r="M817" s="9">
        <v>30</v>
      </c>
      <c r="N817" s="9" t="str" cm="1">
        <f t="array" ref="N817">_xlfn.IFS(
M817&lt;=12,"Children",
M817&lt;=19,"Teens",
M817&lt;=29,"Young Adults",
M817&lt;=39,"Adults",
M817&lt;=59,"Middle-Aged",
M817&gt;=60,"Seniors"
)</f>
        <v>Adults</v>
      </c>
      <c r="O817" s="9" t="s">
        <v>20</v>
      </c>
      <c r="P817" s="9">
        <f t="shared" si="24"/>
        <v>0</v>
      </c>
      <c r="Q817" s="9">
        <v>1</v>
      </c>
      <c r="R817" s="10">
        <f t="shared" si="25"/>
        <v>0</v>
      </c>
    </row>
    <row r="818" spans="1:18" x14ac:dyDescent="0.3">
      <c r="A818" s="9">
        <v>21660</v>
      </c>
      <c r="B818" s="9" t="s">
        <v>37</v>
      </c>
      <c r="C818" s="9" t="s">
        <v>38</v>
      </c>
      <c r="D818" s="10">
        <v>60000</v>
      </c>
      <c r="E818" s="9" t="str" cm="1">
        <f t="array" ref="E818">_xlfn.IFS(D818&lt;= 60000, "Low Income",
D818&lt;=120000,"Medium Income",
D818&gt; 120000,"High Income"
)</f>
        <v>Low Income</v>
      </c>
      <c r="F818" s="9">
        <v>3</v>
      </c>
      <c r="G818" s="9" t="s">
        <v>34</v>
      </c>
      <c r="H818" s="9" t="s">
        <v>23</v>
      </c>
      <c r="I818" s="9" t="s">
        <v>17</v>
      </c>
      <c r="J818" s="9">
        <v>0</v>
      </c>
      <c r="K818" s="9" t="s">
        <v>24</v>
      </c>
      <c r="L818" s="9" t="s">
        <v>35</v>
      </c>
      <c r="M818" s="9">
        <v>43</v>
      </c>
      <c r="N818" s="9" t="str" cm="1">
        <f t="array" ref="N818">_xlfn.IFS(
M818&lt;=12,"Children",
M818&lt;=19,"Teens",
M818&lt;=29,"Young Adults",
M818&lt;=39,"Adults",
M818&lt;=59,"Middle-Aged",
M818&gt;=60,"Seniors"
)</f>
        <v>Middle-Aged</v>
      </c>
      <c r="O818" s="9" t="s">
        <v>17</v>
      </c>
      <c r="P818" s="9">
        <f t="shared" si="24"/>
        <v>1</v>
      </c>
      <c r="Q818" s="9">
        <v>1</v>
      </c>
      <c r="R818" s="10">
        <f t="shared" si="25"/>
        <v>60000</v>
      </c>
    </row>
    <row r="819" spans="1:18" x14ac:dyDescent="0.3">
      <c r="A819" s="9">
        <v>17012</v>
      </c>
      <c r="B819" s="9" t="s">
        <v>37</v>
      </c>
      <c r="C819" s="9" t="s">
        <v>38</v>
      </c>
      <c r="D819" s="10">
        <v>60000</v>
      </c>
      <c r="E819" s="9" t="str" cm="1">
        <f t="array" ref="E819">_xlfn.IFS(D819&lt;= 60000, "Low Income",
D819&lt;=120000,"Medium Income",
D819&gt; 120000,"High Income"
)</f>
        <v>Low Income</v>
      </c>
      <c r="F819" s="9">
        <v>3</v>
      </c>
      <c r="G819" s="9" t="s">
        <v>34</v>
      </c>
      <c r="H819" s="9" t="s">
        <v>23</v>
      </c>
      <c r="I819" s="9" t="s">
        <v>17</v>
      </c>
      <c r="J819" s="9">
        <v>0</v>
      </c>
      <c r="K819" s="9" t="s">
        <v>24</v>
      </c>
      <c r="L819" s="9" t="s">
        <v>35</v>
      </c>
      <c r="M819" s="9">
        <v>42</v>
      </c>
      <c r="N819" s="9" t="str" cm="1">
        <f t="array" ref="N819">_xlfn.IFS(
M819&lt;=12,"Children",
M819&lt;=19,"Teens",
M819&lt;=29,"Young Adults",
M819&lt;=39,"Adults",
M819&lt;=59,"Middle-Aged",
M819&gt;=60,"Seniors"
)</f>
        <v>Middle-Aged</v>
      </c>
      <c r="O819" s="9" t="s">
        <v>17</v>
      </c>
      <c r="P819" s="9">
        <f t="shared" si="24"/>
        <v>1</v>
      </c>
      <c r="Q819" s="9">
        <v>1</v>
      </c>
      <c r="R819" s="10">
        <f t="shared" si="25"/>
        <v>60000</v>
      </c>
    </row>
    <row r="820" spans="1:18" x14ac:dyDescent="0.3">
      <c r="A820" s="9">
        <v>24514</v>
      </c>
      <c r="B820" s="9" t="s">
        <v>37</v>
      </c>
      <c r="C820" s="9" t="s">
        <v>39</v>
      </c>
      <c r="D820" s="10">
        <v>40000</v>
      </c>
      <c r="E820" s="9" t="str" cm="1">
        <f t="array" ref="E820">_xlfn.IFS(D820&lt;= 60000, "Low Income",
D820&lt;=120000,"Medium Income",
D820&gt; 120000,"High Income"
)</f>
        <v>Low Income</v>
      </c>
      <c r="F820" s="9">
        <v>0</v>
      </c>
      <c r="G820" s="9" t="s">
        <v>21</v>
      </c>
      <c r="H820" s="9" t="s">
        <v>16</v>
      </c>
      <c r="I820" s="9" t="s">
        <v>17</v>
      </c>
      <c r="J820" s="9">
        <v>1</v>
      </c>
      <c r="K820" s="9" t="s">
        <v>26</v>
      </c>
      <c r="L820" s="9" t="s">
        <v>35</v>
      </c>
      <c r="M820" s="9">
        <v>30</v>
      </c>
      <c r="N820" s="9" t="str" cm="1">
        <f t="array" ref="N820">_xlfn.IFS(
M820&lt;=12,"Children",
M820&lt;=19,"Teens",
M820&lt;=29,"Young Adults",
M820&lt;=39,"Adults",
M820&lt;=59,"Middle-Aged",
M820&gt;=60,"Seniors"
)</f>
        <v>Adults</v>
      </c>
      <c r="O820" s="9" t="s">
        <v>20</v>
      </c>
      <c r="P820" s="9">
        <f t="shared" si="24"/>
        <v>0</v>
      </c>
      <c r="Q820" s="9">
        <v>1</v>
      </c>
      <c r="R820" s="10">
        <f t="shared" si="25"/>
        <v>0</v>
      </c>
    </row>
    <row r="821" spans="1:18" x14ac:dyDescent="0.3">
      <c r="A821" s="9">
        <v>27505</v>
      </c>
      <c r="B821" s="9" t="s">
        <v>40</v>
      </c>
      <c r="C821" s="9" t="s">
        <v>38</v>
      </c>
      <c r="D821" s="10">
        <v>40000</v>
      </c>
      <c r="E821" s="9" t="str" cm="1">
        <f t="array" ref="E821">_xlfn.IFS(D821&lt;= 60000, "Low Income",
D821&lt;=120000,"Medium Income",
D821&gt; 120000,"High Income"
)</f>
        <v>Low Income</v>
      </c>
      <c r="F821" s="9">
        <v>0</v>
      </c>
      <c r="G821" s="9" t="s">
        <v>30</v>
      </c>
      <c r="H821" s="9" t="s">
        <v>16</v>
      </c>
      <c r="I821" s="9" t="s">
        <v>17</v>
      </c>
      <c r="J821" s="9">
        <v>2</v>
      </c>
      <c r="K821" s="9" t="s">
        <v>26</v>
      </c>
      <c r="L821" s="9" t="s">
        <v>35</v>
      </c>
      <c r="M821" s="9">
        <v>30</v>
      </c>
      <c r="N821" s="9" t="str" cm="1">
        <f t="array" ref="N821">_xlfn.IFS(
M821&lt;=12,"Children",
M821&lt;=19,"Teens",
M821&lt;=29,"Young Adults",
M821&lt;=39,"Adults",
M821&lt;=59,"Middle-Aged",
M821&gt;=60,"Seniors"
)</f>
        <v>Adults</v>
      </c>
      <c r="O821" s="9" t="s">
        <v>20</v>
      </c>
      <c r="P821" s="9">
        <f t="shared" si="24"/>
        <v>0</v>
      </c>
      <c r="Q821" s="9">
        <v>1</v>
      </c>
      <c r="R821" s="10">
        <f t="shared" si="25"/>
        <v>0</v>
      </c>
    </row>
    <row r="822" spans="1:18" x14ac:dyDescent="0.3">
      <c r="A822" s="9">
        <v>29243</v>
      </c>
      <c r="B822" s="9" t="s">
        <v>40</v>
      </c>
      <c r="C822" s="9" t="s">
        <v>39</v>
      </c>
      <c r="D822" s="10">
        <v>110000</v>
      </c>
      <c r="E822" s="9" t="str" cm="1">
        <f t="array" ref="E822">_xlfn.IFS(D822&lt;= 60000, "Low Income",
D822&lt;=120000,"Medium Income",
D822&gt; 120000,"High Income"
)</f>
        <v>Medium Income</v>
      </c>
      <c r="F822" s="9">
        <v>1</v>
      </c>
      <c r="G822" s="9" t="s">
        <v>15</v>
      </c>
      <c r="H822" s="9" t="s">
        <v>31</v>
      </c>
      <c r="I822" s="9" t="s">
        <v>17</v>
      </c>
      <c r="J822" s="9">
        <v>1</v>
      </c>
      <c r="K822" s="9" t="s">
        <v>26</v>
      </c>
      <c r="L822" s="9" t="s">
        <v>35</v>
      </c>
      <c r="M822" s="9">
        <v>43</v>
      </c>
      <c r="N822" s="9" t="str" cm="1">
        <f t="array" ref="N822">_xlfn.IFS(
M822&lt;=12,"Children",
M822&lt;=19,"Teens",
M822&lt;=29,"Young Adults",
M822&lt;=39,"Adults",
M822&lt;=59,"Middle-Aged",
M822&gt;=60,"Seniors"
)</f>
        <v>Middle-Aged</v>
      </c>
      <c r="O822" s="9" t="s">
        <v>20</v>
      </c>
      <c r="P822" s="9">
        <f t="shared" si="24"/>
        <v>0</v>
      </c>
      <c r="Q822" s="9">
        <v>1</v>
      </c>
      <c r="R822" s="10">
        <f t="shared" si="25"/>
        <v>0</v>
      </c>
    </row>
    <row r="823" spans="1:18" x14ac:dyDescent="0.3">
      <c r="A823" s="9">
        <v>26582</v>
      </c>
      <c r="B823" s="9" t="s">
        <v>37</v>
      </c>
      <c r="C823" s="9" t="s">
        <v>39</v>
      </c>
      <c r="D823" s="10">
        <v>60000</v>
      </c>
      <c r="E823" s="9" t="str" cm="1">
        <f t="array" ref="E823">_xlfn.IFS(D823&lt;= 60000, "Low Income",
D823&lt;=120000,"Medium Income",
D823&gt; 120000,"High Income"
)</f>
        <v>Low Income</v>
      </c>
      <c r="F823" s="9">
        <v>0</v>
      </c>
      <c r="G823" s="9" t="s">
        <v>21</v>
      </c>
      <c r="H823" s="9" t="s">
        <v>16</v>
      </c>
      <c r="I823" s="9" t="s">
        <v>17</v>
      </c>
      <c r="J823" s="9">
        <v>2</v>
      </c>
      <c r="K823" s="9" t="s">
        <v>26</v>
      </c>
      <c r="L823" s="9" t="s">
        <v>35</v>
      </c>
      <c r="M823" s="9">
        <v>33</v>
      </c>
      <c r="N823" s="9" t="str" cm="1">
        <f t="array" ref="N823">_xlfn.IFS(
M823&lt;=12,"Children",
M823&lt;=19,"Teens",
M823&lt;=29,"Young Adults",
M823&lt;=39,"Adults",
M823&lt;=59,"Middle-Aged",
M823&gt;=60,"Seniors"
)</f>
        <v>Adults</v>
      </c>
      <c r="O823" s="9" t="s">
        <v>17</v>
      </c>
      <c r="P823" s="9">
        <f t="shared" si="24"/>
        <v>1</v>
      </c>
      <c r="Q823" s="9">
        <v>1</v>
      </c>
      <c r="R823" s="10">
        <f t="shared" si="25"/>
        <v>60000</v>
      </c>
    </row>
    <row r="824" spans="1:18" x14ac:dyDescent="0.3">
      <c r="A824" s="9">
        <v>14271</v>
      </c>
      <c r="B824" s="9" t="s">
        <v>37</v>
      </c>
      <c r="C824" s="9" t="s">
        <v>39</v>
      </c>
      <c r="D824" s="10">
        <v>30000</v>
      </c>
      <c r="E824" s="9" t="str" cm="1">
        <f t="array" ref="E824">_xlfn.IFS(D824&lt;= 60000, "Low Income",
D824&lt;=120000,"Medium Income",
D824&gt; 120000,"High Income"
)</f>
        <v>Low Income</v>
      </c>
      <c r="F824" s="9">
        <v>0</v>
      </c>
      <c r="G824" s="9" t="s">
        <v>30</v>
      </c>
      <c r="H824" s="9" t="s">
        <v>16</v>
      </c>
      <c r="I824" s="9" t="s">
        <v>17</v>
      </c>
      <c r="J824" s="9">
        <v>2</v>
      </c>
      <c r="K824" s="9" t="s">
        <v>26</v>
      </c>
      <c r="L824" s="9" t="s">
        <v>35</v>
      </c>
      <c r="M824" s="9">
        <v>32</v>
      </c>
      <c r="N824" s="9" t="str" cm="1">
        <f t="array" ref="N824">_xlfn.IFS(
M824&lt;=12,"Children",
M824&lt;=19,"Teens",
M824&lt;=29,"Young Adults",
M824&lt;=39,"Adults",
M824&lt;=59,"Middle-Aged",
M824&gt;=60,"Seniors"
)</f>
        <v>Adults</v>
      </c>
      <c r="O824" s="9" t="s">
        <v>20</v>
      </c>
      <c r="P824" s="9">
        <f t="shared" si="24"/>
        <v>0</v>
      </c>
      <c r="Q824" s="9">
        <v>1</v>
      </c>
      <c r="R824" s="10">
        <f t="shared" si="25"/>
        <v>0</v>
      </c>
    </row>
    <row r="825" spans="1:18" x14ac:dyDescent="0.3">
      <c r="A825" s="9">
        <v>23041</v>
      </c>
      <c r="B825" s="9" t="s">
        <v>40</v>
      </c>
      <c r="C825" s="9" t="s">
        <v>38</v>
      </c>
      <c r="D825" s="10">
        <v>70000</v>
      </c>
      <c r="E825" s="9" t="str" cm="1">
        <f t="array" ref="E825">_xlfn.IFS(D825&lt;= 60000, "Low Income",
D825&lt;=120000,"Medium Income",
D825&gt; 120000,"High Income"
)</f>
        <v>Medium Income</v>
      </c>
      <c r="F825" s="9">
        <v>4</v>
      </c>
      <c r="G825" s="9" t="s">
        <v>30</v>
      </c>
      <c r="H825" s="9" t="s">
        <v>23</v>
      </c>
      <c r="I825" s="9" t="s">
        <v>17</v>
      </c>
      <c r="J825" s="9">
        <v>0</v>
      </c>
      <c r="K825" s="9" t="s">
        <v>26</v>
      </c>
      <c r="L825" s="9" t="s">
        <v>35</v>
      </c>
      <c r="M825" s="9">
        <v>50</v>
      </c>
      <c r="N825" s="9" t="str" cm="1">
        <f t="array" ref="N825">_xlfn.IFS(
M825&lt;=12,"Children",
M825&lt;=19,"Teens",
M825&lt;=29,"Young Adults",
M825&lt;=39,"Adults",
M825&lt;=59,"Middle-Aged",
M825&gt;=60,"Seniors"
)</f>
        <v>Middle-Aged</v>
      </c>
      <c r="O825" s="9" t="s">
        <v>17</v>
      </c>
      <c r="P825" s="9">
        <f t="shared" si="24"/>
        <v>1</v>
      </c>
      <c r="Q825" s="9">
        <v>1</v>
      </c>
      <c r="R825" s="10">
        <f t="shared" si="25"/>
        <v>70000</v>
      </c>
    </row>
    <row r="826" spans="1:18" x14ac:dyDescent="0.3">
      <c r="A826" s="9">
        <v>29048</v>
      </c>
      <c r="B826" s="9" t="s">
        <v>40</v>
      </c>
      <c r="C826" s="9" t="s">
        <v>39</v>
      </c>
      <c r="D826" s="10">
        <v>110000</v>
      </c>
      <c r="E826" s="9" t="str" cm="1">
        <f t="array" ref="E826">_xlfn.IFS(D826&lt;= 60000, "Low Income",
D826&lt;=120000,"Medium Income",
D826&gt; 120000,"High Income"
)</f>
        <v>Medium Income</v>
      </c>
      <c r="F826" s="9">
        <v>2</v>
      </c>
      <c r="G826" s="9" t="s">
        <v>15</v>
      </c>
      <c r="H826" s="9" t="s">
        <v>31</v>
      </c>
      <c r="I826" s="9" t="s">
        <v>20</v>
      </c>
      <c r="J826" s="9">
        <v>3</v>
      </c>
      <c r="K826" s="9" t="s">
        <v>18</v>
      </c>
      <c r="L826" s="9" t="s">
        <v>35</v>
      </c>
      <c r="M826" s="9">
        <v>37</v>
      </c>
      <c r="N826" s="9" t="str" cm="1">
        <f t="array" ref="N826">_xlfn.IFS(
M826&lt;=12,"Children",
M826&lt;=19,"Teens",
M826&lt;=29,"Young Adults",
M826&lt;=39,"Adults",
M826&lt;=59,"Middle-Aged",
M826&gt;=60,"Seniors"
)</f>
        <v>Adults</v>
      </c>
      <c r="O826" s="9" t="s">
        <v>17</v>
      </c>
      <c r="P826" s="9">
        <f t="shared" si="24"/>
        <v>1</v>
      </c>
      <c r="Q826" s="9">
        <v>1</v>
      </c>
      <c r="R826" s="10">
        <f t="shared" si="25"/>
        <v>110000</v>
      </c>
    </row>
    <row r="827" spans="1:18" x14ac:dyDescent="0.3">
      <c r="A827" s="9">
        <v>24433</v>
      </c>
      <c r="B827" s="9" t="s">
        <v>37</v>
      </c>
      <c r="C827" s="9" t="s">
        <v>39</v>
      </c>
      <c r="D827" s="10">
        <v>70000</v>
      </c>
      <c r="E827" s="9" t="str" cm="1">
        <f t="array" ref="E827">_xlfn.IFS(D827&lt;= 60000, "Low Income",
D827&lt;=120000,"Medium Income",
D827&gt; 120000,"High Income"
)</f>
        <v>Medium Income</v>
      </c>
      <c r="F827" s="9">
        <v>3</v>
      </c>
      <c r="G827" s="9" t="s">
        <v>30</v>
      </c>
      <c r="H827" s="9" t="s">
        <v>23</v>
      </c>
      <c r="I827" s="9" t="s">
        <v>20</v>
      </c>
      <c r="J827" s="9">
        <v>1</v>
      </c>
      <c r="K827" s="9" t="s">
        <v>29</v>
      </c>
      <c r="L827" s="9" t="s">
        <v>35</v>
      </c>
      <c r="M827" s="9">
        <v>52</v>
      </c>
      <c r="N827" s="9" t="str" cm="1">
        <f t="array" ref="N827">_xlfn.IFS(
M827&lt;=12,"Children",
M827&lt;=19,"Teens",
M827&lt;=29,"Young Adults",
M827&lt;=39,"Adults",
M827&lt;=59,"Middle-Aged",
M827&gt;=60,"Seniors"
)</f>
        <v>Middle-Aged</v>
      </c>
      <c r="O827" s="9" t="s">
        <v>17</v>
      </c>
      <c r="P827" s="9">
        <f t="shared" si="24"/>
        <v>1</v>
      </c>
      <c r="Q827" s="9">
        <v>1</v>
      </c>
      <c r="R827" s="10">
        <f t="shared" si="25"/>
        <v>70000</v>
      </c>
    </row>
    <row r="828" spans="1:18" x14ac:dyDescent="0.3">
      <c r="A828" s="9">
        <v>15501</v>
      </c>
      <c r="B828" s="9" t="s">
        <v>37</v>
      </c>
      <c r="C828" s="9" t="s">
        <v>39</v>
      </c>
      <c r="D828" s="10">
        <v>70000</v>
      </c>
      <c r="E828" s="9" t="str" cm="1">
        <f t="array" ref="E828">_xlfn.IFS(D828&lt;= 60000, "Low Income",
D828&lt;=120000,"Medium Income",
D828&gt; 120000,"High Income"
)</f>
        <v>Medium Income</v>
      </c>
      <c r="F828" s="9">
        <v>4</v>
      </c>
      <c r="G828" s="9" t="s">
        <v>34</v>
      </c>
      <c r="H828" s="9" t="s">
        <v>23</v>
      </c>
      <c r="I828" s="9" t="s">
        <v>17</v>
      </c>
      <c r="J828" s="9">
        <v>0</v>
      </c>
      <c r="K828" s="9" t="s">
        <v>24</v>
      </c>
      <c r="L828" s="9" t="s">
        <v>35</v>
      </c>
      <c r="M828" s="9">
        <v>36</v>
      </c>
      <c r="N828" s="9" t="str" cm="1">
        <f t="array" ref="N828">_xlfn.IFS(
M828&lt;=12,"Children",
M828&lt;=19,"Teens",
M828&lt;=29,"Young Adults",
M828&lt;=39,"Adults",
M828&lt;=59,"Middle-Aged",
M828&gt;=60,"Seniors"
)</f>
        <v>Adults</v>
      </c>
      <c r="O828" s="9" t="s">
        <v>17</v>
      </c>
      <c r="P828" s="9">
        <f t="shared" si="24"/>
        <v>1</v>
      </c>
      <c r="Q828" s="9">
        <v>1</v>
      </c>
      <c r="R828" s="10">
        <f t="shared" si="25"/>
        <v>70000</v>
      </c>
    </row>
    <row r="829" spans="1:18" x14ac:dyDescent="0.3">
      <c r="A829" s="9">
        <v>13911</v>
      </c>
      <c r="B829" s="9" t="s">
        <v>40</v>
      </c>
      <c r="C829" s="9" t="s">
        <v>38</v>
      </c>
      <c r="D829" s="10">
        <v>80000</v>
      </c>
      <c r="E829" s="9" t="str" cm="1">
        <f t="array" ref="E829">_xlfn.IFS(D829&lt;= 60000, "Low Income",
D829&lt;=120000,"Medium Income",
D829&gt; 120000,"High Income"
)</f>
        <v>Medium Income</v>
      </c>
      <c r="F829" s="9">
        <v>3</v>
      </c>
      <c r="G829" s="9" t="s">
        <v>15</v>
      </c>
      <c r="H829" s="9" t="s">
        <v>16</v>
      </c>
      <c r="I829" s="9" t="s">
        <v>17</v>
      </c>
      <c r="J829" s="9">
        <v>2</v>
      </c>
      <c r="K829" s="9" t="s">
        <v>24</v>
      </c>
      <c r="L829" s="9" t="s">
        <v>35</v>
      </c>
      <c r="M829" s="9">
        <v>41</v>
      </c>
      <c r="N829" s="9" t="str" cm="1">
        <f t="array" ref="N829">_xlfn.IFS(
M829&lt;=12,"Children",
M829&lt;=19,"Teens",
M829&lt;=29,"Young Adults",
M829&lt;=39,"Adults",
M829&lt;=59,"Middle-Aged",
M829&gt;=60,"Seniors"
)</f>
        <v>Middle-Aged</v>
      </c>
      <c r="O829" s="9" t="s">
        <v>17</v>
      </c>
      <c r="P829" s="9">
        <f t="shared" si="24"/>
        <v>1</v>
      </c>
      <c r="Q829" s="9">
        <v>1</v>
      </c>
      <c r="R829" s="10">
        <f t="shared" si="25"/>
        <v>80000</v>
      </c>
    </row>
    <row r="830" spans="1:18" x14ac:dyDescent="0.3">
      <c r="A830" s="9">
        <v>20421</v>
      </c>
      <c r="B830" s="9" t="s">
        <v>40</v>
      </c>
      <c r="C830" s="9" t="s">
        <v>38</v>
      </c>
      <c r="D830" s="10">
        <v>40000</v>
      </c>
      <c r="E830" s="9" t="str" cm="1">
        <f t="array" ref="E830">_xlfn.IFS(D830&lt;= 60000, "Low Income",
D830&lt;=120000,"Medium Income",
D830&gt; 120000,"High Income"
)</f>
        <v>Low Income</v>
      </c>
      <c r="F830" s="9">
        <v>0</v>
      </c>
      <c r="G830" s="9" t="s">
        <v>32</v>
      </c>
      <c r="H830" s="9" t="s">
        <v>22</v>
      </c>
      <c r="I830" s="9" t="s">
        <v>17</v>
      </c>
      <c r="J830" s="9">
        <v>2</v>
      </c>
      <c r="K830" s="9" t="s">
        <v>26</v>
      </c>
      <c r="L830" s="9" t="s">
        <v>35</v>
      </c>
      <c r="M830" s="9">
        <v>26</v>
      </c>
      <c r="N830" s="9" t="str" cm="1">
        <f t="array" ref="N830">_xlfn.IFS(
M830&lt;=12,"Children",
M830&lt;=19,"Teens",
M830&lt;=29,"Young Adults",
M830&lt;=39,"Adults",
M830&lt;=59,"Middle-Aged",
M830&gt;=60,"Seniors"
)</f>
        <v>Young Adults</v>
      </c>
      <c r="O830" s="9" t="s">
        <v>20</v>
      </c>
      <c r="P830" s="9">
        <f t="shared" si="24"/>
        <v>0</v>
      </c>
      <c r="Q830" s="9">
        <v>1</v>
      </c>
      <c r="R830" s="10">
        <f t="shared" si="25"/>
        <v>0</v>
      </c>
    </row>
    <row r="831" spans="1:18" x14ac:dyDescent="0.3">
      <c r="A831" s="9">
        <v>16009</v>
      </c>
      <c r="B831" s="9" t="s">
        <v>40</v>
      </c>
      <c r="C831" s="9" t="s">
        <v>39</v>
      </c>
      <c r="D831" s="10">
        <v>170000</v>
      </c>
      <c r="E831" s="9" t="str" cm="1">
        <f t="array" ref="E831">_xlfn.IFS(D831&lt;= 60000, "Low Income",
D831&lt;=120000,"Medium Income",
D831&gt; 120000,"High Income"
)</f>
        <v>High Income</v>
      </c>
      <c r="F831" s="9">
        <v>1</v>
      </c>
      <c r="G831" s="9" t="s">
        <v>34</v>
      </c>
      <c r="H831" s="9" t="s">
        <v>31</v>
      </c>
      <c r="I831" s="9" t="s">
        <v>20</v>
      </c>
      <c r="J831" s="9">
        <v>4</v>
      </c>
      <c r="K831" s="9" t="s">
        <v>18</v>
      </c>
      <c r="L831" s="9" t="s">
        <v>35</v>
      </c>
      <c r="M831" s="9">
        <v>66</v>
      </c>
      <c r="N831" s="9" t="str" cm="1">
        <f t="array" ref="N831">_xlfn.IFS(
M831&lt;=12,"Children",
M831&lt;=19,"Teens",
M831&lt;=29,"Young Adults",
M831&lt;=39,"Adults",
M831&lt;=59,"Middle-Aged",
M831&gt;=60,"Seniors"
)</f>
        <v>Seniors</v>
      </c>
      <c r="O831" s="9" t="s">
        <v>20</v>
      </c>
      <c r="P831" s="9">
        <f t="shared" si="24"/>
        <v>0</v>
      </c>
      <c r="Q831" s="9">
        <v>1</v>
      </c>
      <c r="R831" s="10">
        <f t="shared" si="25"/>
        <v>0</v>
      </c>
    </row>
    <row r="832" spans="1:18" x14ac:dyDescent="0.3">
      <c r="A832" s="9">
        <v>18411</v>
      </c>
      <c r="B832" s="9" t="s">
        <v>37</v>
      </c>
      <c r="C832" s="9" t="s">
        <v>39</v>
      </c>
      <c r="D832" s="10">
        <v>60000</v>
      </c>
      <c r="E832" s="9" t="str" cm="1">
        <f t="array" ref="E832">_xlfn.IFS(D832&lt;= 60000, "Low Income",
D832&lt;=120000,"Medium Income",
D832&gt; 120000,"High Income"
)</f>
        <v>Low Income</v>
      </c>
      <c r="F832" s="9">
        <v>2</v>
      </c>
      <c r="G832" s="9" t="s">
        <v>30</v>
      </c>
      <c r="H832" s="9" t="s">
        <v>23</v>
      </c>
      <c r="I832" s="9" t="s">
        <v>20</v>
      </c>
      <c r="J832" s="9">
        <v>2</v>
      </c>
      <c r="K832" s="9" t="s">
        <v>26</v>
      </c>
      <c r="L832" s="9" t="s">
        <v>35</v>
      </c>
      <c r="M832" s="9">
        <v>51</v>
      </c>
      <c r="N832" s="9" t="str" cm="1">
        <f t="array" ref="N832">_xlfn.IFS(
M832&lt;=12,"Children",
M832&lt;=19,"Teens",
M832&lt;=29,"Young Adults",
M832&lt;=39,"Adults",
M832&lt;=59,"Middle-Aged",
M832&gt;=60,"Seniors"
)</f>
        <v>Middle-Aged</v>
      </c>
      <c r="O832" s="9" t="s">
        <v>20</v>
      </c>
      <c r="P832" s="9">
        <f t="shared" si="24"/>
        <v>0</v>
      </c>
      <c r="Q832" s="9">
        <v>1</v>
      </c>
      <c r="R832" s="10">
        <f t="shared" si="25"/>
        <v>0</v>
      </c>
    </row>
    <row r="833" spans="1:18" x14ac:dyDescent="0.3">
      <c r="A833" s="9">
        <v>19163</v>
      </c>
      <c r="B833" s="9" t="s">
        <v>37</v>
      </c>
      <c r="C833" s="9" t="s">
        <v>38</v>
      </c>
      <c r="D833" s="10">
        <v>70000</v>
      </c>
      <c r="E833" s="9" t="str" cm="1">
        <f t="array" ref="E833">_xlfn.IFS(D833&lt;= 60000, "Low Income",
D833&lt;=120000,"Medium Income",
D833&gt; 120000,"High Income"
)</f>
        <v>Medium Income</v>
      </c>
      <c r="F833" s="9">
        <v>4</v>
      </c>
      <c r="G833" s="9" t="s">
        <v>15</v>
      </c>
      <c r="H833" s="9" t="s">
        <v>23</v>
      </c>
      <c r="I833" s="9" t="s">
        <v>17</v>
      </c>
      <c r="J833" s="9">
        <v>2</v>
      </c>
      <c r="K833" s="9" t="s">
        <v>18</v>
      </c>
      <c r="L833" s="9" t="s">
        <v>35</v>
      </c>
      <c r="M833" s="9">
        <v>43</v>
      </c>
      <c r="N833" s="9" t="str" cm="1">
        <f t="array" ref="N833">_xlfn.IFS(
M833&lt;=12,"Children",
M833&lt;=19,"Teens",
M833&lt;=29,"Young Adults",
M833&lt;=39,"Adults",
M833&lt;=59,"Middle-Aged",
M833&gt;=60,"Seniors"
)</f>
        <v>Middle-Aged</v>
      </c>
      <c r="O833" s="9" t="s">
        <v>17</v>
      </c>
      <c r="P833" s="9">
        <f t="shared" si="24"/>
        <v>1</v>
      </c>
      <c r="Q833" s="9">
        <v>1</v>
      </c>
      <c r="R833" s="10">
        <f t="shared" si="25"/>
        <v>70000</v>
      </c>
    </row>
    <row r="834" spans="1:18" x14ac:dyDescent="0.3">
      <c r="A834" s="9">
        <v>18572</v>
      </c>
      <c r="B834" s="9" t="s">
        <v>37</v>
      </c>
      <c r="C834" s="9" t="s">
        <v>38</v>
      </c>
      <c r="D834" s="10">
        <v>60000</v>
      </c>
      <c r="E834" s="9" t="str" cm="1">
        <f t="array" ref="E834">_xlfn.IFS(D834&lt;= 60000, "Low Income",
D834&lt;=120000,"Medium Income",
D834&gt; 120000,"High Income"
)</f>
        <v>Low Income</v>
      </c>
      <c r="F834" s="9">
        <v>0</v>
      </c>
      <c r="G834" s="9" t="s">
        <v>34</v>
      </c>
      <c r="H834" s="9" t="s">
        <v>23</v>
      </c>
      <c r="I834" s="9" t="s">
        <v>17</v>
      </c>
      <c r="J834" s="9">
        <v>0</v>
      </c>
      <c r="K834" s="9" t="s">
        <v>18</v>
      </c>
      <c r="L834" s="9" t="s">
        <v>35</v>
      </c>
      <c r="M834" s="9">
        <v>39</v>
      </c>
      <c r="N834" s="9" t="str" cm="1">
        <f t="array" ref="N834">_xlfn.IFS(
M834&lt;=12,"Children",
M834&lt;=19,"Teens",
M834&lt;=29,"Young Adults",
M834&lt;=39,"Adults",
M834&lt;=59,"Middle-Aged",
M834&gt;=60,"Seniors"
)</f>
        <v>Adults</v>
      </c>
      <c r="O834" s="9" t="s">
        <v>20</v>
      </c>
      <c r="P834" s="9">
        <f t="shared" si="24"/>
        <v>0</v>
      </c>
      <c r="Q834" s="9">
        <v>1</v>
      </c>
      <c r="R834" s="10">
        <f t="shared" si="25"/>
        <v>0</v>
      </c>
    </row>
    <row r="835" spans="1:18" x14ac:dyDescent="0.3">
      <c r="A835" s="9">
        <v>27540</v>
      </c>
      <c r="B835" s="9" t="s">
        <v>40</v>
      </c>
      <c r="C835" s="9" t="s">
        <v>38</v>
      </c>
      <c r="D835" s="10">
        <v>70000</v>
      </c>
      <c r="E835" s="9" t="str" cm="1">
        <f t="array" ref="E835">_xlfn.IFS(D835&lt;= 60000, "Low Income",
D835&lt;=120000,"Medium Income",
D835&gt; 120000,"High Income"
)</f>
        <v>Medium Income</v>
      </c>
      <c r="F835" s="9">
        <v>0</v>
      </c>
      <c r="G835" s="9" t="s">
        <v>15</v>
      </c>
      <c r="H835" s="9" t="s">
        <v>23</v>
      </c>
      <c r="I835" s="9" t="s">
        <v>20</v>
      </c>
      <c r="J835" s="9">
        <v>1</v>
      </c>
      <c r="K835" s="9" t="s">
        <v>18</v>
      </c>
      <c r="L835" s="9" t="s">
        <v>35</v>
      </c>
      <c r="M835" s="9">
        <v>37</v>
      </c>
      <c r="N835" s="9" t="str" cm="1">
        <f t="array" ref="N835">_xlfn.IFS(
M835&lt;=12,"Children",
M835&lt;=19,"Teens",
M835&lt;=29,"Young Adults",
M835&lt;=39,"Adults",
M835&lt;=59,"Middle-Aged",
M835&gt;=60,"Seniors"
)</f>
        <v>Adults</v>
      </c>
      <c r="O835" s="9" t="s">
        <v>17</v>
      </c>
      <c r="P835" s="9">
        <f t="shared" ref="P835:P898" si="26">IF(O835="No", 0, 1)</f>
        <v>1</v>
      </c>
      <c r="Q835" s="9">
        <v>1</v>
      </c>
      <c r="R835" s="10">
        <f t="shared" ref="R835:R898" si="27">IF(P835=1, D835, 0)</f>
        <v>70000</v>
      </c>
    </row>
    <row r="836" spans="1:18" x14ac:dyDescent="0.3">
      <c r="A836" s="9">
        <v>19889</v>
      </c>
      <c r="B836" s="9" t="s">
        <v>40</v>
      </c>
      <c r="C836" s="9" t="s">
        <v>38</v>
      </c>
      <c r="D836" s="10">
        <v>70000</v>
      </c>
      <c r="E836" s="9" t="str" cm="1">
        <f t="array" ref="E836">_xlfn.IFS(D836&lt;= 60000, "Low Income",
D836&lt;=120000,"Medium Income",
D836&gt; 120000,"High Income"
)</f>
        <v>Medium Income</v>
      </c>
      <c r="F836" s="9">
        <v>2</v>
      </c>
      <c r="G836" s="9" t="s">
        <v>32</v>
      </c>
      <c r="H836" s="9" t="s">
        <v>16</v>
      </c>
      <c r="I836" s="9" t="s">
        <v>20</v>
      </c>
      <c r="J836" s="9">
        <v>2</v>
      </c>
      <c r="K836" s="9" t="s">
        <v>24</v>
      </c>
      <c r="L836" s="9" t="s">
        <v>35</v>
      </c>
      <c r="M836" s="9">
        <v>54</v>
      </c>
      <c r="N836" s="9" t="str" cm="1">
        <f t="array" ref="N836">_xlfn.IFS(
M836&lt;=12,"Children",
M836&lt;=19,"Teens",
M836&lt;=29,"Young Adults",
M836&lt;=39,"Adults",
M836&lt;=59,"Middle-Aged",
M836&gt;=60,"Seniors"
)</f>
        <v>Middle-Aged</v>
      </c>
      <c r="O836" s="9" t="s">
        <v>17</v>
      </c>
      <c r="P836" s="9">
        <f t="shared" si="26"/>
        <v>1</v>
      </c>
      <c r="Q836" s="9">
        <v>1</v>
      </c>
      <c r="R836" s="10">
        <f t="shared" si="27"/>
        <v>70000</v>
      </c>
    </row>
    <row r="837" spans="1:18" x14ac:dyDescent="0.3">
      <c r="A837" s="9">
        <v>12922</v>
      </c>
      <c r="B837" s="9" t="s">
        <v>40</v>
      </c>
      <c r="C837" s="9" t="s">
        <v>38</v>
      </c>
      <c r="D837" s="10">
        <v>60000</v>
      </c>
      <c r="E837" s="9" t="str" cm="1">
        <f t="array" ref="E837">_xlfn.IFS(D837&lt;= 60000, "Low Income",
D837&lt;=120000,"Medium Income",
D837&gt; 120000,"High Income"
)</f>
        <v>Low Income</v>
      </c>
      <c r="F837" s="9">
        <v>3</v>
      </c>
      <c r="G837" s="9" t="s">
        <v>15</v>
      </c>
      <c r="H837" s="9" t="s">
        <v>16</v>
      </c>
      <c r="I837" s="9" t="s">
        <v>17</v>
      </c>
      <c r="J837" s="9">
        <v>0</v>
      </c>
      <c r="K837" s="9" t="s">
        <v>24</v>
      </c>
      <c r="L837" s="9" t="s">
        <v>35</v>
      </c>
      <c r="M837" s="9">
        <v>40</v>
      </c>
      <c r="N837" s="9" t="str" cm="1">
        <f t="array" ref="N837">_xlfn.IFS(
M837&lt;=12,"Children",
M837&lt;=19,"Teens",
M837&lt;=29,"Young Adults",
M837&lt;=39,"Adults",
M837&lt;=59,"Middle-Aged",
M837&gt;=60,"Seniors"
)</f>
        <v>Middle-Aged</v>
      </c>
      <c r="O837" s="9" t="s">
        <v>17</v>
      </c>
      <c r="P837" s="9">
        <f t="shared" si="26"/>
        <v>1</v>
      </c>
      <c r="Q837" s="9">
        <v>1</v>
      </c>
      <c r="R837" s="10">
        <f t="shared" si="27"/>
        <v>60000</v>
      </c>
    </row>
    <row r="838" spans="1:18" x14ac:dyDescent="0.3">
      <c r="A838" s="9">
        <v>18891</v>
      </c>
      <c r="B838" s="9" t="s">
        <v>37</v>
      </c>
      <c r="C838" s="9" t="s">
        <v>38</v>
      </c>
      <c r="D838" s="10">
        <v>40000</v>
      </c>
      <c r="E838" s="9" t="str" cm="1">
        <f t="array" ref="E838">_xlfn.IFS(D838&lt;= 60000, "Low Income",
D838&lt;=120000,"Medium Income",
D838&gt; 120000,"High Income"
)</f>
        <v>Low Income</v>
      </c>
      <c r="F838" s="9">
        <v>0</v>
      </c>
      <c r="G838" s="9" t="s">
        <v>21</v>
      </c>
      <c r="H838" s="9" t="s">
        <v>16</v>
      </c>
      <c r="I838" s="9" t="s">
        <v>17</v>
      </c>
      <c r="J838" s="9">
        <v>2</v>
      </c>
      <c r="K838" s="9" t="s">
        <v>26</v>
      </c>
      <c r="L838" s="9" t="s">
        <v>35</v>
      </c>
      <c r="M838" s="9">
        <v>28</v>
      </c>
      <c r="N838" s="9" t="str" cm="1">
        <f t="array" ref="N838">_xlfn.IFS(
M838&lt;=12,"Children",
M838&lt;=19,"Teens",
M838&lt;=29,"Young Adults",
M838&lt;=39,"Adults",
M838&lt;=59,"Middle-Aged",
M838&gt;=60,"Seniors"
)</f>
        <v>Young Adults</v>
      </c>
      <c r="O838" s="9" t="s">
        <v>20</v>
      </c>
      <c r="P838" s="9">
        <f t="shared" si="26"/>
        <v>0</v>
      </c>
      <c r="Q838" s="9">
        <v>1</v>
      </c>
      <c r="R838" s="10">
        <f t="shared" si="27"/>
        <v>0</v>
      </c>
    </row>
    <row r="839" spans="1:18" x14ac:dyDescent="0.3">
      <c r="A839" s="9">
        <v>16773</v>
      </c>
      <c r="B839" s="9" t="s">
        <v>37</v>
      </c>
      <c r="C839" s="9" t="s">
        <v>39</v>
      </c>
      <c r="D839" s="10">
        <v>60000</v>
      </c>
      <c r="E839" s="9" t="str" cm="1">
        <f t="array" ref="E839">_xlfn.IFS(D839&lt;= 60000, "Low Income",
D839&lt;=120000,"Medium Income",
D839&gt; 120000,"High Income"
)</f>
        <v>Low Income</v>
      </c>
      <c r="F839" s="9">
        <v>1</v>
      </c>
      <c r="G839" s="9" t="s">
        <v>34</v>
      </c>
      <c r="H839" s="9" t="s">
        <v>16</v>
      </c>
      <c r="I839" s="9" t="s">
        <v>17</v>
      </c>
      <c r="J839" s="9">
        <v>0</v>
      </c>
      <c r="K839" s="9" t="s">
        <v>18</v>
      </c>
      <c r="L839" s="9" t="s">
        <v>35</v>
      </c>
      <c r="M839" s="9">
        <v>33</v>
      </c>
      <c r="N839" s="9" t="str" cm="1">
        <f t="array" ref="N839">_xlfn.IFS(
M839&lt;=12,"Children",
M839&lt;=19,"Teens",
M839&lt;=29,"Young Adults",
M839&lt;=39,"Adults",
M839&lt;=59,"Middle-Aged",
M839&gt;=60,"Seniors"
)</f>
        <v>Adults</v>
      </c>
      <c r="O839" s="9" t="s">
        <v>20</v>
      </c>
      <c r="P839" s="9">
        <f t="shared" si="26"/>
        <v>0</v>
      </c>
      <c r="Q839" s="9">
        <v>1</v>
      </c>
      <c r="R839" s="10">
        <f t="shared" si="27"/>
        <v>0</v>
      </c>
    </row>
    <row r="840" spans="1:18" x14ac:dyDescent="0.3">
      <c r="A840" s="9">
        <v>19143</v>
      </c>
      <c r="B840" s="9" t="s">
        <v>40</v>
      </c>
      <c r="C840" s="9" t="s">
        <v>38</v>
      </c>
      <c r="D840" s="10">
        <v>80000</v>
      </c>
      <c r="E840" s="9" t="str" cm="1">
        <f t="array" ref="E840">_xlfn.IFS(D840&lt;= 60000, "Low Income",
D840&lt;=120000,"Medium Income",
D840&gt; 120000,"High Income"
)</f>
        <v>Medium Income</v>
      </c>
      <c r="F840" s="9">
        <v>3</v>
      </c>
      <c r="G840" s="9" t="s">
        <v>15</v>
      </c>
      <c r="H840" s="9" t="s">
        <v>16</v>
      </c>
      <c r="I840" s="9" t="s">
        <v>17</v>
      </c>
      <c r="J840" s="9">
        <v>2</v>
      </c>
      <c r="K840" s="9" t="s">
        <v>24</v>
      </c>
      <c r="L840" s="9" t="s">
        <v>35</v>
      </c>
      <c r="M840" s="9">
        <v>41</v>
      </c>
      <c r="N840" s="9" t="str" cm="1">
        <f t="array" ref="N840">_xlfn.IFS(
M840&lt;=12,"Children",
M840&lt;=19,"Teens",
M840&lt;=29,"Young Adults",
M840&lt;=39,"Adults",
M840&lt;=59,"Middle-Aged",
M840&gt;=60,"Seniors"
)</f>
        <v>Middle-Aged</v>
      </c>
      <c r="O840" s="9" t="s">
        <v>17</v>
      </c>
      <c r="P840" s="9">
        <f t="shared" si="26"/>
        <v>1</v>
      </c>
      <c r="Q840" s="9">
        <v>1</v>
      </c>
      <c r="R840" s="10">
        <f t="shared" si="27"/>
        <v>80000</v>
      </c>
    </row>
    <row r="841" spans="1:18" x14ac:dyDescent="0.3">
      <c r="A841" s="9">
        <v>23882</v>
      </c>
      <c r="B841" s="9" t="s">
        <v>40</v>
      </c>
      <c r="C841" s="9" t="s">
        <v>38</v>
      </c>
      <c r="D841" s="10">
        <v>80000</v>
      </c>
      <c r="E841" s="9" t="str" cm="1">
        <f t="array" ref="E841">_xlfn.IFS(D841&lt;= 60000, "Low Income",
D841&lt;=120000,"Medium Income",
D841&gt; 120000,"High Income"
)</f>
        <v>Medium Income</v>
      </c>
      <c r="F841" s="9">
        <v>3</v>
      </c>
      <c r="G841" s="9" t="s">
        <v>34</v>
      </c>
      <c r="H841" s="9" t="s">
        <v>23</v>
      </c>
      <c r="I841" s="9" t="s">
        <v>17</v>
      </c>
      <c r="J841" s="9">
        <v>0</v>
      </c>
      <c r="K841" s="9" t="s">
        <v>18</v>
      </c>
      <c r="L841" s="9" t="s">
        <v>35</v>
      </c>
      <c r="M841" s="9">
        <v>37</v>
      </c>
      <c r="N841" s="9" t="str" cm="1">
        <f t="array" ref="N841">_xlfn.IFS(
M841&lt;=12,"Children",
M841&lt;=19,"Teens",
M841&lt;=29,"Young Adults",
M841&lt;=39,"Adults",
M841&lt;=59,"Middle-Aged",
M841&gt;=60,"Seniors"
)</f>
        <v>Adults</v>
      </c>
      <c r="O841" s="9" t="s">
        <v>17</v>
      </c>
      <c r="P841" s="9">
        <f t="shared" si="26"/>
        <v>1</v>
      </c>
      <c r="Q841" s="9">
        <v>1</v>
      </c>
      <c r="R841" s="10">
        <f t="shared" si="27"/>
        <v>80000</v>
      </c>
    </row>
    <row r="842" spans="1:18" x14ac:dyDescent="0.3">
      <c r="A842" s="9">
        <v>11233</v>
      </c>
      <c r="B842" s="9" t="s">
        <v>37</v>
      </c>
      <c r="C842" s="9" t="s">
        <v>39</v>
      </c>
      <c r="D842" s="10">
        <v>70000</v>
      </c>
      <c r="E842" s="9" t="str" cm="1">
        <f t="array" ref="E842">_xlfn.IFS(D842&lt;= 60000, "Low Income",
D842&lt;=120000,"Medium Income",
D842&gt; 120000,"High Income"
)</f>
        <v>Medium Income</v>
      </c>
      <c r="F842" s="9">
        <v>4</v>
      </c>
      <c r="G842" s="9" t="s">
        <v>21</v>
      </c>
      <c r="H842" s="9" t="s">
        <v>23</v>
      </c>
      <c r="I842" s="9" t="s">
        <v>17</v>
      </c>
      <c r="J842" s="9">
        <v>2</v>
      </c>
      <c r="K842" s="9" t="s">
        <v>41</v>
      </c>
      <c r="L842" s="9" t="s">
        <v>35</v>
      </c>
      <c r="M842" s="9">
        <v>53</v>
      </c>
      <c r="N842" s="9" t="str" cm="1">
        <f t="array" ref="N842">_xlfn.IFS(
M842&lt;=12,"Children",
M842&lt;=19,"Teens",
M842&lt;=29,"Young Adults",
M842&lt;=39,"Adults",
M842&lt;=59,"Middle-Aged",
M842&gt;=60,"Seniors"
)</f>
        <v>Middle-Aged</v>
      </c>
      <c r="O842" s="9" t="s">
        <v>20</v>
      </c>
      <c r="P842" s="9">
        <f t="shared" si="26"/>
        <v>0</v>
      </c>
      <c r="Q842" s="9">
        <v>1</v>
      </c>
      <c r="R842" s="10">
        <f t="shared" si="27"/>
        <v>0</v>
      </c>
    </row>
    <row r="843" spans="1:18" x14ac:dyDescent="0.3">
      <c r="A843" s="9">
        <v>12056</v>
      </c>
      <c r="B843" s="9" t="s">
        <v>37</v>
      </c>
      <c r="C843" s="9" t="s">
        <v>39</v>
      </c>
      <c r="D843" s="10">
        <v>120000</v>
      </c>
      <c r="E843" s="9" t="str" cm="1">
        <f t="array" ref="E843">_xlfn.IFS(D843&lt;= 60000, "Low Income",
D843&lt;=120000,"Medium Income",
D843&gt; 120000,"High Income"
)</f>
        <v>Medium Income</v>
      </c>
      <c r="F843" s="9">
        <v>2</v>
      </c>
      <c r="G843" s="9" t="s">
        <v>34</v>
      </c>
      <c r="H843" s="9" t="s">
        <v>31</v>
      </c>
      <c r="I843" s="9" t="s">
        <v>17</v>
      </c>
      <c r="J843" s="9">
        <v>3</v>
      </c>
      <c r="K843" s="9" t="s">
        <v>26</v>
      </c>
      <c r="L843" s="9" t="s">
        <v>35</v>
      </c>
      <c r="M843" s="9">
        <v>64</v>
      </c>
      <c r="N843" s="9" t="str" cm="1">
        <f t="array" ref="N843">_xlfn.IFS(
M843&lt;=12,"Children",
M843&lt;=19,"Teens",
M843&lt;=29,"Young Adults",
M843&lt;=39,"Adults",
M843&lt;=59,"Middle-Aged",
M843&gt;=60,"Seniors"
)</f>
        <v>Seniors</v>
      </c>
      <c r="O843" s="9" t="s">
        <v>20</v>
      </c>
      <c r="P843" s="9">
        <f t="shared" si="26"/>
        <v>0</v>
      </c>
      <c r="Q843" s="9">
        <v>1</v>
      </c>
      <c r="R843" s="10">
        <f t="shared" si="27"/>
        <v>0</v>
      </c>
    </row>
    <row r="844" spans="1:18" x14ac:dyDescent="0.3">
      <c r="A844" s="9">
        <v>15555</v>
      </c>
      <c r="B844" s="9" t="s">
        <v>37</v>
      </c>
      <c r="C844" s="9" t="s">
        <v>38</v>
      </c>
      <c r="D844" s="10">
        <v>60000</v>
      </c>
      <c r="E844" s="9" t="str" cm="1">
        <f t="array" ref="E844">_xlfn.IFS(D844&lt;= 60000, "Low Income",
D844&lt;=120000,"Medium Income",
D844&gt; 120000,"High Income"
)</f>
        <v>Low Income</v>
      </c>
      <c r="F844" s="9">
        <v>1</v>
      </c>
      <c r="G844" s="9" t="s">
        <v>21</v>
      </c>
      <c r="H844" s="9" t="s">
        <v>16</v>
      </c>
      <c r="I844" s="9" t="s">
        <v>17</v>
      </c>
      <c r="J844" s="9">
        <v>1</v>
      </c>
      <c r="K844" s="9" t="s">
        <v>24</v>
      </c>
      <c r="L844" s="9" t="s">
        <v>35</v>
      </c>
      <c r="M844" s="9">
        <v>45</v>
      </c>
      <c r="N844" s="9" t="str" cm="1">
        <f t="array" ref="N844">_xlfn.IFS(
M844&lt;=12,"Children",
M844&lt;=19,"Teens",
M844&lt;=29,"Young Adults",
M844&lt;=39,"Adults",
M844&lt;=59,"Middle-Aged",
M844&gt;=60,"Seniors"
)</f>
        <v>Middle-Aged</v>
      </c>
      <c r="O844" s="9" t="s">
        <v>17</v>
      </c>
      <c r="P844" s="9">
        <f t="shared" si="26"/>
        <v>1</v>
      </c>
      <c r="Q844" s="9">
        <v>1</v>
      </c>
      <c r="R844" s="10">
        <f t="shared" si="27"/>
        <v>60000</v>
      </c>
    </row>
    <row r="845" spans="1:18" x14ac:dyDescent="0.3">
      <c r="A845" s="9">
        <v>18423</v>
      </c>
      <c r="B845" s="9" t="s">
        <v>40</v>
      </c>
      <c r="C845" s="9" t="s">
        <v>39</v>
      </c>
      <c r="D845" s="10">
        <v>80000</v>
      </c>
      <c r="E845" s="9" t="str" cm="1">
        <f t="array" ref="E845">_xlfn.IFS(D845&lt;= 60000, "Low Income",
D845&lt;=120000,"Medium Income",
D845&gt; 120000,"High Income"
)</f>
        <v>Medium Income</v>
      </c>
      <c r="F845" s="9">
        <v>2</v>
      </c>
      <c r="G845" s="9" t="s">
        <v>32</v>
      </c>
      <c r="H845" s="9" t="s">
        <v>16</v>
      </c>
      <c r="I845" s="9" t="s">
        <v>20</v>
      </c>
      <c r="J845" s="9">
        <v>2</v>
      </c>
      <c r="K845" s="9" t="s">
        <v>29</v>
      </c>
      <c r="L845" s="9" t="s">
        <v>35</v>
      </c>
      <c r="M845" s="9">
        <v>52</v>
      </c>
      <c r="N845" s="9" t="str" cm="1">
        <f t="array" ref="N845">_xlfn.IFS(
M845&lt;=12,"Children",
M845&lt;=19,"Teens",
M845&lt;=29,"Young Adults",
M845&lt;=39,"Adults",
M845&lt;=59,"Middle-Aged",
M845&gt;=60,"Seniors"
)</f>
        <v>Middle-Aged</v>
      </c>
      <c r="O845" s="9" t="s">
        <v>20</v>
      </c>
      <c r="P845" s="9">
        <f t="shared" si="26"/>
        <v>0</v>
      </c>
      <c r="Q845" s="9">
        <v>1</v>
      </c>
      <c r="R845" s="10">
        <f t="shared" si="27"/>
        <v>0</v>
      </c>
    </row>
    <row r="846" spans="1:18" x14ac:dyDescent="0.3">
      <c r="A846" s="9">
        <v>22743</v>
      </c>
      <c r="B846" s="9" t="s">
        <v>37</v>
      </c>
      <c r="C846" s="9" t="s">
        <v>38</v>
      </c>
      <c r="D846" s="10">
        <v>40000</v>
      </c>
      <c r="E846" s="9" t="str" cm="1">
        <f t="array" ref="E846">_xlfn.IFS(D846&lt;= 60000, "Low Income",
D846&lt;=120000,"Medium Income",
D846&gt; 120000,"High Income"
)</f>
        <v>Low Income</v>
      </c>
      <c r="F846" s="9">
        <v>5</v>
      </c>
      <c r="G846" s="9" t="s">
        <v>30</v>
      </c>
      <c r="H846" s="9" t="s">
        <v>23</v>
      </c>
      <c r="I846" s="9" t="s">
        <v>17</v>
      </c>
      <c r="J846" s="9">
        <v>2</v>
      </c>
      <c r="K846" s="9" t="s">
        <v>41</v>
      </c>
      <c r="L846" s="9" t="s">
        <v>35</v>
      </c>
      <c r="M846" s="9">
        <v>60</v>
      </c>
      <c r="N846" s="9" t="str" cm="1">
        <f t="array" ref="N846">_xlfn.IFS(
M846&lt;=12,"Children",
M846&lt;=19,"Teens",
M846&lt;=29,"Young Adults",
M846&lt;=39,"Adults",
M846&lt;=59,"Middle-Aged",
M846&gt;=60,"Seniors"
)</f>
        <v>Seniors</v>
      </c>
      <c r="O846" s="9" t="s">
        <v>20</v>
      </c>
      <c r="P846" s="9">
        <f t="shared" si="26"/>
        <v>0</v>
      </c>
      <c r="Q846" s="9">
        <v>1</v>
      </c>
      <c r="R846" s="10">
        <f t="shared" si="27"/>
        <v>0</v>
      </c>
    </row>
    <row r="847" spans="1:18" x14ac:dyDescent="0.3">
      <c r="A847" s="9">
        <v>25343</v>
      </c>
      <c r="B847" s="9" t="s">
        <v>40</v>
      </c>
      <c r="C847" s="9" t="s">
        <v>38</v>
      </c>
      <c r="D847" s="10">
        <v>20000</v>
      </c>
      <c r="E847" s="9" t="str" cm="1">
        <f t="array" ref="E847">_xlfn.IFS(D847&lt;= 60000, "Low Income",
D847&lt;=120000,"Medium Income",
D847&gt; 120000,"High Income"
)</f>
        <v>Low Income</v>
      </c>
      <c r="F847" s="9">
        <v>3</v>
      </c>
      <c r="G847" s="9" t="s">
        <v>32</v>
      </c>
      <c r="H847" s="9" t="s">
        <v>22</v>
      </c>
      <c r="I847" s="9" t="s">
        <v>17</v>
      </c>
      <c r="J847" s="9">
        <v>2</v>
      </c>
      <c r="K847" s="9" t="s">
        <v>29</v>
      </c>
      <c r="L847" s="9" t="s">
        <v>35</v>
      </c>
      <c r="M847" s="9">
        <v>50</v>
      </c>
      <c r="N847" s="9" t="str" cm="1">
        <f t="array" ref="N847">_xlfn.IFS(
M847&lt;=12,"Children",
M847&lt;=19,"Teens",
M847&lt;=29,"Young Adults",
M847&lt;=39,"Adults",
M847&lt;=59,"Middle-Aged",
M847&gt;=60,"Seniors"
)</f>
        <v>Middle-Aged</v>
      </c>
      <c r="O847" s="9" t="s">
        <v>20</v>
      </c>
      <c r="P847" s="9">
        <f t="shared" si="26"/>
        <v>0</v>
      </c>
      <c r="Q847" s="9">
        <v>1</v>
      </c>
      <c r="R847" s="10">
        <f t="shared" si="27"/>
        <v>0</v>
      </c>
    </row>
    <row r="848" spans="1:18" x14ac:dyDescent="0.3">
      <c r="A848" s="9">
        <v>13390</v>
      </c>
      <c r="B848" s="9" t="s">
        <v>37</v>
      </c>
      <c r="C848" s="9" t="s">
        <v>38</v>
      </c>
      <c r="D848" s="10">
        <v>70000</v>
      </c>
      <c r="E848" s="9" t="str" cm="1">
        <f t="array" ref="E848">_xlfn.IFS(D848&lt;= 60000, "Low Income",
D848&lt;=120000,"Medium Income",
D848&gt; 120000,"High Income"
)</f>
        <v>Medium Income</v>
      </c>
      <c r="F848" s="9">
        <v>4</v>
      </c>
      <c r="G848" s="9" t="s">
        <v>21</v>
      </c>
      <c r="H848" s="9" t="s">
        <v>23</v>
      </c>
      <c r="I848" s="9" t="s">
        <v>20</v>
      </c>
      <c r="J848" s="9">
        <v>1</v>
      </c>
      <c r="K848" s="9" t="s">
        <v>29</v>
      </c>
      <c r="L848" s="9" t="s">
        <v>35</v>
      </c>
      <c r="M848" s="9">
        <v>56</v>
      </c>
      <c r="N848" s="9" t="str" cm="1">
        <f t="array" ref="N848">_xlfn.IFS(
M848&lt;=12,"Children",
M848&lt;=19,"Teens",
M848&lt;=29,"Young Adults",
M848&lt;=39,"Adults",
M848&lt;=59,"Middle-Aged",
M848&gt;=60,"Seniors"
)</f>
        <v>Middle-Aged</v>
      </c>
      <c r="O848" s="9" t="s">
        <v>20</v>
      </c>
      <c r="P848" s="9">
        <f t="shared" si="26"/>
        <v>0</v>
      </c>
      <c r="Q848" s="9">
        <v>1</v>
      </c>
      <c r="R848" s="10">
        <f t="shared" si="27"/>
        <v>0</v>
      </c>
    </row>
    <row r="849" spans="1:18" x14ac:dyDescent="0.3">
      <c r="A849" s="9">
        <v>17482</v>
      </c>
      <c r="B849" s="9" t="s">
        <v>40</v>
      </c>
      <c r="C849" s="9" t="s">
        <v>38</v>
      </c>
      <c r="D849" s="10">
        <v>40000</v>
      </c>
      <c r="E849" s="9" t="str" cm="1">
        <f t="array" ref="E849">_xlfn.IFS(D849&lt;= 60000, "Low Income",
D849&lt;=120000,"Medium Income",
D849&gt; 120000,"High Income"
)</f>
        <v>Low Income</v>
      </c>
      <c r="F849" s="9">
        <v>0</v>
      </c>
      <c r="G849" s="9" t="s">
        <v>32</v>
      </c>
      <c r="H849" s="9" t="s">
        <v>22</v>
      </c>
      <c r="I849" s="9" t="s">
        <v>17</v>
      </c>
      <c r="J849" s="9">
        <v>2</v>
      </c>
      <c r="K849" s="9" t="s">
        <v>26</v>
      </c>
      <c r="L849" s="9" t="s">
        <v>35</v>
      </c>
      <c r="M849" s="9">
        <v>29</v>
      </c>
      <c r="N849" s="9" t="str" cm="1">
        <f t="array" ref="N849">_xlfn.IFS(
M849&lt;=12,"Children",
M849&lt;=19,"Teens",
M849&lt;=29,"Young Adults",
M849&lt;=39,"Adults",
M849&lt;=59,"Middle-Aged",
M849&gt;=60,"Seniors"
)</f>
        <v>Young Adults</v>
      </c>
      <c r="O849" s="9" t="s">
        <v>20</v>
      </c>
      <c r="P849" s="9">
        <f t="shared" si="26"/>
        <v>0</v>
      </c>
      <c r="Q849" s="9">
        <v>1</v>
      </c>
      <c r="R849" s="10">
        <f t="shared" si="27"/>
        <v>0</v>
      </c>
    </row>
    <row r="850" spans="1:18" x14ac:dyDescent="0.3">
      <c r="A850" s="9">
        <v>13176</v>
      </c>
      <c r="B850" s="9" t="s">
        <v>40</v>
      </c>
      <c r="C850" s="9" t="s">
        <v>39</v>
      </c>
      <c r="D850" s="10">
        <v>130000</v>
      </c>
      <c r="E850" s="9" t="str" cm="1">
        <f t="array" ref="E850">_xlfn.IFS(D850&lt;= 60000, "Low Income",
D850&lt;=120000,"Medium Income",
D850&gt; 120000,"High Income"
)</f>
        <v>High Income</v>
      </c>
      <c r="F850" s="9">
        <v>0</v>
      </c>
      <c r="G850" s="9" t="s">
        <v>34</v>
      </c>
      <c r="H850" s="9" t="s">
        <v>31</v>
      </c>
      <c r="I850" s="9" t="s">
        <v>20</v>
      </c>
      <c r="J850" s="9">
        <v>2</v>
      </c>
      <c r="K850" s="9" t="s">
        <v>18</v>
      </c>
      <c r="L850" s="9" t="s">
        <v>35</v>
      </c>
      <c r="M850" s="9">
        <v>38</v>
      </c>
      <c r="N850" s="9" t="str" cm="1">
        <f t="array" ref="N850">_xlfn.IFS(
M850&lt;=12,"Children",
M850&lt;=19,"Teens",
M850&lt;=29,"Young Adults",
M850&lt;=39,"Adults",
M850&lt;=59,"Middle-Aged",
M850&gt;=60,"Seniors"
)</f>
        <v>Adults</v>
      </c>
      <c r="O850" s="9" t="s">
        <v>17</v>
      </c>
      <c r="P850" s="9">
        <f t="shared" si="26"/>
        <v>1</v>
      </c>
      <c r="Q850" s="9">
        <v>1</v>
      </c>
      <c r="R850" s="10">
        <f t="shared" si="27"/>
        <v>130000</v>
      </c>
    </row>
    <row r="851" spans="1:18" x14ac:dyDescent="0.3">
      <c r="A851" s="9">
        <v>20504</v>
      </c>
      <c r="B851" s="9" t="s">
        <v>37</v>
      </c>
      <c r="C851" s="9" t="s">
        <v>38</v>
      </c>
      <c r="D851" s="10">
        <v>40000</v>
      </c>
      <c r="E851" s="9" t="str" cm="1">
        <f t="array" ref="E851">_xlfn.IFS(D851&lt;= 60000, "Low Income",
D851&lt;=120000,"Medium Income",
D851&gt; 120000,"High Income"
)</f>
        <v>Low Income</v>
      </c>
      <c r="F851" s="9">
        <v>5</v>
      </c>
      <c r="G851" s="9" t="s">
        <v>30</v>
      </c>
      <c r="H851" s="9" t="s">
        <v>23</v>
      </c>
      <c r="I851" s="9" t="s">
        <v>20</v>
      </c>
      <c r="J851" s="9">
        <v>2</v>
      </c>
      <c r="K851" s="9" t="s">
        <v>24</v>
      </c>
      <c r="L851" s="9" t="s">
        <v>35</v>
      </c>
      <c r="M851" s="9">
        <v>60</v>
      </c>
      <c r="N851" s="9" t="str" cm="1">
        <f t="array" ref="N851">_xlfn.IFS(
M851&lt;=12,"Children",
M851&lt;=19,"Teens",
M851&lt;=29,"Young Adults",
M851&lt;=39,"Adults",
M851&lt;=59,"Middle-Aged",
M851&gt;=60,"Seniors"
)</f>
        <v>Seniors</v>
      </c>
      <c r="O851" s="9" t="s">
        <v>20</v>
      </c>
      <c r="P851" s="9">
        <f t="shared" si="26"/>
        <v>0</v>
      </c>
      <c r="Q851" s="9">
        <v>1</v>
      </c>
      <c r="R851" s="10">
        <f t="shared" si="27"/>
        <v>0</v>
      </c>
    </row>
    <row r="852" spans="1:18" x14ac:dyDescent="0.3">
      <c r="A852" s="9">
        <v>12205</v>
      </c>
      <c r="B852" s="9" t="s">
        <v>40</v>
      </c>
      <c r="C852" s="9" t="s">
        <v>38</v>
      </c>
      <c r="D852" s="10">
        <v>130000</v>
      </c>
      <c r="E852" s="9" t="str" cm="1">
        <f t="array" ref="E852">_xlfn.IFS(D852&lt;= 60000, "Low Income",
D852&lt;=120000,"Medium Income",
D852&gt; 120000,"High Income"
)</f>
        <v>High Income</v>
      </c>
      <c r="F852" s="9">
        <v>2</v>
      </c>
      <c r="G852" s="9" t="s">
        <v>15</v>
      </c>
      <c r="H852" s="9" t="s">
        <v>31</v>
      </c>
      <c r="I852" s="9" t="s">
        <v>20</v>
      </c>
      <c r="J852" s="9">
        <v>4</v>
      </c>
      <c r="K852" s="9" t="s">
        <v>18</v>
      </c>
      <c r="L852" s="9" t="s">
        <v>35</v>
      </c>
      <c r="M852" s="9">
        <v>67</v>
      </c>
      <c r="N852" s="9" t="str" cm="1">
        <f t="array" ref="N852">_xlfn.IFS(
M852&lt;=12,"Children",
M852&lt;=19,"Teens",
M852&lt;=29,"Young Adults",
M852&lt;=39,"Adults",
M852&lt;=59,"Middle-Aged",
M852&gt;=60,"Seniors"
)</f>
        <v>Seniors</v>
      </c>
      <c r="O852" s="9" t="s">
        <v>20</v>
      </c>
      <c r="P852" s="9">
        <f t="shared" si="26"/>
        <v>0</v>
      </c>
      <c r="Q852" s="9">
        <v>1</v>
      </c>
      <c r="R852" s="10">
        <f t="shared" si="27"/>
        <v>0</v>
      </c>
    </row>
    <row r="853" spans="1:18" x14ac:dyDescent="0.3">
      <c r="A853" s="9">
        <v>16751</v>
      </c>
      <c r="B853" s="9" t="s">
        <v>37</v>
      </c>
      <c r="C853" s="9" t="s">
        <v>39</v>
      </c>
      <c r="D853" s="10">
        <v>60000</v>
      </c>
      <c r="E853" s="9" t="str" cm="1">
        <f t="array" ref="E853">_xlfn.IFS(D853&lt;= 60000, "Low Income",
D853&lt;=120000,"Medium Income",
D853&gt; 120000,"High Income"
)</f>
        <v>Low Income</v>
      </c>
      <c r="F853" s="9">
        <v>0</v>
      </c>
      <c r="G853" s="9" t="s">
        <v>21</v>
      </c>
      <c r="H853" s="9" t="s">
        <v>16</v>
      </c>
      <c r="I853" s="9" t="s">
        <v>17</v>
      </c>
      <c r="J853" s="9">
        <v>1</v>
      </c>
      <c r="K853" s="9" t="s">
        <v>26</v>
      </c>
      <c r="L853" s="9" t="s">
        <v>35</v>
      </c>
      <c r="M853" s="9">
        <v>32</v>
      </c>
      <c r="N853" s="9" t="str" cm="1">
        <f t="array" ref="N853">_xlfn.IFS(
M853&lt;=12,"Children",
M853&lt;=19,"Teens",
M853&lt;=29,"Young Adults",
M853&lt;=39,"Adults",
M853&lt;=59,"Middle-Aged",
M853&gt;=60,"Seniors"
)</f>
        <v>Adults</v>
      </c>
      <c r="O853" s="9" t="s">
        <v>17</v>
      </c>
      <c r="P853" s="9">
        <f t="shared" si="26"/>
        <v>1</v>
      </c>
      <c r="Q853" s="9">
        <v>1</v>
      </c>
      <c r="R853" s="10">
        <f t="shared" si="27"/>
        <v>60000</v>
      </c>
    </row>
    <row r="854" spans="1:18" x14ac:dyDescent="0.3">
      <c r="A854" s="9">
        <v>21613</v>
      </c>
      <c r="B854" s="9" t="s">
        <v>40</v>
      </c>
      <c r="C854" s="9" t="s">
        <v>39</v>
      </c>
      <c r="D854" s="10">
        <v>50000</v>
      </c>
      <c r="E854" s="9" t="str" cm="1">
        <f t="array" ref="E854">_xlfn.IFS(D854&lt;= 60000, "Low Income",
D854&lt;=120000,"Medium Income",
D854&gt; 120000,"High Income"
)</f>
        <v>Low Income</v>
      </c>
      <c r="F854" s="9">
        <v>2</v>
      </c>
      <c r="G854" s="9" t="s">
        <v>15</v>
      </c>
      <c r="H854" s="9" t="s">
        <v>16</v>
      </c>
      <c r="I854" s="9" t="s">
        <v>20</v>
      </c>
      <c r="J854" s="9">
        <v>1</v>
      </c>
      <c r="K854" s="9" t="s">
        <v>18</v>
      </c>
      <c r="L854" s="9" t="s">
        <v>35</v>
      </c>
      <c r="M854" s="9">
        <v>39</v>
      </c>
      <c r="N854" s="9" t="str" cm="1">
        <f t="array" ref="N854">_xlfn.IFS(
M854&lt;=12,"Children",
M854&lt;=19,"Teens",
M854&lt;=29,"Young Adults",
M854&lt;=39,"Adults",
M854&lt;=59,"Middle-Aged",
M854&gt;=60,"Seniors"
)</f>
        <v>Adults</v>
      </c>
      <c r="O854" s="9" t="s">
        <v>17</v>
      </c>
      <c r="P854" s="9">
        <f t="shared" si="26"/>
        <v>1</v>
      </c>
      <c r="Q854" s="9">
        <v>1</v>
      </c>
      <c r="R854" s="10">
        <f t="shared" si="27"/>
        <v>50000</v>
      </c>
    </row>
    <row r="855" spans="1:18" x14ac:dyDescent="0.3">
      <c r="A855" s="9">
        <v>24801</v>
      </c>
      <c r="B855" s="9" t="s">
        <v>40</v>
      </c>
      <c r="C855" s="9" t="s">
        <v>39</v>
      </c>
      <c r="D855" s="10">
        <v>60000</v>
      </c>
      <c r="E855" s="9" t="str" cm="1">
        <f t="array" ref="E855">_xlfn.IFS(D855&lt;= 60000, "Low Income",
D855&lt;=120000,"Medium Income",
D855&gt; 120000,"High Income"
)</f>
        <v>Low Income</v>
      </c>
      <c r="F855" s="9">
        <v>1</v>
      </c>
      <c r="G855" s="9" t="s">
        <v>34</v>
      </c>
      <c r="H855" s="9" t="s">
        <v>23</v>
      </c>
      <c r="I855" s="9" t="s">
        <v>17</v>
      </c>
      <c r="J855" s="9">
        <v>0</v>
      </c>
      <c r="K855" s="9" t="s">
        <v>24</v>
      </c>
      <c r="L855" s="9" t="s">
        <v>35</v>
      </c>
      <c r="M855" s="9">
        <v>35</v>
      </c>
      <c r="N855" s="9" t="str" cm="1">
        <f t="array" ref="N855">_xlfn.IFS(
M855&lt;=12,"Children",
M855&lt;=19,"Teens",
M855&lt;=29,"Young Adults",
M855&lt;=39,"Adults",
M855&lt;=59,"Middle-Aged",
M855&gt;=60,"Seniors"
)</f>
        <v>Adults</v>
      </c>
      <c r="O855" s="9" t="s">
        <v>17</v>
      </c>
      <c r="P855" s="9">
        <f t="shared" si="26"/>
        <v>1</v>
      </c>
      <c r="Q855" s="9">
        <v>1</v>
      </c>
      <c r="R855" s="10">
        <f t="shared" si="27"/>
        <v>60000</v>
      </c>
    </row>
    <row r="856" spans="1:18" x14ac:dyDescent="0.3">
      <c r="A856" s="9">
        <v>17519</v>
      </c>
      <c r="B856" s="9" t="s">
        <v>37</v>
      </c>
      <c r="C856" s="9" t="s">
        <v>38</v>
      </c>
      <c r="D856" s="10">
        <v>60000</v>
      </c>
      <c r="E856" s="9" t="str" cm="1">
        <f t="array" ref="E856">_xlfn.IFS(D856&lt;= 60000, "Low Income",
D856&lt;=120000,"Medium Income",
D856&gt; 120000,"High Income"
)</f>
        <v>Low Income</v>
      </c>
      <c r="F856" s="9">
        <v>0</v>
      </c>
      <c r="G856" s="9" t="s">
        <v>21</v>
      </c>
      <c r="H856" s="9" t="s">
        <v>23</v>
      </c>
      <c r="I856" s="9" t="s">
        <v>17</v>
      </c>
      <c r="J856" s="9">
        <v>2</v>
      </c>
      <c r="K856" s="9" t="s">
        <v>26</v>
      </c>
      <c r="L856" s="9" t="s">
        <v>35</v>
      </c>
      <c r="M856" s="9">
        <v>32</v>
      </c>
      <c r="N856" s="9" t="str" cm="1">
        <f t="array" ref="N856">_xlfn.IFS(
M856&lt;=12,"Children",
M856&lt;=19,"Teens",
M856&lt;=29,"Young Adults",
M856&lt;=39,"Adults",
M856&lt;=59,"Middle-Aged",
M856&gt;=60,"Seniors"
)</f>
        <v>Adults</v>
      </c>
      <c r="O856" s="9" t="s">
        <v>20</v>
      </c>
      <c r="P856" s="9">
        <f t="shared" si="26"/>
        <v>0</v>
      </c>
      <c r="Q856" s="9">
        <v>1</v>
      </c>
      <c r="R856" s="10">
        <f t="shared" si="27"/>
        <v>0</v>
      </c>
    </row>
    <row r="857" spans="1:18" x14ac:dyDescent="0.3">
      <c r="A857" s="9">
        <v>18347</v>
      </c>
      <c r="B857" s="9" t="s">
        <v>40</v>
      </c>
      <c r="C857" s="9" t="s">
        <v>38</v>
      </c>
      <c r="D857" s="10">
        <v>30000</v>
      </c>
      <c r="E857" s="9" t="str" cm="1">
        <f t="array" ref="E857">_xlfn.IFS(D857&lt;= 60000, "Low Income",
D857&lt;=120000,"Medium Income",
D857&gt; 120000,"High Income"
)</f>
        <v>Low Income</v>
      </c>
      <c r="F857" s="9">
        <v>0</v>
      </c>
      <c r="G857" s="9" t="s">
        <v>21</v>
      </c>
      <c r="H857" s="9" t="s">
        <v>16</v>
      </c>
      <c r="I857" s="9" t="s">
        <v>20</v>
      </c>
      <c r="J857" s="9">
        <v>1</v>
      </c>
      <c r="K857" s="9" t="s">
        <v>29</v>
      </c>
      <c r="L857" s="9" t="s">
        <v>35</v>
      </c>
      <c r="M857" s="9">
        <v>31</v>
      </c>
      <c r="N857" s="9" t="str" cm="1">
        <f t="array" ref="N857">_xlfn.IFS(
M857&lt;=12,"Children",
M857&lt;=19,"Teens",
M857&lt;=29,"Young Adults",
M857&lt;=39,"Adults",
M857&lt;=59,"Middle-Aged",
M857&gt;=60,"Seniors"
)</f>
        <v>Adults</v>
      </c>
      <c r="O857" s="9" t="s">
        <v>20</v>
      </c>
      <c r="P857" s="9">
        <f t="shared" si="26"/>
        <v>0</v>
      </c>
      <c r="Q857" s="9">
        <v>1</v>
      </c>
      <c r="R857" s="10">
        <f t="shared" si="27"/>
        <v>0</v>
      </c>
    </row>
    <row r="858" spans="1:18" x14ac:dyDescent="0.3">
      <c r="A858" s="9">
        <v>29052</v>
      </c>
      <c r="B858" s="9" t="s">
        <v>40</v>
      </c>
      <c r="C858" s="9" t="s">
        <v>39</v>
      </c>
      <c r="D858" s="10">
        <v>40000</v>
      </c>
      <c r="E858" s="9" t="str" cm="1">
        <f t="array" ref="E858">_xlfn.IFS(D858&lt;= 60000, "Low Income",
D858&lt;=120000,"Medium Income",
D858&gt; 120000,"High Income"
)</f>
        <v>Low Income</v>
      </c>
      <c r="F858" s="9">
        <v>0</v>
      </c>
      <c r="G858" s="9" t="s">
        <v>21</v>
      </c>
      <c r="H858" s="9" t="s">
        <v>16</v>
      </c>
      <c r="I858" s="9" t="s">
        <v>17</v>
      </c>
      <c r="J858" s="9">
        <v>1</v>
      </c>
      <c r="K858" s="9" t="s">
        <v>26</v>
      </c>
      <c r="L858" s="9" t="s">
        <v>35</v>
      </c>
      <c r="M858" s="9">
        <v>27</v>
      </c>
      <c r="N858" s="9" t="str" cm="1">
        <f t="array" ref="N858">_xlfn.IFS(
M858&lt;=12,"Children",
M858&lt;=19,"Teens",
M858&lt;=29,"Young Adults",
M858&lt;=39,"Adults",
M858&lt;=59,"Middle-Aged",
M858&gt;=60,"Seniors"
)</f>
        <v>Young Adults</v>
      </c>
      <c r="O858" s="9" t="s">
        <v>20</v>
      </c>
      <c r="P858" s="9">
        <f t="shared" si="26"/>
        <v>0</v>
      </c>
      <c r="Q858" s="9">
        <v>1</v>
      </c>
      <c r="R858" s="10">
        <f t="shared" si="27"/>
        <v>0</v>
      </c>
    </row>
    <row r="859" spans="1:18" x14ac:dyDescent="0.3">
      <c r="A859" s="9">
        <v>11745</v>
      </c>
      <c r="B859" s="9" t="s">
        <v>37</v>
      </c>
      <c r="C859" s="9" t="s">
        <v>38</v>
      </c>
      <c r="D859" s="10">
        <v>60000</v>
      </c>
      <c r="E859" s="9" t="str" cm="1">
        <f t="array" ref="E859">_xlfn.IFS(D859&lt;= 60000, "Low Income",
D859&lt;=120000,"Medium Income",
D859&gt; 120000,"High Income"
)</f>
        <v>Low Income</v>
      </c>
      <c r="F859" s="9">
        <v>1</v>
      </c>
      <c r="G859" s="9" t="s">
        <v>15</v>
      </c>
      <c r="H859" s="9" t="s">
        <v>23</v>
      </c>
      <c r="I859" s="9" t="s">
        <v>17</v>
      </c>
      <c r="J859" s="9">
        <v>1</v>
      </c>
      <c r="K859" s="9" t="s">
        <v>18</v>
      </c>
      <c r="L859" s="9" t="s">
        <v>35</v>
      </c>
      <c r="M859" s="9">
        <v>47</v>
      </c>
      <c r="N859" s="9" t="str" cm="1">
        <f t="array" ref="N859">_xlfn.IFS(
M859&lt;=12,"Children",
M859&lt;=19,"Teens",
M859&lt;=29,"Young Adults",
M859&lt;=39,"Adults",
M859&lt;=59,"Middle-Aged",
M859&gt;=60,"Seniors"
)</f>
        <v>Middle-Aged</v>
      </c>
      <c r="O859" s="9" t="s">
        <v>17</v>
      </c>
      <c r="P859" s="9">
        <f t="shared" si="26"/>
        <v>1</v>
      </c>
      <c r="Q859" s="9">
        <v>1</v>
      </c>
      <c r="R859" s="10">
        <f t="shared" si="27"/>
        <v>60000</v>
      </c>
    </row>
    <row r="860" spans="1:18" x14ac:dyDescent="0.3">
      <c r="A860" s="9">
        <v>19147</v>
      </c>
      <c r="B860" s="9" t="s">
        <v>37</v>
      </c>
      <c r="C860" s="9" t="s">
        <v>39</v>
      </c>
      <c r="D860" s="10">
        <v>40000</v>
      </c>
      <c r="E860" s="9" t="str" cm="1">
        <f t="array" ref="E860">_xlfn.IFS(D860&lt;= 60000, "Low Income",
D860&lt;=120000,"Medium Income",
D860&gt; 120000,"High Income"
)</f>
        <v>Low Income</v>
      </c>
      <c r="F860" s="9">
        <v>0</v>
      </c>
      <c r="G860" s="9" t="s">
        <v>15</v>
      </c>
      <c r="H860" s="9" t="s">
        <v>23</v>
      </c>
      <c r="I860" s="9" t="s">
        <v>20</v>
      </c>
      <c r="J860" s="9">
        <v>1</v>
      </c>
      <c r="K860" s="9" t="s">
        <v>18</v>
      </c>
      <c r="L860" s="9" t="s">
        <v>35</v>
      </c>
      <c r="M860" s="9">
        <v>42</v>
      </c>
      <c r="N860" s="9" t="str" cm="1">
        <f t="array" ref="N860">_xlfn.IFS(
M860&lt;=12,"Children",
M860&lt;=19,"Teens",
M860&lt;=29,"Young Adults",
M860&lt;=39,"Adults",
M860&lt;=59,"Middle-Aged",
M860&gt;=60,"Seniors"
)</f>
        <v>Middle-Aged</v>
      </c>
      <c r="O860" s="9" t="s">
        <v>20</v>
      </c>
      <c r="P860" s="9">
        <f t="shared" si="26"/>
        <v>0</v>
      </c>
      <c r="Q860" s="9">
        <v>1</v>
      </c>
      <c r="R860" s="10">
        <f t="shared" si="27"/>
        <v>0</v>
      </c>
    </row>
    <row r="861" spans="1:18" x14ac:dyDescent="0.3">
      <c r="A861" s="9">
        <v>19217</v>
      </c>
      <c r="B861" s="9" t="s">
        <v>37</v>
      </c>
      <c r="C861" s="9" t="s">
        <v>39</v>
      </c>
      <c r="D861" s="10">
        <v>30000</v>
      </c>
      <c r="E861" s="9" t="str" cm="1">
        <f t="array" ref="E861">_xlfn.IFS(D861&lt;= 60000, "Low Income",
D861&lt;=120000,"Medium Income",
D861&gt; 120000,"High Income"
)</f>
        <v>Low Income</v>
      </c>
      <c r="F861" s="9">
        <v>2</v>
      </c>
      <c r="G861" s="9" t="s">
        <v>30</v>
      </c>
      <c r="H861" s="9" t="s">
        <v>16</v>
      </c>
      <c r="I861" s="9" t="s">
        <v>17</v>
      </c>
      <c r="J861" s="9">
        <v>2</v>
      </c>
      <c r="K861" s="9" t="s">
        <v>29</v>
      </c>
      <c r="L861" s="9" t="s">
        <v>35</v>
      </c>
      <c r="M861" s="9">
        <v>49</v>
      </c>
      <c r="N861" s="9" t="str" cm="1">
        <f t="array" ref="N861">_xlfn.IFS(
M861&lt;=12,"Children",
M861&lt;=19,"Teens",
M861&lt;=29,"Young Adults",
M861&lt;=39,"Adults",
M861&lt;=59,"Middle-Aged",
M861&gt;=60,"Seniors"
)</f>
        <v>Middle-Aged</v>
      </c>
      <c r="O861" s="9" t="s">
        <v>20</v>
      </c>
      <c r="P861" s="9">
        <f t="shared" si="26"/>
        <v>0</v>
      </c>
      <c r="Q861" s="9">
        <v>1</v>
      </c>
      <c r="R861" s="10">
        <f t="shared" si="27"/>
        <v>0</v>
      </c>
    </row>
    <row r="862" spans="1:18" x14ac:dyDescent="0.3">
      <c r="A862" s="9">
        <v>15839</v>
      </c>
      <c r="B862" s="9" t="s">
        <v>40</v>
      </c>
      <c r="C862" s="9" t="s">
        <v>39</v>
      </c>
      <c r="D862" s="10">
        <v>30000</v>
      </c>
      <c r="E862" s="9" t="str" cm="1">
        <f t="array" ref="E862">_xlfn.IFS(D862&lt;= 60000, "Low Income",
D862&lt;=120000,"Medium Income",
D862&gt; 120000,"High Income"
)</f>
        <v>Low Income</v>
      </c>
      <c r="F862" s="9">
        <v>0</v>
      </c>
      <c r="G862" s="9" t="s">
        <v>21</v>
      </c>
      <c r="H862" s="9" t="s">
        <v>16</v>
      </c>
      <c r="I862" s="9" t="s">
        <v>17</v>
      </c>
      <c r="J862" s="9">
        <v>1</v>
      </c>
      <c r="K862" s="9" t="s">
        <v>26</v>
      </c>
      <c r="L862" s="9" t="s">
        <v>35</v>
      </c>
      <c r="M862" s="9">
        <v>32</v>
      </c>
      <c r="N862" s="9" t="str" cm="1">
        <f t="array" ref="N862">_xlfn.IFS(
M862&lt;=12,"Children",
M862&lt;=19,"Teens",
M862&lt;=29,"Young Adults",
M862&lt;=39,"Adults",
M862&lt;=59,"Middle-Aged",
M862&gt;=60,"Seniors"
)</f>
        <v>Adults</v>
      </c>
      <c r="O862" s="9" t="s">
        <v>20</v>
      </c>
      <c r="P862" s="9">
        <f t="shared" si="26"/>
        <v>0</v>
      </c>
      <c r="Q862" s="9">
        <v>1</v>
      </c>
      <c r="R862" s="10">
        <f t="shared" si="27"/>
        <v>0</v>
      </c>
    </row>
    <row r="863" spans="1:18" x14ac:dyDescent="0.3">
      <c r="A863" s="9">
        <v>13714</v>
      </c>
      <c r="B863" s="9" t="s">
        <v>37</v>
      </c>
      <c r="C863" s="9" t="s">
        <v>38</v>
      </c>
      <c r="D863" s="10">
        <v>20000</v>
      </c>
      <c r="E863" s="9" t="str" cm="1">
        <f t="array" ref="E863">_xlfn.IFS(D863&lt;= 60000, "Low Income",
D863&lt;=120000,"Medium Income",
D863&gt; 120000,"High Income"
)</f>
        <v>Low Income</v>
      </c>
      <c r="F863" s="9">
        <v>2</v>
      </c>
      <c r="G863" s="9" t="s">
        <v>30</v>
      </c>
      <c r="H863" s="9" t="s">
        <v>28</v>
      </c>
      <c r="I863" s="9" t="s">
        <v>20</v>
      </c>
      <c r="J863" s="9">
        <v>2</v>
      </c>
      <c r="K863" s="9" t="s">
        <v>29</v>
      </c>
      <c r="L863" s="9" t="s">
        <v>35</v>
      </c>
      <c r="M863" s="9">
        <v>53</v>
      </c>
      <c r="N863" s="9" t="str" cm="1">
        <f t="array" ref="N863">_xlfn.IFS(
M863&lt;=12,"Children",
M863&lt;=19,"Teens",
M863&lt;=29,"Young Adults",
M863&lt;=39,"Adults",
M863&lt;=59,"Middle-Aged",
M863&gt;=60,"Seniors"
)</f>
        <v>Middle-Aged</v>
      </c>
      <c r="O863" s="9" t="s">
        <v>17</v>
      </c>
      <c r="P863" s="9">
        <f t="shared" si="26"/>
        <v>1</v>
      </c>
      <c r="Q863" s="9">
        <v>1</v>
      </c>
      <c r="R863" s="10">
        <f t="shared" si="27"/>
        <v>20000</v>
      </c>
    </row>
    <row r="864" spans="1:18" x14ac:dyDescent="0.3">
      <c r="A864" s="9">
        <v>22330</v>
      </c>
      <c r="B864" s="9" t="s">
        <v>37</v>
      </c>
      <c r="C864" s="9" t="s">
        <v>39</v>
      </c>
      <c r="D864" s="10">
        <v>50000</v>
      </c>
      <c r="E864" s="9" t="str" cm="1">
        <f t="array" ref="E864">_xlfn.IFS(D864&lt;= 60000, "Low Income",
D864&lt;=120000,"Medium Income",
D864&gt; 120000,"High Income"
)</f>
        <v>Low Income</v>
      </c>
      <c r="F864" s="9">
        <v>0</v>
      </c>
      <c r="G864" s="9" t="s">
        <v>34</v>
      </c>
      <c r="H864" s="9" t="s">
        <v>16</v>
      </c>
      <c r="I864" s="9" t="s">
        <v>17</v>
      </c>
      <c r="J864" s="9">
        <v>0</v>
      </c>
      <c r="K864" s="9" t="s">
        <v>29</v>
      </c>
      <c r="L864" s="9" t="s">
        <v>35</v>
      </c>
      <c r="M864" s="9">
        <v>32</v>
      </c>
      <c r="N864" s="9" t="str" cm="1">
        <f t="array" ref="N864">_xlfn.IFS(
M864&lt;=12,"Children",
M864&lt;=19,"Teens",
M864&lt;=29,"Young Adults",
M864&lt;=39,"Adults",
M864&lt;=59,"Middle-Aged",
M864&gt;=60,"Seniors"
)</f>
        <v>Adults</v>
      </c>
      <c r="O864" s="9" t="s">
        <v>17</v>
      </c>
      <c r="P864" s="9">
        <f t="shared" si="26"/>
        <v>1</v>
      </c>
      <c r="Q864" s="9">
        <v>1</v>
      </c>
      <c r="R864" s="10">
        <f t="shared" si="27"/>
        <v>50000</v>
      </c>
    </row>
    <row r="865" spans="1:18" x14ac:dyDescent="0.3">
      <c r="A865" s="9">
        <v>18783</v>
      </c>
      <c r="B865" s="9" t="s">
        <v>40</v>
      </c>
      <c r="C865" s="9" t="s">
        <v>39</v>
      </c>
      <c r="D865" s="10">
        <v>80000</v>
      </c>
      <c r="E865" s="9" t="str" cm="1">
        <f t="array" ref="E865">_xlfn.IFS(D865&lt;= 60000, "Low Income",
D865&lt;=120000,"Medium Income",
D865&gt; 120000,"High Income"
)</f>
        <v>Medium Income</v>
      </c>
      <c r="F865" s="9">
        <v>0</v>
      </c>
      <c r="G865" s="9" t="s">
        <v>15</v>
      </c>
      <c r="H865" s="9" t="s">
        <v>31</v>
      </c>
      <c r="I865" s="9" t="s">
        <v>20</v>
      </c>
      <c r="J865" s="9">
        <v>1</v>
      </c>
      <c r="K865" s="9" t="s">
        <v>18</v>
      </c>
      <c r="L865" s="9" t="s">
        <v>35</v>
      </c>
      <c r="M865" s="9">
        <v>38</v>
      </c>
      <c r="N865" s="9" t="str" cm="1">
        <f t="array" ref="N865">_xlfn.IFS(
M865&lt;=12,"Children",
M865&lt;=19,"Teens",
M865&lt;=29,"Young Adults",
M865&lt;=39,"Adults",
M865&lt;=59,"Middle-Aged",
M865&gt;=60,"Seniors"
)</f>
        <v>Adults</v>
      </c>
      <c r="O865" s="9" t="s">
        <v>17</v>
      </c>
      <c r="P865" s="9">
        <f t="shared" si="26"/>
        <v>1</v>
      </c>
      <c r="Q865" s="9">
        <v>1</v>
      </c>
      <c r="R865" s="10">
        <f t="shared" si="27"/>
        <v>80000</v>
      </c>
    </row>
    <row r="866" spans="1:18" x14ac:dyDescent="0.3">
      <c r="A866" s="9">
        <v>25041</v>
      </c>
      <c r="B866" s="9" t="s">
        <v>40</v>
      </c>
      <c r="C866" s="9" t="s">
        <v>39</v>
      </c>
      <c r="D866" s="10">
        <v>40000</v>
      </c>
      <c r="E866" s="9" t="str" cm="1">
        <f t="array" ref="E866">_xlfn.IFS(D866&lt;= 60000, "Low Income",
D866&lt;=120000,"Medium Income",
D866&gt; 120000,"High Income"
)</f>
        <v>Low Income</v>
      </c>
      <c r="F866" s="9">
        <v>0</v>
      </c>
      <c r="G866" s="9" t="s">
        <v>30</v>
      </c>
      <c r="H866" s="9" t="s">
        <v>16</v>
      </c>
      <c r="I866" s="9" t="s">
        <v>17</v>
      </c>
      <c r="J866" s="9">
        <v>2</v>
      </c>
      <c r="K866" s="9" t="s">
        <v>26</v>
      </c>
      <c r="L866" s="9" t="s">
        <v>35</v>
      </c>
      <c r="M866" s="9">
        <v>31</v>
      </c>
      <c r="N866" s="9" t="str" cm="1">
        <f t="array" ref="N866">_xlfn.IFS(
M866&lt;=12,"Children",
M866&lt;=19,"Teens",
M866&lt;=29,"Young Adults",
M866&lt;=39,"Adults",
M866&lt;=59,"Middle-Aged",
M866&gt;=60,"Seniors"
)</f>
        <v>Adults</v>
      </c>
      <c r="O866" s="9" t="s">
        <v>20</v>
      </c>
      <c r="P866" s="9">
        <f t="shared" si="26"/>
        <v>0</v>
      </c>
      <c r="Q866" s="9">
        <v>1</v>
      </c>
      <c r="R866" s="10">
        <f t="shared" si="27"/>
        <v>0</v>
      </c>
    </row>
    <row r="867" spans="1:18" x14ac:dyDescent="0.3">
      <c r="A867" s="9">
        <v>22046</v>
      </c>
      <c r="B867" s="9" t="s">
        <v>40</v>
      </c>
      <c r="C867" s="9" t="s">
        <v>38</v>
      </c>
      <c r="D867" s="10">
        <v>80000</v>
      </c>
      <c r="E867" s="9" t="str" cm="1">
        <f t="array" ref="E867">_xlfn.IFS(D867&lt;= 60000, "Low Income",
D867&lt;=120000,"Medium Income",
D867&gt; 120000,"High Income"
)</f>
        <v>Medium Income</v>
      </c>
      <c r="F867" s="9">
        <v>0</v>
      </c>
      <c r="G867" s="9" t="s">
        <v>15</v>
      </c>
      <c r="H867" s="9" t="s">
        <v>31</v>
      </c>
      <c r="I867" s="9" t="s">
        <v>20</v>
      </c>
      <c r="J867" s="9">
        <v>1</v>
      </c>
      <c r="K867" s="9" t="s">
        <v>18</v>
      </c>
      <c r="L867" s="9" t="s">
        <v>35</v>
      </c>
      <c r="M867" s="9">
        <v>38</v>
      </c>
      <c r="N867" s="9" t="str" cm="1">
        <f t="array" ref="N867">_xlfn.IFS(
M867&lt;=12,"Children",
M867&lt;=19,"Teens",
M867&lt;=29,"Young Adults",
M867&lt;=39,"Adults",
M867&lt;=59,"Middle-Aged",
M867&gt;=60,"Seniors"
)</f>
        <v>Adults</v>
      </c>
      <c r="O867" s="9" t="s">
        <v>17</v>
      </c>
      <c r="P867" s="9">
        <f t="shared" si="26"/>
        <v>1</v>
      </c>
      <c r="Q867" s="9">
        <v>1</v>
      </c>
      <c r="R867" s="10">
        <f t="shared" si="27"/>
        <v>80000</v>
      </c>
    </row>
    <row r="868" spans="1:18" x14ac:dyDescent="0.3">
      <c r="A868" s="9">
        <v>28052</v>
      </c>
      <c r="B868" s="9" t="s">
        <v>37</v>
      </c>
      <c r="C868" s="9" t="s">
        <v>39</v>
      </c>
      <c r="D868" s="10">
        <v>60000</v>
      </c>
      <c r="E868" s="9" t="str" cm="1">
        <f t="array" ref="E868">_xlfn.IFS(D868&lt;= 60000, "Low Income",
D868&lt;=120000,"Medium Income",
D868&gt; 120000,"High Income"
)</f>
        <v>Low Income</v>
      </c>
      <c r="F868" s="9">
        <v>2</v>
      </c>
      <c r="G868" s="9" t="s">
        <v>30</v>
      </c>
      <c r="H868" s="9" t="s">
        <v>23</v>
      </c>
      <c r="I868" s="9" t="s">
        <v>17</v>
      </c>
      <c r="J868" s="9">
        <v>2</v>
      </c>
      <c r="K868" s="9" t="s">
        <v>41</v>
      </c>
      <c r="L868" s="9" t="s">
        <v>35</v>
      </c>
      <c r="M868" s="9">
        <v>55</v>
      </c>
      <c r="N868" s="9" t="str" cm="1">
        <f t="array" ref="N868">_xlfn.IFS(
M868&lt;=12,"Children",
M868&lt;=19,"Teens",
M868&lt;=29,"Young Adults",
M868&lt;=39,"Adults",
M868&lt;=59,"Middle-Aged",
M868&gt;=60,"Seniors"
)</f>
        <v>Middle-Aged</v>
      </c>
      <c r="O868" s="9" t="s">
        <v>20</v>
      </c>
      <c r="P868" s="9">
        <f t="shared" si="26"/>
        <v>0</v>
      </c>
      <c r="Q868" s="9">
        <v>1</v>
      </c>
      <c r="R868" s="10">
        <f t="shared" si="27"/>
        <v>0</v>
      </c>
    </row>
    <row r="869" spans="1:18" x14ac:dyDescent="0.3">
      <c r="A869" s="9">
        <v>26693</v>
      </c>
      <c r="B869" s="9" t="s">
        <v>37</v>
      </c>
      <c r="C869" s="9" t="s">
        <v>39</v>
      </c>
      <c r="D869" s="10">
        <v>70000</v>
      </c>
      <c r="E869" s="9" t="str" cm="1">
        <f t="array" ref="E869">_xlfn.IFS(D869&lt;= 60000, "Low Income",
D869&lt;=120000,"Medium Income",
D869&gt; 120000,"High Income"
)</f>
        <v>Medium Income</v>
      </c>
      <c r="F869" s="9">
        <v>3</v>
      </c>
      <c r="G869" s="9" t="s">
        <v>21</v>
      </c>
      <c r="H869" s="9" t="s">
        <v>23</v>
      </c>
      <c r="I869" s="9" t="s">
        <v>17</v>
      </c>
      <c r="J869" s="9">
        <v>1</v>
      </c>
      <c r="K869" s="9" t="s">
        <v>26</v>
      </c>
      <c r="L869" s="9" t="s">
        <v>35</v>
      </c>
      <c r="M869" s="9">
        <v>49</v>
      </c>
      <c r="N869" s="9" t="str" cm="1">
        <f t="array" ref="N869">_xlfn.IFS(
M869&lt;=12,"Children",
M869&lt;=19,"Teens",
M869&lt;=29,"Young Adults",
M869&lt;=39,"Adults",
M869&lt;=59,"Middle-Aged",
M869&gt;=60,"Seniors"
)</f>
        <v>Middle-Aged</v>
      </c>
      <c r="O869" s="9" t="s">
        <v>20</v>
      </c>
      <c r="P869" s="9">
        <f t="shared" si="26"/>
        <v>0</v>
      </c>
      <c r="Q869" s="9">
        <v>1</v>
      </c>
      <c r="R869" s="10">
        <f t="shared" si="27"/>
        <v>0</v>
      </c>
    </row>
    <row r="870" spans="1:18" x14ac:dyDescent="0.3">
      <c r="A870" s="9">
        <v>24955</v>
      </c>
      <c r="B870" s="9" t="s">
        <v>40</v>
      </c>
      <c r="C870" s="9" t="s">
        <v>39</v>
      </c>
      <c r="D870" s="10">
        <v>30000</v>
      </c>
      <c r="E870" s="9" t="str" cm="1">
        <f t="array" ref="E870">_xlfn.IFS(D870&lt;= 60000, "Low Income",
D870&lt;=120000,"Medium Income",
D870&gt; 120000,"High Income"
)</f>
        <v>Low Income</v>
      </c>
      <c r="F870" s="9">
        <v>5</v>
      </c>
      <c r="G870" s="9" t="s">
        <v>32</v>
      </c>
      <c r="H870" s="9" t="s">
        <v>16</v>
      </c>
      <c r="I870" s="9" t="s">
        <v>17</v>
      </c>
      <c r="J870" s="9">
        <v>3</v>
      </c>
      <c r="K870" s="9" t="s">
        <v>41</v>
      </c>
      <c r="L870" s="9" t="s">
        <v>35</v>
      </c>
      <c r="M870" s="9">
        <v>60</v>
      </c>
      <c r="N870" s="9" t="str" cm="1">
        <f t="array" ref="N870">_xlfn.IFS(
M870&lt;=12,"Children",
M870&lt;=19,"Teens",
M870&lt;=29,"Young Adults",
M870&lt;=39,"Adults",
M870&lt;=59,"Middle-Aged",
M870&gt;=60,"Seniors"
)</f>
        <v>Seniors</v>
      </c>
      <c r="O870" s="9" t="s">
        <v>17</v>
      </c>
      <c r="P870" s="9">
        <f t="shared" si="26"/>
        <v>1</v>
      </c>
      <c r="Q870" s="9">
        <v>1</v>
      </c>
      <c r="R870" s="10">
        <f t="shared" si="27"/>
        <v>30000</v>
      </c>
    </row>
    <row r="871" spans="1:18" x14ac:dyDescent="0.3">
      <c r="A871" s="9">
        <v>26065</v>
      </c>
      <c r="B871" s="9" t="s">
        <v>40</v>
      </c>
      <c r="C871" s="9" t="s">
        <v>38</v>
      </c>
      <c r="D871" s="10">
        <v>110000</v>
      </c>
      <c r="E871" s="9" t="str" cm="1">
        <f t="array" ref="E871">_xlfn.IFS(D871&lt;= 60000, "Low Income",
D871&lt;=120000,"Medium Income",
D871&gt; 120000,"High Income"
)</f>
        <v>Medium Income</v>
      </c>
      <c r="F871" s="9">
        <v>3</v>
      </c>
      <c r="G871" s="9" t="s">
        <v>15</v>
      </c>
      <c r="H871" s="9" t="s">
        <v>31</v>
      </c>
      <c r="I871" s="9" t="s">
        <v>20</v>
      </c>
      <c r="J871" s="9">
        <v>4</v>
      </c>
      <c r="K871" s="9" t="s">
        <v>29</v>
      </c>
      <c r="L871" s="9" t="s">
        <v>35</v>
      </c>
      <c r="M871" s="9">
        <v>42</v>
      </c>
      <c r="N871" s="9" t="str" cm="1">
        <f t="array" ref="N871">_xlfn.IFS(
M871&lt;=12,"Children",
M871&lt;=19,"Teens",
M871&lt;=29,"Young Adults",
M871&lt;=39,"Adults",
M871&lt;=59,"Middle-Aged",
M871&gt;=60,"Seniors"
)</f>
        <v>Middle-Aged</v>
      </c>
      <c r="O871" s="9" t="s">
        <v>20</v>
      </c>
      <c r="P871" s="9">
        <f t="shared" si="26"/>
        <v>0</v>
      </c>
      <c r="Q871" s="9">
        <v>1</v>
      </c>
      <c r="R871" s="10">
        <f t="shared" si="27"/>
        <v>0</v>
      </c>
    </row>
    <row r="872" spans="1:18" x14ac:dyDescent="0.3">
      <c r="A872" s="9">
        <v>13942</v>
      </c>
      <c r="B872" s="9" t="s">
        <v>37</v>
      </c>
      <c r="C872" s="9" t="s">
        <v>39</v>
      </c>
      <c r="D872" s="10">
        <v>60000</v>
      </c>
      <c r="E872" s="9" t="str" cm="1">
        <f t="array" ref="E872">_xlfn.IFS(D872&lt;= 60000, "Low Income",
D872&lt;=120000,"Medium Income",
D872&gt; 120000,"High Income"
)</f>
        <v>Low Income</v>
      </c>
      <c r="F872" s="9">
        <v>1</v>
      </c>
      <c r="G872" s="9" t="s">
        <v>21</v>
      </c>
      <c r="H872" s="9" t="s">
        <v>16</v>
      </c>
      <c r="I872" s="9" t="s">
        <v>17</v>
      </c>
      <c r="J872" s="9">
        <v>1</v>
      </c>
      <c r="K872" s="9" t="s">
        <v>18</v>
      </c>
      <c r="L872" s="9" t="s">
        <v>35</v>
      </c>
      <c r="M872" s="9">
        <v>46</v>
      </c>
      <c r="N872" s="9" t="str" cm="1">
        <f t="array" ref="N872">_xlfn.IFS(
M872&lt;=12,"Children",
M872&lt;=19,"Teens",
M872&lt;=29,"Young Adults",
M872&lt;=39,"Adults",
M872&lt;=59,"Middle-Aged",
M872&gt;=60,"Seniors"
)</f>
        <v>Middle-Aged</v>
      </c>
      <c r="O872" s="9" t="s">
        <v>20</v>
      </c>
      <c r="P872" s="9">
        <f t="shared" si="26"/>
        <v>0</v>
      </c>
      <c r="Q872" s="9">
        <v>1</v>
      </c>
      <c r="R872" s="10">
        <f t="shared" si="27"/>
        <v>0</v>
      </c>
    </row>
    <row r="873" spans="1:18" x14ac:dyDescent="0.3">
      <c r="A873" s="9">
        <v>11219</v>
      </c>
      <c r="B873" s="9" t="s">
        <v>37</v>
      </c>
      <c r="C873" s="9" t="s">
        <v>39</v>
      </c>
      <c r="D873" s="10">
        <v>60000</v>
      </c>
      <c r="E873" s="9" t="str" cm="1">
        <f t="array" ref="E873">_xlfn.IFS(D873&lt;= 60000, "Low Income",
D873&lt;=120000,"Medium Income",
D873&gt; 120000,"High Income"
)</f>
        <v>Low Income</v>
      </c>
      <c r="F873" s="9">
        <v>2</v>
      </c>
      <c r="G873" s="9" t="s">
        <v>30</v>
      </c>
      <c r="H873" s="9" t="s">
        <v>23</v>
      </c>
      <c r="I873" s="9" t="s">
        <v>17</v>
      </c>
      <c r="J873" s="9">
        <v>2</v>
      </c>
      <c r="K873" s="9" t="s">
        <v>41</v>
      </c>
      <c r="L873" s="9" t="s">
        <v>35</v>
      </c>
      <c r="M873" s="9">
        <v>55</v>
      </c>
      <c r="N873" s="9" t="str" cm="1">
        <f t="array" ref="N873">_xlfn.IFS(
M873&lt;=12,"Children",
M873&lt;=19,"Teens",
M873&lt;=29,"Young Adults",
M873&lt;=39,"Adults",
M873&lt;=59,"Middle-Aged",
M873&gt;=60,"Seniors"
)</f>
        <v>Middle-Aged</v>
      </c>
      <c r="O873" s="9" t="s">
        <v>20</v>
      </c>
      <c r="P873" s="9">
        <f t="shared" si="26"/>
        <v>0</v>
      </c>
      <c r="Q873" s="9">
        <v>1</v>
      </c>
      <c r="R873" s="10">
        <f t="shared" si="27"/>
        <v>0</v>
      </c>
    </row>
    <row r="874" spans="1:18" x14ac:dyDescent="0.3">
      <c r="A874" s="9">
        <v>22118</v>
      </c>
      <c r="B874" s="9" t="s">
        <v>40</v>
      </c>
      <c r="C874" s="9" t="s">
        <v>38</v>
      </c>
      <c r="D874" s="10">
        <v>70000</v>
      </c>
      <c r="E874" s="9" t="str" cm="1">
        <f t="array" ref="E874">_xlfn.IFS(D874&lt;= 60000, "Low Income",
D874&lt;=120000,"Medium Income",
D874&gt; 120000,"High Income"
)</f>
        <v>Medium Income</v>
      </c>
      <c r="F874" s="9">
        <v>3</v>
      </c>
      <c r="G874" s="9" t="s">
        <v>34</v>
      </c>
      <c r="H874" s="9" t="s">
        <v>31</v>
      </c>
      <c r="I874" s="9" t="s">
        <v>17</v>
      </c>
      <c r="J874" s="9">
        <v>2</v>
      </c>
      <c r="K874" s="9" t="s">
        <v>26</v>
      </c>
      <c r="L874" s="9" t="s">
        <v>35</v>
      </c>
      <c r="M874" s="9">
        <v>53</v>
      </c>
      <c r="N874" s="9" t="str" cm="1">
        <f t="array" ref="N874">_xlfn.IFS(
M874&lt;=12,"Children",
M874&lt;=19,"Teens",
M874&lt;=29,"Young Adults",
M874&lt;=39,"Adults",
M874&lt;=59,"Middle-Aged",
M874&gt;=60,"Seniors"
)</f>
        <v>Middle-Aged</v>
      </c>
      <c r="O874" s="9" t="s">
        <v>17</v>
      </c>
      <c r="P874" s="9">
        <f t="shared" si="26"/>
        <v>1</v>
      </c>
      <c r="Q874" s="9">
        <v>1</v>
      </c>
      <c r="R874" s="10">
        <f t="shared" si="27"/>
        <v>70000</v>
      </c>
    </row>
    <row r="875" spans="1:18" x14ac:dyDescent="0.3">
      <c r="A875" s="9">
        <v>23197</v>
      </c>
      <c r="B875" s="9" t="s">
        <v>37</v>
      </c>
      <c r="C875" s="9" t="s">
        <v>39</v>
      </c>
      <c r="D875" s="10">
        <v>50000</v>
      </c>
      <c r="E875" s="9" t="str" cm="1">
        <f t="array" ref="E875">_xlfn.IFS(D875&lt;= 60000, "Low Income",
D875&lt;=120000,"Medium Income",
D875&gt; 120000,"High Income"
)</f>
        <v>Low Income</v>
      </c>
      <c r="F875" s="9">
        <v>3</v>
      </c>
      <c r="G875" s="9" t="s">
        <v>15</v>
      </c>
      <c r="H875" s="9" t="s">
        <v>16</v>
      </c>
      <c r="I875" s="9" t="s">
        <v>17</v>
      </c>
      <c r="J875" s="9">
        <v>2</v>
      </c>
      <c r="K875" s="9" t="s">
        <v>24</v>
      </c>
      <c r="L875" s="9" t="s">
        <v>35</v>
      </c>
      <c r="M875" s="9">
        <v>40</v>
      </c>
      <c r="N875" s="9" t="str" cm="1">
        <f t="array" ref="N875">_xlfn.IFS(
M875&lt;=12,"Children",
M875&lt;=19,"Teens",
M875&lt;=29,"Young Adults",
M875&lt;=39,"Adults",
M875&lt;=59,"Middle-Aged",
M875&gt;=60,"Seniors"
)</f>
        <v>Middle-Aged</v>
      </c>
      <c r="O875" s="9" t="s">
        <v>20</v>
      </c>
      <c r="P875" s="9">
        <f t="shared" si="26"/>
        <v>0</v>
      </c>
      <c r="Q875" s="9">
        <v>1</v>
      </c>
      <c r="R875" s="10">
        <f t="shared" si="27"/>
        <v>0</v>
      </c>
    </row>
    <row r="876" spans="1:18" x14ac:dyDescent="0.3">
      <c r="A876" s="9">
        <v>14883</v>
      </c>
      <c r="B876" s="9" t="s">
        <v>37</v>
      </c>
      <c r="C876" s="9" t="s">
        <v>38</v>
      </c>
      <c r="D876" s="10">
        <v>30000</v>
      </c>
      <c r="E876" s="9" t="str" cm="1">
        <f t="array" ref="E876">_xlfn.IFS(D876&lt;= 60000, "Low Income",
D876&lt;=120000,"Medium Income",
D876&gt; 120000,"High Income"
)</f>
        <v>Low Income</v>
      </c>
      <c r="F876" s="9">
        <v>1</v>
      </c>
      <c r="G876" s="9" t="s">
        <v>15</v>
      </c>
      <c r="H876" s="9" t="s">
        <v>16</v>
      </c>
      <c r="I876" s="9" t="s">
        <v>17</v>
      </c>
      <c r="J876" s="9">
        <v>1</v>
      </c>
      <c r="K876" s="9" t="s">
        <v>26</v>
      </c>
      <c r="L876" s="9" t="s">
        <v>35</v>
      </c>
      <c r="M876" s="9">
        <v>53</v>
      </c>
      <c r="N876" s="9" t="str" cm="1">
        <f t="array" ref="N876">_xlfn.IFS(
M876&lt;=12,"Children",
M876&lt;=19,"Teens",
M876&lt;=29,"Young Adults",
M876&lt;=39,"Adults",
M876&lt;=59,"Middle-Aged",
M876&gt;=60,"Seniors"
)</f>
        <v>Middle-Aged</v>
      </c>
      <c r="O876" s="9" t="s">
        <v>17</v>
      </c>
      <c r="P876" s="9">
        <f t="shared" si="26"/>
        <v>1</v>
      </c>
      <c r="Q876" s="9">
        <v>1</v>
      </c>
      <c r="R876" s="10">
        <f t="shared" si="27"/>
        <v>30000</v>
      </c>
    </row>
    <row r="877" spans="1:18" x14ac:dyDescent="0.3">
      <c r="A877" s="9">
        <v>27279</v>
      </c>
      <c r="B877" s="9" t="s">
        <v>40</v>
      </c>
      <c r="C877" s="9" t="s">
        <v>38</v>
      </c>
      <c r="D877" s="10">
        <v>70000</v>
      </c>
      <c r="E877" s="9" t="str" cm="1">
        <f t="array" ref="E877">_xlfn.IFS(D877&lt;= 60000, "Low Income",
D877&lt;=120000,"Medium Income",
D877&gt; 120000,"High Income"
)</f>
        <v>Medium Income</v>
      </c>
      <c r="F877" s="9">
        <v>2</v>
      </c>
      <c r="G877" s="9" t="s">
        <v>15</v>
      </c>
      <c r="H877" s="9" t="s">
        <v>16</v>
      </c>
      <c r="I877" s="9" t="s">
        <v>17</v>
      </c>
      <c r="J877" s="9">
        <v>0</v>
      </c>
      <c r="K877" s="9" t="s">
        <v>24</v>
      </c>
      <c r="L877" s="9" t="s">
        <v>35</v>
      </c>
      <c r="M877" s="9">
        <v>38</v>
      </c>
      <c r="N877" s="9" t="str" cm="1">
        <f t="array" ref="N877">_xlfn.IFS(
M877&lt;=12,"Children",
M877&lt;=19,"Teens",
M877&lt;=29,"Young Adults",
M877&lt;=39,"Adults",
M877&lt;=59,"Middle-Aged",
M877&gt;=60,"Seniors"
)</f>
        <v>Adults</v>
      </c>
      <c r="O877" s="9" t="s">
        <v>17</v>
      </c>
      <c r="P877" s="9">
        <f t="shared" si="26"/>
        <v>1</v>
      </c>
      <c r="Q877" s="9">
        <v>1</v>
      </c>
      <c r="R877" s="10">
        <f t="shared" si="27"/>
        <v>70000</v>
      </c>
    </row>
    <row r="878" spans="1:18" x14ac:dyDescent="0.3">
      <c r="A878" s="9">
        <v>18322</v>
      </c>
      <c r="B878" s="9" t="s">
        <v>40</v>
      </c>
      <c r="C878" s="9" t="s">
        <v>39</v>
      </c>
      <c r="D878" s="10">
        <v>30000</v>
      </c>
      <c r="E878" s="9" t="str" cm="1">
        <f t="array" ref="E878">_xlfn.IFS(D878&lt;= 60000, "Low Income",
D878&lt;=120000,"Medium Income",
D878&gt; 120000,"High Income"
)</f>
        <v>Low Income</v>
      </c>
      <c r="F878" s="9">
        <v>0</v>
      </c>
      <c r="G878" s="9" t="s">
        <v>32</v>
      </c>
      <c r="H878" s="9" t="s">
        <v>22</v>
      </c>
      <c r="I878" s="9" t="s">
        <v>20</v>
      </c>
      <c r="J878" s="9">
        <v>2</v>
      </c>
      <c r="K878" s="9" t="s">
        <v>18</v>
      </c>
      <c r="L878" s="9" t="s">
        <v>35</v>
      </c>
      <c r="M878" s="9">
        <v>26</v>
      </c>
      <c r="N878" s="9" t="str" cm="1">
        <f t="array" ref="N878">_xlfn.IFS(
M878&lt;=12,"Children",
M878&lt;=19,"Teens",
M878&lt;=29,"Young Adults",
M878&lt;=39,"Adults",
M878&lt;=59,"Middle-Aged",
M878&gt;=60,"Seniors"
)</f>
        <v>Young Adults</v>
      </c>
      <c r="O878" s="9" t="s">
        <v>20</v>
      </c>
      <c r="P878" s="9">
        <f t="shared" si="26"/>
        <v>0</v>
      </c>
      <c r="Q878" s="9">
        <v>1</v>
      </c>
      <c r="R878" s="10">
        <f t="shared" si="27"/>
        <v>0</v>
      </c>
    </row>
    <row r="879" spans="1:18" x14ac:dyDescent="0.3">
      <c r="A879" s="9">
        <v>15879</v>
      </c>
      <c r="B879" s="9" t="s">
        <v>37</v>
      </c>
      <c r="C879" s="9" t="s">
        <v>39</v>
      </c>
      <c r="D879" s="10">
        <v>70000</v>
      </c>
      <c r="E879" s="9" t="str" cm="1">
        <f t="array" ref="E879">_xlfn.IFS(D879&lt;= 60000, "Low Income",
D879&lt;=120000,"Medium Income",
D879&gt; 120000,"High Income"
)</f>
        <v>Medium Income</v>
      </c>
      <c r="F879" s="9">
        <v>5</v>
      </c>
      <c r="G879" s="9" t="s">
        <v>15</v>
      </c>
      <c r="H879" s="9" t="s">
        <v>31</v>
      </c>
      <c r="I879" s="9" t="s">
        <v>17</v>
      </c>
      <c r="J879" s="9">
        <v>2</v>
      </c>
      <c r="K879" s="9" t="s">
        <v>24</v>
      </c>
      <c r="L879" s="9" t="s">
        <v>35</v>
      </c>
      <c r="M879" s="9">
        <v>61</v>
      </c>
      <c r="N879" s="9" t="str" cm="1">
        <f t="array" ref="N879">_xlfn.IFS(
M879&lt;=12,"Children",
M879&lt;=19,"Teens",
M879&lt;=29,"Young Adults",
M879&lt;=39,"Adults",
M879&lt;=59,"Middle-Aged",
M879&gt;=60,"Seniors"
)</f>
        <v>Seniors</v>
      </c>
      <c r="O879" s="9" t="s">
        <v>20</v>
      </c>
      <c r="P879" s="9">
        <f t="shared" si="26"/>
        <v>0</v>
      </c>
      <c r="Q879" s="9">
        <v>1</v>
      </c>
      <c r="R879" s="10">
        <f t="shared" si="27"/>
        <v>0</v>
      </c>
    </row>
    <row r="880" spans="1:18" x14ac:dyDescent="0.3">
      <c r="A880" s="9">
        <v>28278</v>
      </c>
      <c r="B880" s="9" t="s">
        <v>37</v>
      </c>
      <c r="C880" s="9" t="s">
        <v>39</v>
      </c>
      <c r="D880" s="10">
        <v>50000</v>
      </c>
      <c r="E880" s="9" t="str" cm="1">
        <f t="array" ref="E880">_xlfn.IFS(D880&lt;= 60000, "Low Income",
D880&lt;=120000,"Medium Income",
D880&gt; 120000,"High Income"
)</f>
        <v>Low Income</v>
      </c>
      <c r="F880" s="9">
        <v>2</v>
      </c>
      <c r="G880" s="9" t="s">
        <v>34</v>
      </c>
      <c r="H880" s="9" t="s">
        <v>31</v>
      </c>
      <c r="I880" s="9" t="s">
        <v>17</v>
      </c>
      <c r="J880" s="9">
        <v>2</v>
      </c>
      <c r="K880" s="9" t="s">
        <v>26</v>
      </c>
      <c r="L880" s="9" t="s">
        <v>35</v>
      </c>
      <c r="M880" s="9">
        <v>71</v>
      </c>
      <c r="N880" s="9" t="str" cm="1">
        <f t="array" ref="N880">_xlfn.IFS(
M880&lt;=12,"Children",
M880&lt;=19,"Teens",
M880&lt;=29,"Young Adults",
M880&lt;=39,"Adults",
M880&lt;=59,"Middle-Aged",
M880&gt;=60,"Seniors"
)</f>
        <v>Seniors</v>
      </c>
      <c r="O880" s="9" t="s">
        <v>20</v>
      </c>
      <c r="P880" s="9">
        <f t="shared" si="26"/>
        <v>0</v>
      </c>
      <c r="Q880" s="9">
        <v>1</v>
      </c>
      <c r="R880" s="10">
        <f t="shared" si="27"/>
        <v>0</v>
      </c>
    </row>
    <row r="881" spans="1:18" x14ac:dyDescent="0.3">
      <c r="A881" s="9">
        <v>24416</v>
      </c>
      <c r="B881" s="9" t="s">
        <v>37</v>
      </c>
      <c r="C881" s="9" t="s">
        <v>39</v>
      </c>
      <c r="D881" s="10">
        <v>90000</v>
      </c>
      <c r="E881" s="9" t="str" cm="1">
        <f t="array" ref="E881">_xlfn.IFS(D881&lt;= 60000, "Low Income",
D881&lt;=120000,"Medium Income",
D881&gt; 120000,"High Income"
)</f>
        <v>Medium Income</v>
      </c>
      <c r="F881" s="9">
        <v>4</v>
      </c>
      <c r="G881" s="9" t="s">
        <v>30</v>
      </c>
      <c r="H881" s="9" t="s">
        <v>23</v>
      </c>
      <c r="I881" s="9" t="s">
        <v>17</v>
      </c>
      <c r="J881" s="9">
        <v>2</v>
      </c>
      <c r="K881" s="9" t="s">
        <v>29</v>
      </c>
      <c r="L881" s="9" t="s">
        <v>35</v>
      </c>
      <c r="M881" s="9">
        <v>45</v>
      </c>
      <c r="N881" s="9" t="str" cm="1">
        <f t="array" ref="N881">_xlfn.IFS(
M881&lt;=12,"Children",
M881&lt;=19,"Teens",
M881&lt;=29,"Young Adults",
M881&lt;=39,"Adults",
M881&lt;=59,"Middle-Aged",
M881&gt;=60,"Seniors"
)</f>
        <v>Middle-Aged</v>
      </c>
      <c r="O881" s="9" t="s">
        <v>20</v>
      </c>
      <c r="P881" s="9">
        <f t="shared" si="26"/>
        <v>0</v>
      </c>
      <c r="Q881" s="9">
        <v>1</v>
      </c>
      <c r="R881" s="10">
        <f t="shared" si="27"/>
        <v>0</v>
      </c>
    </row>
    <row r="882" spans="1:18" x14ac:dyDescent="0.3">
      <c r="A882" s="9">
        <v>28066</v>
      </c>
      <c r="B882" s="9" t="s">
        <v>37</v>
      </c>
      <c r="C882" s="9" t="s">
        <v>39</v>
      </c>
      <c r="D882" s="10">
        <v>80000</v>
      </c>
      <c r="E882" s="9" t="str" cm="1">
        <f t="array" ref="E882">_xlfn.IFS(D882&lt;= 60000, "Low Income",
D882&lt;=120000,"Medium Income",
D882&gt; 120000,"High Income"
)</f>
        <v>Medium Income</v>
      </c>
      <c r="F882" s="9">
        <v>2</v>
      </c>
      <c r="G882" s="9" t="s">
        <v>34</v>
      </c>
      <c r="H882" s="9" t="s">
        <v>23</v>
      </c>
      <c r="I882" s="9" t="s">
        <v>17</v>
      </c>
      <c r="J882" s="9">
        <v>0</v>
      </c>
      <c r="K882" s="9" t="s">
        <v>18</v>
      </c>
      <c r="L882" s="9" t="s">
        <v>35</v>
      </c>
      <c r="M882" s="9">
        <v>37</v>
      </c>
      <c r="N882" s="9" t="str" cm="1">
        <f t="array" ref="N882">_xlfn.IFS(
M882&lt;=12,"Children",
M882&lt;=19,"Teens",
M882&lt;=29,"Young Adults",
M882&lt;=39,"Adults",
M882&lt;=59,"Middle-Aged",
M882&gt;=60,"Seniors"
)</f>
        <v>Adults</v>
      </c>
      <c r="O882" s="9" t="s">
        <v>17</v>
      </c>
      <c r="P882" s="9">
        <f t="shared" si="26"/>
        <v>1</v>
      </c>
      <c r="Q882" s="9">
        <v>1</v>
      </c>
      <c r="R882" s="10">
        <f t="shared" si="27"/>
        <v>80000</v>
      </c>
    </row>
    <row r="883" spans="1:18" x14ac:dyDescent="0.3">
      <c r="A883" s="9">
        <v>11275</v>
      </c>
      <c r="B883" s="9" t="s">
        <v>37</v>
      </c>
      <c r="C883" s="9" t="s">
        <v>38</v>
      </c>
      <c r="D883" s="10">
        <v>80000</v>
      </c>
      <c r="E883" s="9" t="str" cm="1">
        <f t="array" ref="E883">_xlfn.IFS(D883&lt;= 60000, "Low Income",
D883&lt;=120000,"Medium Income",
D883&gt; 120000,"High Income"
)</f>
        <v>Medium Income</v>
      </c>
      <c r="F883" s="9">
        <v>4</v>
      </c>
      <c r="G883" s="9" t="s">
        <v>34</v>
      </c>
      <c r="H883" s="9" t="s">
        <v>31</v>
      </c>
      <c r="I883" s="9" t="s">
        <v>17</v>
      </c>
      <c r="J883" s="9">
        <v>2</v>
      </c>
      <c r="K883" s="9" t="s">
        <v>18</v>
      </c>
      <c r="L883" s="9" t="s">
        <v>35</v>
      </c>
      <c r="M883" s="9">
        <v>72</v>
      </c>
      <c r="N883" s="9" t="str" cm="1">
        <f t="array" ref="N883">_xlfn.IFS(
M883&lt;=12,"Children",
M883&lt;=19,"Teens",
M883&lt;=29,"Young Adults",
M883&lt;=39,"Adults",
M883&lt;=59,"Middle-Aged",
M883&gt;=60,"Seniors"
)</f>
        <v>Seniors</v>
      </c>
      <c r="O883" s="9" t="s">
        <v>17</v>
      </c>
      <c r="P883" s="9">
        <f t="shared" si="26"/>
        <v>1</v>
      </c>
      <c r="Q883" s="9">
        <v>1</v>
      </c>
      <c r="R883" s="10">
        <f t="shared" si="27"/>
        <v>80000</v>
      </c>
    </row>
    <row r="884" spans="1:18" x14ac:dyDescent="0.3">
      <c r="A884" s="9">
        <v>14872</v>
      </c>
      <c r="B884" s="9" t="s">
        <v>37</v>
      </c>
      <c r="C884" s="9" t="s">
        <v>39</v>
      </c>
      <c r="D884" s="10">
        <v>30000</v>
      </c>
      <c r="E884" s="9" t="str" cm="1">
        <f t="array" ref="E884">_xlfn.IFS(D884&lt;= 60000, "Low Income",
D884&lt;=120000,"Medium Income",
D884&gt; 120000,"High Income"
)</f>
        <v>Low Income</v>
      </c>
      <c r="F884" s="9">
        <v>0</v>
      </c>
      <c r="G884" s="9" t="s">
        <v>34</v>
      </c>
      <c r="H884" s="9" t="s">
        <v>16</v>
      </c>
      <c r="I884" s="9" t="s">
        <v>17</v>
      </c>
      <c r="J884" s="9">
        <v>0</v>
      </c>
      <c r="K884" s="9" t="s">
        <v>18</v>
      </c>
      <c r="L884" s="9" t="s">
        <v>35</v>
      </c>
      <c r="M884" s="9">
        <v>32</v>
      </c>
      <c r="N884" s="9" t="str" cm="1">
        <f t="array" ref="N884">_xlfn.IFS(
M884&lt;=12,"Children",
M884&lt;=19,"Teens",
M884&lt;=29,"Young Adults",
M884&lt;=39,"Adults",
M884&lt;=59,"Middle-Aged",
M884&gt;=60,"Seniors"
)</f>
        <v>Adults</v>
      </c>
      <c r="O884" s="9" t="s">
        <v>20</v>
      </c>
      <c r="P884" s="9">
        <f t="shared" si="26"/>
        <v>0</v>
      </c>
      <c r="Q884" s="9">
        <v>1</v>
      </c>
      <c r="R884" s="10">
        <f t="shared" si="27"/>
        <v>0</v>
      </c>
    </row>
    <row r="885" spans="1:18" x14ac:dyDescent="0.3">
      <c r="A885" s="9">
        <v>16151</v>
      </c>
      <c r="B885" s="9" t="s">
        <v>37</v>
      </c>
      <c r="C885" s="9" t="s">
        <v>38</v>
      </c>
      <c r="D885" s="10">
        <v>60000</v>
      </c>
      <c r="E885" s="9" t="str" cm="1">
        <f t="array" ref="E885">_xlfn.IFS(D885&lt;= 60000, "Low Income",
D885&lt;=120000,"Medium Income",
D885&gt; 120000,"High Income"
)</f>
        <v>Low Income</v>
      </c>
      <c r="F885" s="9">
        <v>1</v>
      </c>
      <c r="G885" s="9" t="s">
        <v>15</v>
      </c>
      <c r="H885" s="9" t="s">
        <v>23</v>
      </c>
      <c r="I885" s="9" t="s">
        <v>17</v>
      </c>
      <c r="J885" s="9">
        <v>1</v>
      </c>
      <c r="K885" s="9" t="s">
        <v>24</v>
      </c>
      <c r="L885" s="9" t="s">
        <v>35</v>
      </c>
      <c r="M885" s="9">
        <v>48</v>
      </c>
      <c r="N885" s="9" t="str" cm="1">
        <f t="array" ref="N885">_xlfn.IFS(
M885&lt;=12,"Children",
M885&lt;=19,"Teens",
M885&lt;=29,"Young Adults",
M885&lt;=39,"Adults",
M885&lt;=59,"Middle-Aged",
M885&gt;=60,"Seniors"
)</f>
        <v>Middle-Aged</v>
      </c>
      <c r="O885" s="9" t="s">
        <v>17</v>
      </c>
      <c r="P885" s="9">
        <f t="shared" si="26"/>
        <v>1</v>
      </c>
      <c r="Q885" s="9">
        <v>1</v>
      </c>
      <c r="R885" s="10">
        <f t="shared" si="27"/>
        <v>60000</v>
      </c>
    </row>
    <row r="886" spans="1:18" x14ac:dyDescent="0.3">
      <c r="A886" s="9">
        <v>19731</v>
      </c>
      <c r="B886" s="9" t="s">
        <v>37</v>
      </c>
      <c r="C886" s="9" t="s">
        <v>39</v>
      </c>
      <c r="D886" s="10">
        <v>80000</v>
      </c>
      <c r="E886" s="9" t="str" cm="1">
        <f t="array" ref="E886">_xlfn.IFS(D886&lt;= 60000, "Low Income",
D886&lt;=120000,"Medium Income",
D886&gt; 120000,"High Income"
)</f>
        <v>Medium Income</v>
      </c>
      <c r="F886" s="9">
        <v>4</v>
      </c>
      <c r="G886" s="9" t="s">
        <v>34</v>
      </c>
      <c r="H886" s="9" t="s">
        <v>31</v>
      </c>
      <c r="I886" s="9" t="s">
        <v>17</v>
      </c>
      <c r="J886" s="9">
        <v>2</v>
      </c>
      <c r="K886" s="9" t="s">
        <v>26</v>
      </c>
      <c r="L886" s="9" t="s">
        <v>35</v>
      </c>
      <c r="M886" s="9">
        <v>68</v>
      </c>
      <c r="N886" s="9" t="str" cm="1">
        <f t="array" ref="N886">_xlfn.IFS(
M886&lt;=12,"Children",
M886&lt;=19,"Teens",
M886&lt;=29,"Young Adults",
M886&lt;=39,"Adults",
M886&lt;=59,"Middle-Aged",
M886&gt;=60,"Seniors"
)</f>
        <v>Seniors</v>
      </c>
      <c r="O886" s="9" t="s">
        <v>20</v>
      </c>
      <c r="P886" s="9">
        <f t="shared" si="26"/>
        <v>0</v>
      </c>
      <c r="Q886" s="9">
        <v>1</v>
      </c>
      <c r="R886" s="10">
        <f t="shared" si="27"/>
        <v>0</v>
      </c>
    </row>
    <row r="887" spans="1:18" x14ac:dyDescent="0.3">
      <c r="A887" s="9">
        <v>23801</v>
      </c>
      <c r="B887" s="9" t="s">
        <v>37</v>
      </c>
      <c r="C887" s="9" t="s">
        <v>38</v>
      </c>
      <c r="D887" s="10">
        <v>20000</v>
      </c>
      <c r="E887" s="9" t="str" cm="1">
        <f t="array" ref="E887">_xlfn.IFS(D887&lt;= 60000, "Low Income",
D887&lt;=120000,"Medium Income",
D887&gt; 120000,"High Income"
)</f>
        <v>Low Income</v>
      </c>
      <c r="F887" s="9">
        <v>2</v>
      </c>
      <c r="G887" s="9" t="s">
        <v>32</v>
      </c>
      <c r="H887" s="9" t="s">
        <v>22</v>
      </c>
      <c r="I887" s="9" t="s">
        <v>17</v>
      </c>
      <c r="J887" s="9">
        <v>2</v>
      </c>
      <c r="K887" s="9" t="s">
        <v>18</v>
      </c>
      <c r="L887" s="9" t="s">
        <v>35</v>
      </c>
      <c r="M887" s="9">
        <v>49</v>
      </c>
      <c r="N887" s="9" t="str" cm="1">
        <f t="array" ref="N887">_xlfn.IFS(
M887&lt;=12,"Children",
M887&lt;=19,"Teens",
M887&lt;=29,"Young Adults",
M887&lt;=39,"Adults",
M887&lt;=59,"Middle-Aged",
M887&gt;=60,"Seniors"
)</f>
        <v>Middle-Aged</v>
      </c>
      <c r="O887" s="9" t="s">
        <v>20</v>
      </c>
      <c r="P887" s="9">
        <f t="shared" si="26"/>
        <v>0</v>
      </c>
      <c r="Q887" s="9">
        <v>1</v>
      </c>
      <c r="R887" s="10">
        <f t="shared" si="27"/>
        <v>0</v>
      </c>
    </row>
    <row r="888" spans="1:18" x14ac:dyDescent="0.3">
      <c r="A888" s="9">
        <v>11807</v>
      </c>
      <c r="B888" s="9" t="s">
        <v>37</v>
      </c>
      <c r="C888" s="9" t="s">
        <v>39</v>
      </c>
      <c r="D888" s="10">
        <v>70000</v>
      </c>
      <c r="E888" s="9" t="str" cm="1">
        <f t="array" ref="E888">_xlfn.IFS(D888&lt;= 60000, "Low Income",
D888&lt;=120000,"Medium Income",
D888&gt; 120000,"High Income"
)</f>
        <v>Medium Income</v>
      </c>
      <c r="F888" s="9">
        <v>3</v>
      </c>
      <c r="G888" s="9" t="s">
        <v>34</v>
      </c>
      <c r="H888" s="9" t="s">
        <v>23</v>
      </c>
      <c r="I888" s="9" t="s">
        <v>17</v>
      </c>
      <c r="J888" s="9">
        <v>0</v>
      </c>
      <c r="K888" s="9" t="s">
        <v>24</v>
      </c>
      <c r="L888" s="9" t="s">
        <v>35</v>
      </c>
      <c r="M888" s="9">
        <v>34</v>
      </c>
      <c r="N888" s="9" t="str" cm="1">
        <f t="array" ref="N888">_xlfn.IFS(
M888&lt;=12,"Children",
M888&lt;=19,"Teens",
M888&lt;=29,"Young Adults",
M888&lt;=39,"Adults",
M888&lt;=59,"Middle-Aged",
M888&gt;=60,"Seniors"
)</f>
        <v>Adults</v>
      </c>
      <c r="O888" s="9" t="s">
        <v>20</v>
      </c>
      <c r="P888" s="9">
        <f t="shared" si="26"/>
        <v>0</v>
      </c>
      <c r="Q888" s="9">
        <v>1</v>
      </c>
      <c r="R888" s="10">
        <f t="shared" si="27"/>
        <v>0</v>
      </c>
    </row>
    <row r="889" spans="1:18" x14ac:dyDescent="0.3">
      <c r="A889" s="9">
        <v>11622</v>
      </c>
      <c r="B889" s="9" t="s">
        <v>37</v>
      </c>
      <c r="C889" s="9" t="s">
        <v>39</v>
      </c>
      <c r="D889" s="10">
        <v>50000</v>
      </c>
      <c r="E889" s="9" t="str" cm="1">
        <f t="array" ref="E889">_xlfn.IFS(D889&lt;= 60000, "Low Income",
D889&lt;=120000,"Medium Income",
D889&gt; 120000,"High Income"
)</f>
        <v>Low Income</v>
      </c>
      <c r="F889" s="9">
        <v>0</v>
      </c>
      <c r="G889" s="9" t="s">
        <v>34</v>
      </c>
      <c r="H889" s="9" t="s">
        <v>16</v>
      </c>
      <c r="I889" s="9" t="s">
        <v>17</v>
      </c>
      <c r="J889" s="9">
        <v>0</v>
      </c>
      <c r="K889" s="9" t="s">
        <v>18</v>
      </c>
      <c r="L889" s="9" t="s">
        <v>35</v>
      </c>
      <c r="M889" s="9">
        <v>32</v>
      </c>
      <c r="N889" s="9" t="str" cm="1">
        <f t="array" ref="N889">_xlfn.IFS(
M889&lt;=12,"Children",
M889&lt;=19,"Teens",
M889&lt;=29,"Young Adults",
M889&lt;=39,"Adults",
M889&lt;=59,"Middle-Aged",
M889&gt;=60,"Seniors"
)</f>
        <v>Adults</v>
      </c>
      <c r="O889" s="9" t="s">
        <v>20</v>
      </c>
      <c r="P889" s="9">
        <f t="shared" si="26"/>
        <v>0</v>
      </c>
      <c r="Q889" s="9">
        <v>1</v>
      </c>
      <c r="R889" s="10">
        <f t="shared" si="27"/>
        <v>0</v>
      </c>
    </row>
    <row r="890" spans="1:18" x14ac:dyDescent="0.3">
      <c r="A890" s="9">
        <v>26597</v>
      </c>
      <c r="B890" s="9" t="s">
        <v>40</v>
      </c>
      <c r="C890" s="9" t="s">
        <v>38</v>
      </c>
      <c r="D890" s="10">
        <v>60000</v>
      </c>
      <c r="E890" s="9" t="str" cm="1">
        <f t="array" ref="E890">_xlfn.IFS(D890&lt;= 60000, "Low Income",
D890&lt;=120000,"Medium Income",
D890&gt; 120000,"High Income"
)</f>
        <v>Low Income</v>
      </c>
      <c r="F890" s="9">
        <v>4</v>
      </c>
      <c r="G890" s="9" t="s">
        <v>15</v>
      </c>
      <c r="H890" s="9" t="s">
        <v>16</v>
      </c>
      <c r="I890" s="9" t="s">
        <v>20</v>
      </c>
      <c r="J890" s="9">
        <v>2</v>
      </c>
      <c r="K890" s="9" t="s">
        <v>18</v>
      </c>
      <c r="L890" s="9" t="s">
        <v>35</v>
      </c>
      <c r="M890" s="9">
        <v>42</v>
      </c>
      <c r="N890" s="9" t="str" cm="1">
        <f t="array" ref="N890">_xlfn.IFS(
M890&lt;=12,"Children",
M890&lt;=19,"Teens",
M890&lt;=29,"Young Adults",
M890&lt;=39,"Adults",
M890&lt;=59,"Middle-Aged",
M890&gt;=60,"Seniors"
)</f>
        <v>Middle-Aged</v>
      </c>
      <c r="O890" s="9" t="s">
        <v>20</v>
      </c>
      <c r="P890" s="9">
        <f t="shared" si="26"/>
        <v>0</v>
      </c>
      <c r="Q890" s="9">
        <v>1</v>
      </c>
      <c r="R890" s="10">
        <f t="shared" si="27"/>
        <v>0</v>
      </c>
    </row>
    <row r="891" spans="1:18" x14ac:dyDescent="0.3">
      <c r="A891" s="9">
        <v>27074</v>
      </c>
      <c r="B891" s="9" t="s">
        <v>37</v>
      </c>
      <c r="C891" s="9" t="s">
        <v>38</v>
      </c>
      <c r="D891" s="10">
        <v>70000</v>
      </c>
      <c r="E891" s="9" t="str" cm="1">
        <f t="array" ref="E891">_xlfn.IFS(D891&lt;= 60000, "Low Income",
D891&lt;=120000,"Medium Income",
D891&gt; 120000,"High Income"
)</f>
        <v>Medium Income</v>
      </c>
      <c r="F891" s="9">
        <v>1</v>
      </c>
      <c r="G891" s="9" t="s">
        <v>34</v>
      </c>
      <c r="H891" s="9" t="s">
        <v>16</v>
      </c>
      <c r="I891" s="9" t="s">
        <v>17</v>
      </c>
      <c r="J891" s="9">
        <v>0</v>
      </c>
      <c r="K891" s="9" t="s">
        <v>18</v>
      </c>
      <c r="L891" s="9" t="s">
        <v>35</v>
      </c>
      <c r="M891" s="9">
        <v>35</v>
      </c>
      <c r="N891" s="9" t="str" cm="1">
        <f t="array" ref="N891">_xlfn.IFS(
M891&lt;=12,"Children",
M891&lt;=19,"Teens",
M891&lt;=29,"Young Adults",
M891&lt;=39,"Adults",
M891&lt;=59,"Middle-Aged",
M891&gt;=60,"Seniors"
)</f>
        <v>Adults</v>
      </c>
      <c r="O891" s="9" t="s">
        <v>17</v>
      </c>
      <c r="P891" s="9">
        <f t="shared" si="26"/>
        <v>1</v>
      </c>
      <c r="Q891" s="9">
        <v>1</v>
      </c>
      <c r="R891" s="10">
        <f t="shared" si="27"/>
        <v>70000</v>
      </c>
    </row>
    <row r="892" spans="1:18" x14ac:dyDescent="0.3">
      <c r="A892" s="9">
        <v>19228</v>
      </c>
      <c r="B892" s="9" t="s">
        <v>37</v>
      </c>
      <c r="C892" s="9" t="s">
        <v>38</v>
      </c>
      <c r="D892" s="10">
        <v>40000</v>
      </c>
      <c r="E892" s="9" t="str" cm="1">
        <f t="array" ref="E892">_xlfn.IFS(D892&lt;= 60000, "Low Income",
D892&lt;=120000,"Medium Income",
D892&gt; 120000,"High Income"
)</f>
        <v>Low Income</v>
      </c>
      <c r="F892" s="9">
        <v>2</v>
      </c>
      <c r="G892" s="9" t="s">
        <v>21</v>
      </c>
      <c r="H892" s="9" t="s">
        <v>22</v>
      </c>
      <c r="I892" s="9" t="s">
        <v>17</v>
      </c>
      <c r="J892" s="9">
        <v>1</v>
      </c>
      <c r="K892" s="9" t="s">
        <v>18</v>
      </c>
      <c r="L892" s="9" t="s">
        <v>35</v>
      </c>
      <c r="M892" s="9">
        <v>48</v>
      </c>
      <c r="N892" s="9" t="str" cm="1">
        <f t="array" ref="N892">_xlfn.IFS(
M892&lt;=12,"Children",
M892&lt;=19,"Teens",
M892&lt;=29,"Young Adults",
M892&lt;=39,"Adults",
M892&lt;=59,"Middle-Aged",
M892&gt;=60,"Seniors"
)</f>
        <v>Middle-Aged</v>
      </c>
      <c r="O892" s="9" t="s">
        <v>20</v>
      </c>
      <c r="P892" s="9">
        <f t="shared" si="26"/>
        <v>0</v>
      </c>
      <c r="Q892" s="9">
        <v>1</v>
      </c>
      <c r="R892" s="10">
        <f t="shared" si="27"/>
        <v>0</v>
      </c>
    </row>
    <row r="893" spans="1:18" x14ac:dyDescent="0.3">
      <c r="A893" s="9">
        <v>13415</v>
      </c>
      <c r="B893" s="9" t="s">
        <v>40</v>
      </c>
      <c r="C893" s="9" t="s">
        <v>39</v>
      </c>
      <c r="D893" s="10">
        <v>100000</v>
      </c>
      <c r="E893" s="9" t="str" cm="1">
        <f t="array" ref="E893">_xlfn.IFS(D893&lt;= 60000, "Low Income",
D893&lt;=120000,"Medium Income",
D893&gt; 120000,"High Income"
)</f>
        <v>Medium Income</v>
      </c>
      <c r="F893" s="9">
        <v>1</v>
      </c>
      <c r="G893" s="9" t="s">
        <v>34</v>
      </c>
      <c r="H893" s="9" t="s">
        <v>31</v>
      </c>
      <c r="I893" s="9" t="s">
        <v>17</v>
      </c>
      <c r="J893" s="9">
        <v>3</v>
      </c>
      <c r="K893" s="9" t="s">
        <v>24</v>
      </c>
      <c r="L893" s="9" t="s">
        <v>35</v>
      </c>
      <c r="M893" s="9">
        <v>73</v>
      </c>
      <c r="N893" s="9" t="str" cm="1">
        <f t="array" ref="N893">_xlfn.IFS(
M893&lt;=12,"Children",
M893&lt;=19,"Teens",
M893&lt;=29,"Young Adults",
M893&lt;=39,"Adults",
M893&lt;=59,"Middle-Aged",
M893&gt;=60,"Seniors"
)</f>
        <v>Seniors</v>
      </c>
      <c r="O893" s="9" t="s">
        <v>17</v>
      </c>
      <c r="P893" s="9">
        <f t="shared" si="26"/>
        <v>1</v>
      </c>
      <c r="Q893" s="9">
        <v>1</v>
      </c>
      <c r="R893" s="10">
        <f t="shared" si="27"/>
        <v>100000</v>
      </c>
    </row>
    <row r="894" spans="1:18" x14ac:dyDescent="0.3">
      <c r="A894" s="9">
        <v>17000</v>
      </c>
      <c r="B894" s="9" t="s">
        <v>40</v>
      </c>
      <c r="C894" s="9" t="s">
        <v>38</v>
      </c>
      <c r="D894" s="10">
        <v>70000</v>
      </c>
      <c r="E894" s="9" t="str" cm="1">
        <f t="array" ref="E894">_xlfn.IFS(D894&lt;= 60000, "Low Income",
D894&lt;=120000,"Medium Income",
D894&gt; 120000,"High Income"
)</f>
        <v>Medium Income</v>
      </c>
      <c r="F894" s="9">
        <v>4</v>
      </c>
      <c r="G894" s="9" t="s">
        <v>15</v>
      </c>
      <c r="H894" s="9" t="s">
        <v>16</v>
      </c>
      <c r="I894" s="9" t="s">
        <v>17</v>
      </c>
      <c r="J894" s="9">
        <v>2</v>
      </c>
      <c r="K894" s="9" t="s">
        <v>24</v>
      </c>
      <c r="L894" s="9" t="s">
        <v>35</v>
      </c>
      <c r="M894" s="9">
        <v>43</v>
      </c>
      <c r="N894" s="9" t="str" cm="1">
        <f t="array" ref="N894">_xlfn.IFS(
M894&lt;=12,"Children",
M894&lt;=19,"Teens",
M894&lt;=29,"Young Adults",
M894&lt;=39,"Adults",
M894&lt;=59,"Middle-Aged",
M894&gt;=60,"Seniors"
)</f>
        <v>Middle-Aged</v>
      </c>
      <c r="O894" s="9" t="s">
        <v>17</v>
      </c>
      <c r="P894" s="9">
        <f t="shared" si="26"/>
        <v>1</v>
      </c>
      <c r="Q894" s="9">
        <v>1</v>
      </c>
      <c r="R894" s="10">
        <f t="shared" si="27"/>
        <v>70000</v>
      </c>
    </row>
    <row r="895" spans="1:18" x14ac:dyDescent="0.3">
      <c r="A895" s="9">
        <v>14569</v>
      </c>
      <c r="B895" s="9" t="s">
        <v>37</v>
      </c>
      <c r="C895" s="9" t="s">
        <v>39</v>
      </c>
      <c r="D895" s="10">
        <v>60000</v>
      </c>
      <c r="E895" s="9" t="str" cm="1">
        <f t="array" ref="E895">_xlfn.IFS(D895&lt;= 60000, "Low Income",
D895&lt;=120000,"Medium Income",
D895&gt; 120000,"High Income"
)</f>
        <v>Low Income</v>
      </c>
      <c r="F895" s="9">
        <v>1</v>
      </c>
      <c r="G895" s="9" t="s">
        <v>34</v>
      </c>
      <c r="H895" s="9" t="s">
        <v>23</v>
      </c>
      <c r="I895" s="9" t="s">
        <v>17</v>
      </c>
      <c r="J895" s="9">
        <v>0</v>
      </c>
      <c r="K895" s="9" t="s">
        <v>18</v>
      </c>
      <c r="L895" s="9" t="s">
        <v>35</v>
      </c>
      <c r="M895" s="9">
        <v>35</v>
      </c>
      <c r="N895" s="9" t="str" cm="1">
        <f t="array" ref="N895">_xlfn.IFS(
M895&lt;=12,"Children",
M895&lt;=19,"Teens",
M895&lt;=29,"Young Adults",
M895&lt;=39,"Adults",
M895&lt;=59,"Middle-Aged",
M895&gt;=60,"Seniors"
)</f>
        <v>Adults</v>
      </c>
      <c r="O895" s="9" t="s">
        <v>20</v>
      </c>
      <c r="P895" s="9">
        <f t="shared" si="26"/>
        <v>0</v>
      </c>
      <c r="Q895" s="9">
        <v>1</v>
      </c>
      <c r="R895" s="10">
        <f t="shared" si="27"/>
        <v>0</v>
      </c>
    </row>
    <row r="896" spans="1:18" x14ac:dyDescent="0.3">
      <c r="A896" s="9">
        <v>13873</v>
      </c>
      <c r="B896" s="9" t="s">
        <v>37</v>
      </c>
      <c r="C896" s="9" t="s">
        <v>39</v>
      </c>
      <c r="D896" s="10">
        <v>70000</v>
      </c>
      <c r="E896" s="9" t="str" cm="1">
        <f t="array" ref="E896">_xlfn.IFS(D896&lt;= 60000, "Low Income",
D896&lt;=120000,"Medium Income",
D896&gt; 120000,"High Income"
)</f>
        <v>Medium Income</v>
      </c>
      <c r="F896" s="9">
        <v>3</v>
      </c>
      <c r="G896" s="9" t="s">
        <v>34</v>
      </c>
      <c r="H896" s="9" t="s">
        <v>23</v>
      </c>
      <c r="I896" s="9" t="s">
        <v>17</v>
      </c>
      <c r="J896" s="9">
        <v>0</v>
      </c>
      <c r="K896" s="9" t="s">
        <v>18</v>
      </c>
      <c r="L896" s="9" t="s">
        <v>35</v>
      </c>
      <c r="M896" s="9">
        <v>35</v>
      </c>
      <c r="N896" s="9" t="str" cm="1">
        <f t="array" ref="N896">_xlfn.IFS(
M896&lt;=12,"Children",
M896&lt;=19,"Teens",
M896&lt;=29,"Young Adults",
M896&lt;=39,"Adults",
M896&lt;=59,"Middle-Aged",
M896&gt;=60,"Seniors"
)</f>
        <v>Adults</v>
      </c>
      <c r="O896" s="9" t="s">
        <v>17</v>
      </c>
      <c r="P896" s="9">
        <f t="shared" si="26"/>
        <v>1</v>
      </c>
      <c r="Q896" s="9">
        <v>1</v>
      </c>
      <c r="R896" s="10">
        <f t="shared" si="27"/>
        <v>70000</v>
      </c>
    </row>
    <row r="897" spans="1:18" x14ac:dyDescent="0.3">
      <c r="A897" s="9">
        <v>20401</v>
      </c>
      <c r="B897" s="9" t="s">
        <v>37</v>
      </c>
      <c r="C897" s="9" t="s">
        <v>38</v>
      </c>
      <c r="D897" s="10">
        <v>50000</v>
      </c>
      <c r="E897" s="9" t="str" cm="1">
        <f t="array" ref="E897">_xlfn.IFS(D897&lt;= 60000, "Low Income",
D897&lt;=120000,"Medium Income",
D897&gt; 120000,"High Income"
)</f>
        <v>Low Income</v>
      </c>
      <c r="F897" s="9">
        <v>4</v>
      </c>
      <c r="G897" s="9" t="s">
        <v>15</v>
      </c>
      <c r="H897" s="9" t="s">
        <v>31</v>
      </c>
      <c r="I897" s="9" t="s">
        <v>17</v>
      </c>
      <c r="J897" s="9">
        <v>2</v>
      </c>
      <c r="K897" s="9" t="s">
        <v>29</v>
      </c>
      <c r="L897" s="9" t="s">
        <v>35</v>
      </c>
      <c r="M897" s="9">
        <v>64</v>
      </c>
      <c r="N897" s="9" t="str" cm="1">
        <f t="array" ref="N897">_xlfn.IFS(
M897&lt;=12,"Children",
M897&lt;=19,"Teens",
M897&lt;=29,"Young Adults",
M897&lt;=39,"Adults",
M897&lt;=59,"Middle-Aged",
M897&gt;=60,"Seniors"
)</f>
        <v>Seniors</v>
      </c>
      <c r="O897" s="9" t="s">
        <v>17</v>
      </c>
      <c r="P897" s="9">
        <f t="shared" si="26"/>
        <v>1</v>
      </c>
      <c r="Q897" s="9">
        <v>1</v>
      </c>
      <c r="R897" s="10">
        <f t="shared" si="27"/>
        <v>50000</v>
      </c>
    </row>
    <row r="898" spans="1:18" x14ac:dyDescent="0.3">
      <c r="A898" s="9">
        <v>21583</v>
      </c>
      <c r="B898" s="9" t="s">
        <v>37</v>
      </c>
      <c r="C898" s="9" t="s">
        <v>38</v>
      </c>
      <c r="D898" s="10">
        <v>50000</v>
      </c>
      <c r="E898" s="9" t="str" cm="1">
        <f t="array" ref="E898">_xlfn.IFS(D898&lt;= 60000, "Low Income",
D898&lt;=120000,"Medium Income",
D898&gt; 120000,"High Income"
)</f>
        <v>Low Income</v>
      </c>
      <c r="F898" s="9">
        <v>1</v>
      </c>
      <c r="G898" s="9" t="s">
        <v>15</v>
      </c>
      <c r="H898" s="9" t="s">
        <v>16</v>
      </c>
      <c r="I898" s="9" t="s">
        <v>17</v>
      </c>
      <c r="J898" s="9">
        <v>0</v>
      </c>
      <c r="K898" s="9" t="s">
        <v>18</v>
      </c>
      <c r="L898" s="9" t="s">
        <v>35</v>
      </c>
      <c r="M898" s="9">
        <v>34</v>
      </c>
      <c r="N898" s="9" t="str" cm="1">
        <f t="array" ref="N898">_xlfn.IFS(
M898&lt;=12,"Children",
M898&lt;=19,"Teens",
M898&lt;=29,"Young Adults",
M898&lt;=39,"Adults",
M898&lt;=59,"Middle-Aged",
M898&gt;=60,"Seniors"
)</f>
        <v>Adults</v>
      </c>
      <c r="O898" s="9" t="s">
        <v>17</v>
      </c>
      <c r="P898" s="9">
        <f t="shared" si="26"/>
        <v>1</v>
      </c>
      <c r="Q898" s="9">
        <v>1</v>
      </c>
      <c r="R898" s="10">
        <f t="shared" si="27"/>
        <v>50000</v>
      </c>
    </row>
    <row r="899" spans="1:18" x14ac:dyDescent="0.3">
      <c r="A899" s="9">
        <v>12029</v>
      </c>
      <c r="B899" s="9" t="s">
        <v>37</v>
      </c>
      <c r="C899" s="9" t="s">
        <v>39</v>
      </c>
      <c r="D899" s="10">
        <v>30000</v>
      </c>
      <c r="E899" s="9" t="str" cm="1">
        <f t="array" ref="E899">_xlfn.IFS(D899&lt;= 60000, "Low Income",
D899&lt;=120000,"Medium Income",
D899&gt; 120000,"High Income"
)</f>
        <v>Low Income</v>
      </c>
      <c r="F899" s="9">
        <v>0</v>
      </c>
      <c r="G899" s="9" t="s">
        <v>32</v>
      </c>
      <c r="H899" s="9" t="s">
        <v>22</v>
      </c>
      <c r="I899" s="9" t="s">
        <v>20</v>
      </c>
      <c r="J899" s="9">
        <v>2</v>
      </c>
      <c r="K899" s="9" t="s">
        <v>18</v>
      </c>
      <c r="L899" s="9" t="s">
        <v>35</v>
      </c>
      <c r="M899" s="9">
        <v>28</v>
      </c>
      <c r="N899" s="9" t="str" cm="1">
        <f t="array" ref="N899">_xlfn.IFS(
M899&lt;=12,"Children",
M899&lt;=19,"Teens",
M899&lt;=29,"Young Adults",
M899&lt;=39,"Adults",
M899&lt;=59,"Middle-Aged",
M899&gt;=60,"Seniors"
)</f>
        <v>Young Adults</v>
      </c>
      <c r="O899" s="9" t="s">
        <v>20</v>
      </c>
      <c r="P899" s="9">
        <f t="shared" ref="P899:P962" si="28">IF(O899="No", 0, 1)</f>
        <v>0</v>
      </c>
      <c r="Q899" s="9">
        <v>1</v>
      </c>
      <c r="R899" s="10">
        <f t="shared" ref="R899:R962" si="29">IF(P899=1, D899, 0)</f>
        <v>0</v>
      </c>
    </row>
    <row r="900" spans="1:18" x14ac:dyDescent="0.3">
      <c r="A900" s="9">
        <v>18066</v>
      </c>
      <c r="B900" s="9" t="s">
        <v>40</v>
      </c>
      <c r="C900" s="9" t="s">
        <v>39</v>
      </c>
      <c r="D900" s="10">
        <v>70000</v>
      </c>
      <c r="E900" s="9" t="str" cm="1">
        <f t="array" ref="E900">_xlfn.IFS(D900&lt;= 60000, "Low Income",
D900&lt;=120000,"Medium Income",
D900&gt; 120000,"High Income"
)</f>
        <v>Medium Income</v>
      </c>
      <c r="F900" s="9">
        <v>5</v>
      </c>
      <c r="G900" s="9" t="s">
        <v>15</v>
      </c>
      <c r="H900" s="9" t="s">
        <v>31</v>
      </c>
      <c r="I900" s="9" t="s">
        <v>17</v>
      </c>
      <c r="J900" s="9">
        <v>3</v>
      </c>
      <c r="K900" s="9" t="s">
        <v>41</v>
      </c>
      <c r="L900" s="9" t="s">
        <v>35</v>
      </c>
      <c r="M900" s="9">
        <v>60</v>
      </c>
      <c r="N900" s="9" t="str" cm="1">
        <f t="array" ref="N900">_xlfn.IFS(
M900&lt;=12,"Children",
M900&lt;=19,"Teens",
M900&lt;=29,"Young Adults",
M900&lt;=39,"Adults",
M900&lt;=59,"Middle-Aged",
M900&gt;=60,"Seniors"
)</f>
        <v>Seniors</v>
      </c>
      <c r="O900" s="9" t="s">
        <v>17</v>
      </c>
      <c r="P900" s="9">
        <f t="shared" si="28"/>
        <v>1</v>
      </c>
      <c r="Q900" s="9">
        <v>1</v>
      </c>
      <c r="R900" s="10">
        <f t="shared" si="29"/>
        <v>70000</v>
      </c>
    </row>
    <row r="901" spans="1:18" x14ac:dyDescent="0.3">
      <c r="A901" s="9">
        <v>28192</v>
      </c>
      <c r="B901" s="9" t="s">
        <v>37</v>
      </c>
      <c r="C901" s="9" t="s">
        <v>38</v>
      </c>
      <c r="D901" s="10">
        <v>70000</v>
      </c>
      <c r="E901" s="9" t="str" cm="1">
        <f t="array" ref="E901">_xlfn.IFS(D901&lt;= 60000, "Low Income",
D901&lt;=120000,"Medium Income",
D901&gt; 120000,"High Income"
)</f>
        <v>Medium Income</v>
      </c>
      <c r="F901" s="9">
        <v>5</v>
      </c>
      <c r="G901" s="9" t="s">
        <v>34</v>
      </c>
      <c r="H901" s="9" t="s">
        <v>23</v>
      </c>
      <c r="I901" s="9" t="s">
        <v>17</v>
      </c>
      <c r="J901" s="9">
        <v>3</v>
      </c>
      <c r="K901" s="9" t="s">
        <v>41</v>
      </c>
      <c r="L901" s="9" t="s">
        <v>35</v>
      </c>
      <c r="M901" s="9">
        <v>46</v>
      </c>
      <c r="N901" s="9" t="str" cm="1">
        <f t="array" ref="N901">_xlfn.IFS(
M901&lt;=12,"Children",
M901&lt;=19,"Teens",
M901&lt;=29,"Young Adults",
M901&lt;=39,"Adults",
M901&lt;=59,"Middle-Aged",
M901&gt;=60,"Seniors"
)</f>
        <v>Middle-Aged</v>
      </c>
      <c r="O901" s="9" t="s">
        <v>20</v>
      </c>
      <c r="P901" s="9">
        <f t="shared" si="28"/>
        <v>0</v>
      </c>
      <c r="Q901" s="9">
        <v>1</v>
      </c>
      <c r="R901" s="10">
        <f t="shared" si="29"/>
        <v>0</v>
      </c>
    </row>
    <row r="902" spans="1:18" x14ac:dyDescent="0.3">
      <c r="A902" s="9">
        <v>16122</v>
      </c>
      <c r="B902" s="9" t="s">
        <v>37</v>
      </c>
      <c r="C902" s="9" t="s">
        <v>39</v>
      </c>
      <c r="D902" s="10">
        <v>40000</v>
      </c>
      <c r="E902" s="9" t="str" cm="1">
        <f t="array" ref="E902">_xlfn.IFS(D902&lt;= 60000, "Low Income",
D902&lt;=120000,"Medium Income",
D902&gt; 120000,"High Income"
)</f>
        <v>Low Income</v>
      </c>
      <c r="F902" s="9">
        <v>4</v>
      </c>
      <c r="G902" s="9" t="s">
        <v>30</v>
      </c>
      <c r="H902" s="9" t="s">
        <v>16</v>
      </c>
      <c r="I902" s="9" t="s">
        <v>17</v>
      </c>
      <c r="J902" s="9">
        <v>2</v>
      </c>
      <c r="K902" s="9" t="s">
        <v>18</v>
      </c>
      <c r="L902" s="9" t="s">
        <v>35</v>
      </c>
      <c r="M902" s="9">
        <v>44</v>
      </c>
      <c r="N902" s="9" t="str" cm="1">
        <f t="array" ref="N902">_xlfn.IFS(
M902&lt;=12,"Children",
M902&lt;=19,"Teens",
M902&lt;=29,"Young Adults",
M902&lt;=39,"Adults",
M902&lt;=59,"Middle-Aged",
M902&gt;=60,"Seniors"
)</f>
        <v>Middle-Aged</v>
      </c>
      <c r="O902" s="9" t="s">
        <v>17</v>
      </c>
      <c r="P902" s="9">
        <f t="shared" si="28"/>
        <v>1</v>
      </c>
      <c r="Q902" s="9">
        <v>1</v>
      </c>
      <c r="R902" s="10">
        <f t="shared" si="29"/>
        <v>40000</v>
      </c>
    </row>
    <row r="903" spans="1:18" x14ac:dyDescent="0.3">
      <c r="A903" s="9">
        <v>18607</v>
      </c>
      <c r="B903" s="9" t="s">
        <v>40</v>
      </c>
      <c r="C903" s="9" t="s">
        <v>38</v>
      </c>
      <c r="D903" s="10">
        <v>60000</v>
      </c>
      <c r="E903" s="9" t="str" cm="1">
        <f t="array" ref="E903">_xlfn.IFS(D903&lt;= 60000, "Low Income",
D903&lt;=120000,"Medium Income",
D903&gt; 120000,"High Income"
)</f>
        <v>Low Income</v>
      </c>
      <c r="F903" s="9">
        <v>4</v>
      </c>
      <c r="G903" s="9" t="s">
        <v>15</v>
      </c>
      <c r="H903" s="9" t="s">
        <v>16</v>
      </c>
      <c r="I903" s="9" t="s">
        <v>17</v>
      </c>
      <c r="J903" s="9">
        <v>2</v>
      </c>
      <c r="K903" s="9" t="s">
        <v>24</v>
      </c>
      <c r="L903" s="9" t="s">
        <v>35</v>
      </c>
      <c r="M903" s="9">
        <v>42</v>
      </c>
      <c r="N903" s="9" t="str" cm="1">
        <f t="array" ref="N903">_xlfn.IFS(
M903&lt;=12,"Children",
M903&lt;=19,"Teens",
M903&lt;=29,"Young Adults",
M903&lt;=39,"Adults",
M903&lt;=59,"Middle-Aged",
M903&gt;=60,"Seniors"
)</f>
        <v>Middle-Aged</v>
      </c>
      <c r="O903" s="9" t="s">
        <v>17</v>
      </c>
      <c r="P903" s="9">
        <f t="shared" si="28"/>
        <v>1</v>
      </c>
      <c r="Q903" s="9">
        <v>1</v>
      </c>
      <c r="R903" s="10">
        <f t="shared" si="29"/>
        <v>60000</v>
      </c>
    </row>
    <row r="904" spans="1:18" x14ac:dyDescent="0.3">
      <c r="A904" s="9">
        <v>28858</v>
      </c>
      <c r="B904" s="9" t="s">
        <v>40</v>
      </c>
      <c r="C904" s="9" t="s">
        <v>39</v>
      </c>
      <c r="D904" s="10">
        <v>80000</v>
      </c>
      <c r="E904" s="9" t="str" cm="1">
        <f t="array" ref="E904">_xlfn.IFS(D904&lt;= 60000, "Low Income",
D904&lt;=120000,"Medium Income",
D904&gt; 120000,"High Income"
)</f>
        <v>Medium Income</v>
      </c>
      <c r="F904" s="9">
        <v>3</v>
      </c>
      <c r="G904" s="9" t="s">
        <v>15</v>
      </c>
      <c r="H904" s="9" t="s">
        <v>16</v>
      </c>
      <c r="I904" s="9" t="s">
        <v>17</v>
      </c>
      <c r="J904" s="9">
        <v>0</v>
      </c>
      <c r="K904" s="9" t="s">
        <v>24</v>
      </c>
      <c r="L904" s="9" t="s">
        <v>35</v>
      </c>
      <c r="M904" s="9">
        <v>40</v>
      </c>
      <c r="N904" s="9" t="str" cm="1">
        <f t="array" ref="N904">_xlfn.IFS(
M904&lt;=12,"Children",
M904&lt;=19,"Teens",
M904&lt;=29,"Young Adults",
M904&lt;=39,"Adults",
M904&lt;=59,"Middle-Aged",
M904&gt;=60,"Seniors"
)</f>
        <v>Middle-Aged</v>
      </c>
      <c r="O904" s="9" t="s">
        <v>20</v>
      </c>
      <c r="P904" s="9">
        <f t="shared" si="28"/>
        <v>0</v>
      </c>
      <c r="Q904" s="9">
        <v>1</v>
      </c>
      <c r="R904" s="10">
        <f t="shared" si="29"/>
        <v>0</v>
      </c>
    </row>
    <row r="905" spans="1:18" x14ac:dyDescent="0.3">
      <c r="A905" s="9">
        <v>14432</v>
      </c>
      <c r="B905" s="9" t="s">
        <v>40</v>
      </c>
      <c r="C905" s="9" t="s">
        <v>39</v>
      </c>
      <c r="D905" s="10">
        <v>90000</v>
      </c>
      <c r="E905" s="9" t="str" cm="1">
        <f t="array" ref="E905">_xlfn.IFS(D905&lt;= 60000, "Low Income",
D905&lt;=120000,"Medium Income",
D905&gt; 120000,"High Income"
)</f>
        <v>Medium Income</v>
      </c>
      <c r="F905" s="9">
        <v>4</v>
      </c>
      <c r="G905" s="9" t="s">
        <v>34</v>
      </c>
      <c r="H905" s="9" t="s">
        <v>31</v>
      </c>
      <c r="I905" s="9" t="s">
        <v>17</v>
      </c>
      <c r="J905" s="9">
        <v>1</v>
      </c>
      <c r="K905" s="9" t="s">
        <v>26</v>
      </c>
      <c r="L905" s="9" t="s">
        <v>35</v>
      </c>
      <c r="M905" s="9">
        <v>73</v>
      </c>
      <c r="N905" s="9" t="str" cm="1">
        <f t="array" ref="N905">_xlfn.IFS(
M905&lt;=12,"Children",
M905&lt;=19,"Teens",
M905&lt;=29,"Young Adults",
M905&lt;=39,"Adults",
M905&lt;=59,"Middle-Aged",
M905&gt;=60,"Seniors"
)</f>
        <v>Seniors</v>
      </c>
      <c r="O905" s="9" t="s">
        <v>20</v>
      </c>
      <c r="P905" s="9">
        <f t="shared" si="28"/>
        <v>0</v>
      </c>
      <c r="Q905" s="9">
        <v>1</v>
      </c>
      <c r="R905" s="10">
        <f t="shared" si="29"/>
        <v>0</v>
      </c>
    </row>
    <row r="906" spans="1:18" x14ac:dyDescent="0.3">
      <c r="A906" s="9">
        <v>26305</v>
      </c>
      <c r="B906" s="9" t="s">
        <v>40</v>
      </c>
      <c r="C906" s="9" t="s">
        <v>38</v>
      </c>
      <c r="D906" s="10">
        <v>60000</v>
      </c>
      <c r="E906" s="9" t="str" cm="1">
        <f t="array" ref="E906">_xlfn.IFS(D906&lt;= 60000, "Low Income",
D906&lt;=120000,"Medium Income",
D906&gt; 120000,"High Income"
)</f>
        <v>Low Income</v>
      </c>
      <c r="F906" s="9">
        <v>2</v>
      </c>
      <c r="G906" s="9" t="s">
        <v>15</v>
      </c>
      <c r="H906" s="9" t="s">
        <v>16</v>
      </c>
      <c r="I906" s="9" t="s">
        <v>20</v>
      </c>
      <c r="J906" s="9">
        <v>0</v>
      </c>
      <c r="K906" s="9" t="s">
        <v>18</v>
      </c>
      <c r="L906" s="9" t="s">
        <v>35</v>
      </c>
      <c r="M906" s="9">
        <v>36</v>
      </c>
      <c r="N906" s="9" t="str" cm="1">
        <f t="array" ref="N906">_xlfn.IFS(
M906&lt;=12,"Children",
M906&lt;=19,"Teens",
M906&lt;=29,"Young Adults",
M906&lt;=39,"Adults",
M906&lt;=59,"Middle-Aged",
M906&gt;=60,"Seniors"
)</f>
        <v>Adults</v>
      </c>
      <c r="O906" s="9" t="s">
        <v>17</v>
      </c>
      <c r="P906" s="9">
        <f t="shared" si="28"/>
        <v>1</v>
      </c>
      <c r="Q906" s="9">
        <v>1</v>
      </c>
      <c r="R906" s="10">
        <f t="shared" si="29"/>
        <v>60000</v>
      </c>
    </row>
    <row r="907" spans="1:18" x14ac:dyDescent="0.3">
      <c r="A907" s="9">
        <v>22050</v>
      </c>
      <c r="B907" s="9" t="s">
        <v>40</v>
      </c>
      <c r="C907" s="9" t="s">
        <v>39</v>
      </c>
      <c r="D907" s="10">
        <v>90000</v>
      </c>
      <c r="E907" s="9" t="str" cm="1">
        <f t="array" ref="E907">_xlfn.IFS(D907&lt;= 60000, "Low Income",
D907&lt;=120000,"Medium Income",
D907&gt; 120000,"High Income"
)</f>
        <v>Medium Income</v>
      </c>
      <c r="F907" s="9">
        <v>4</v>
      </c>
      <c r="G907" s="9" t="s">
        <v>15</v>
      </c>
      <c r="H907" s="9" t="s">
        <v>31</v>
      </c>
      <c r="I907" s="9" t="s">
        <v>17</v>
      </c>
      <c r="J907" s="9">
        <v>1</v>
      </c>
      <c r="K907" s="9" t="s">
        <v>29</v>
      </c>
      <c r="L907" s="9" t="s">
        <v>35</v>
      </c>
      <c r="M907" s="9">
        <v>38</v>
      </c>
      <c r="N907" s="9" t="str" cm="1">
        <f t="array" ref="N907">_xlfn.IFS(
M907&lt;=12,"Children",
M907&lt;=19,"Teens",
M907&lt;=29,"Young Adults",
M907&lt;=39,"Adults",
M907&lt;=59,"Middle-Aged",
M907&gt;=60,"Seniors"
)</f>
        <v>Adults</v>
      </c>
      <c r="O907" s="9" t="s">
        <v>17</v>
      </c>
      <c r="P907" s="9">
        <f t="shared" si="28"/>
        <v>1</v>
      </c>
      <c r="Q907" s="9">
        <v>1</v>
      </c>
      <c r="R907" s="10">
        <f t="shared" si="29"/>
        <v>90000</v>
      </c>
    </row>
    <row r="908" spans="1:18" x14ac:dyDescent="0.3">
      <c r="A908" s="9">
        <v>25394</v>
      </c>
      <c r="B908" s="9" t="s">
        <v>37</v>
      </c>
      <c r="C908" s="9" t="s">
        <v>39</v>
      </c>
      <c r="D908" s="10">
        <v>60000</v>
      </c>
      <c r="E908" s="9" t="str" cm="1">
        <f t="array" ref="E908">_xlfn.IFS(D908&lt;= 60000, "Low Income",
D908&lt;=120000,"Medium Income",
D908&gt; 120000,"High Income"
)</f>
        <v>Low Income</v>
      </c>
      <c r="F908" s="9">
        <v>1</v>
      </c>
      <c r="G908" s="9" t="s">
        <v>34</v>
      </c>
      <c r="H908" s="9" t="s">
        <v>23</v>
      </c>
      <c r="I908" s="9" t="s">
        <v>17</v>
      </c>
      <c r="J908" s="9">
        <v>0</v>
      </c>
      <c r="K908" s="9" t="s">
        <v>24</v>
      </c>
      <c r="L908" s="9" t="s">
        <v>35</v>
      </c>
      <c r="M908" s="9">
        <v>34</v>
      </c>
      <c r="N908" s="9" t="str" cm="1">
        <f t="array" ref="N908">_xlfn.IFS(
M908&lt;=12,"Children",
M908&lt;=19,"Teens",
M908&lt;=29,"Young Adults",
M908&lt;=39,"Adults",
M908&lt;=59,"Middle-Aged",
M908&gt;=60,"Seniors"
)</f>
        <v>Adults</v>
      </c>
      <c r="O908" s="9" t="s">
        <v>17</v>
      </c>
      <c r="P908" s="9">
        <f t="shared" si="28"/>
        <v>1</v>
      </c>
      <c r="Q908" s="9">
        <v>1</v>
      </c>
      <c r="R908" s="10">
        <f t="shared" si="29"/>
        <v>60000</v>
      </c>
    </row>
    <row r="909" spans="1:18" x14ac:dyDescent="0.3">
      <c r="A909" s="9">
        <v>19747</v>
      </c>
      <c r="B909" s="9" t="s">
        <v>37</v>
      </c>
      <c r="C909" s="9" t="s">
        <v>39</v>
      </c>
      <c r="D909" s="10">
        <v>50000</v>
      </c>
      <c r="E909" s="9" t="str" cm="1">
        <f t="array" ref="E909">_xlfn.IFS(D909&lt;= 60000, "Low Income",
D909&lt;=120000,"Medium Income",
D909&gt; 120000,"High Income"
)</f>
        <v>Low Income</v>
      </c>
      <c r="F909" s="9">
        <v>4</v>
      </c>
      <c r="G909" s="9" t="s">
        <v>15</v>
      </c>
      <c r="H909" s="9" t="s">
        <v>31</v>
      </c>
      <c r="I909" s="9" t="s">
        <v>17</v>
      </c>
      <c r="J909" s="9">
        <v>2</v>
      </c>
      <c r="K909" s="9" t="s">
        <v>41</v>
      </c>
      <c r="L909" s="9" t="s">
        <v>35</v>
      </c>
      <c r="M909" s="9">
        <v>63</v>
      </c>
      <c r="N909" s="9" t="str" cm="1">
        <f t="array" ref="N909">_xlfn.IFS(
M909&lt;=12,"Children",
M909&lt;=19,"Teens",
M909&lt;=29,"Young Adults",
M909&lt;=39,"Adults",
M909&lt;=59,"Middle-Aged",
M909&gt;=60,"Seniors"
)</f>
        <v>Seniors</v>
      </c>
      <c r="O909" s="9" t="s">
        <v>20</v>
      </c>
      <c r="P909" s="9">
        <f t="shared" si="28"/>
        <v>0</v>
      </c>
      <c r="Q909" s="9">
        <v>1</v>
      </c>
      <c r="R909" s="10">
        <f t="shared" si="29"/>
        <v>0</v>
      </c>
    </row>
    <row r="910" spans="1:18" x14ac:dyDescent="0.3">
      <c r="A910" s="9">
        <v>23195</v>
      </c>
      <c r="B910" s="9" t="s">
        <v>40</v>
      </c>
      <c r="C910" s="9" t="s">
        <v>39</v>
      </c>
      <c r="D910" s="10">
        <v>50000</v>
      </c>
      <c r="E910" s="9" t="str" cm="1">
        <f t="array" ref="E910">_xlfn.IFS(D910&lt;= 60000, "Low Income",
D910&lt;=120000,"Medium Income",
D910&gt; 120000,"High Income"
)</f>
        <v>Low Income</v>
      </c>
      <c r="F910" s="9">
        <v>3</v>
      </c>
      <c r="G910" s="9" t="s">
        <v>15</v>
      </c>
      <c r="H910" s="9" t="s">
        <v>16</v>
      </c>
      <c r="I910" s="9" t="s">
        <v>17</v>
      </c>
      <c r="J910" s="9">
        <v>2</v>
      </c>
      <c r="K910" s="9" t="s">
        <v>24</v>
      </c>
      <c r="L910" s="9" t="s">
        <v>35</v>
      </c>
      <c r="M910" s="9">
        <v>41</v>
      </c>
      <c r="N910" s="9" t="str" cm="1">
        <f t="array" ref="N910">_xlfn.IFS(
M910&lt;=12,"Children",
M910&lt;=19,"Teens",
M910&lt;=29,"Young Adults",
M910&lt;=39,"Adults",
M910&lt;=59,"Middle-Aged",
M910&gt;=60,"Seniors"
)</f>
        <v>Middle-Aged</v>
      </c>
      <c r="O910" s="9" t="s">
        <v>17</v>
      </c>
      <c r="P910" s="9">
        <f t="shared" si="28"/>
        <v>1</v>
      </c>
      <c r="Q910" s="9">
        <v>1</v>
      </c>
      <c r="R910" s="10">
        <f t="shared" si="29"/>
        <v>50000</v>
      </c>
    </row>
    <row r="911" spans="1:18" x14ac:dyDescent="0.3">
      <c r="A911" s="9">
        <v>21695</v>
      </c>
      <c r="B911" s="9" t="s">
        <v>37</v>
      </c>
      <c r="C911" s="9" t="s">
        <v>39</v>
      </c>
      <c r="D911" s="10">
        <v>60000</v>
      </c>
      <c r="E911" s="9" t="str" cm="1">
        <f t="array" ref="E911">_xlfn.IFS(D911&lt;= 60000, "Low Income",
D911&lt;=120000,"Medium Income",
D911&gt; 120000,"High Income"
)</f>
        <v>Low Income</v>
      </c>
      <c r="F911" s="9">
        <v>0</v>
      </c>
      <c r="G911" s="9" t="s">
        <v>34</v>
      </c>
      <c r="H911" s="9" t="s">
        <v>16</v>
      </c>
      <c r="I911" s="9" t="s">
        <v>17</v>
      </c>
      <c r="J911" s="9">
        <v>0</v>
      </c>
      <c r="K911" s="9" t="s">
        <v>29</v>
      </c>
      <c r="L911" s="9" t="s">
        <v>35</v>
      </c>
      <c r="M911" s="9">
        <v>39</v>
      </c>
      <c r="N911" s="9" t="str" cm="1">
        <f t="array" ref="N911">_xlfn.IFS(
M911&lt;=12,"Children",
M911&lt;=19,"Teens",
M911&lt;=29,"Young Adults",
M911&lt;=39,"Adults",
M911&lt;=59,"Middle-Aged",
M911&gt;=60,"Seniors"
)</f>
        <v>Adults</v>
      </c>
      <c r="O911" s="9" t="s">
        <v>17</v>
      </c>
      <c r="P911" s="9">
        <f t="shared" si="28"/>
        <v>1</v>
      </c>
      <c r="Q911" s="9">
        <v>1</v>
      </c>
      <c r="R911" s="10">
        <f t="shared" si="29"/>
        <v>60000</v>
      </c>
    </row>
    <row r="912" spans="1:18" x14ac:dyDescent="0.3">
      <c r="A912" s="9">
        <v>13934</v>
      </c>
      <c r="B912" s="9" t="s">
        <v>37</v>
      </c>
      <c r="C912" s="9" t="s">
        <v>39</v>
      </c>
      <c r="D912" s="10">
        <v>40000</v>
      </c>
      <c r="E912" s="9" t="str" cm="1">
        <f t="array" ref="E912">_xlfn.IFS(D912&lt;= 60000, "Low Income",
D912&lt;=120000,"Medium Income",
D912&gt; 120000,"High Income"
)</f>
        <v>Low Income</v>
      </c>
      <c r="F912" s="9">
        <v>4</v>
      </c>
      <c r="G912" s="9" t="s">
        <v>30</v>
      </c>
      <c r="H912" s="9" t="s">
        <v>16</v>
      </c>
      <c r="I912" s="9" t="s">
        <v>17</v>
      </c>
      <c r="J912" s="9">
        <v>2</v>
      </c>
      <c r="K912" s="9" t="s">
        <v>24</v>
      </c>
      <c r="L912" s="9" t="s">
        <v>35</v>
      </c>
      <c r="M912" s="9">
        <v>46</v>
      </c>
      <c r="N912" s="9" t="str" cm="1">
        <f t="array" ref="N912">_xlfn.IFS(
M912&lt;=12,"Children",
M912&lt;=19,"Teens",
M912&lt;=29,"Young Adults",
M912&lt;=39,"Adults",
M912&lt;=59,"Middle-Aged",
M912&gt;=60,"Seniors"
)</f>
        <v>Middle-Aged</v>
      </c>
      <c r="O912" s="9" t="s">
        <v>20</v>
      </c>
      <c r="P912" s="9">
        <f t="shared" si="28"/>
        <v>0</v>
      </c>
      <c r="Q912" s="9">
        <v>1</v>
      </c>
      <c r="R912" s="10">
        <f t="shared" si="29"/>
        <v>0</v>
      </c>
    </row>
    <row r="913" spans="1:18" x14ac:dyDescent="0.3">
      <c r="A913" s="9">
        <v>13337</v>
      </c>
      <c r="B913" s="9" t="s">
        <v>37</v>
      </c>
      <c r="C913" s="9" t="s">
        <v>38</v>
      </c>
      <c r="D913" s="10">
        <v>80000</v>
      </c>
      <c r="E913" s="9" t="str" cm="1">
        <f t="array" ref="E913">_xlfn.IFS(D913&lt;= 60000, "Low Income",
D913&lt;=120000,"Medium Income",
D913&gt; 120000,"High Income"
)</f>
        <v>Medium Income</v>
      </c>
      <c r="F913" s="9">
        <v>5</v>
      </c>
      <c r="G913" s="9" t="s">
        <v>15</v>
      </c>
      <c r="H913" s="9" t="s">
        <v>31</v>
      </c>
      <c r="I913" s="9" t="s">
        <v>17</v>
      </c>
      <c r="J913" s="9">
        <v>2</v>
      </c>
      <c r="K913" s="9" t="s">
        <v>26</v>
      </c>
      <c r="L913" s="9" t="s">
        <v>35</v>
      </c>
      <c r="M913" s="9">
        <v>64</v>
      </c>
      <c r="N913" s="9" t="str" cm="1">
        <f t="array" ref="N913">_xlfn.IFS(
M913&lt;=12,"Children",
M913&lt;=19,"Teens",
M913&lt;=29,"Young Adults",
M913&lt;=39,"Adults",
M913&lt;=59,"Middle-Aged",
M913&gt;=60,"Seniors"
)</f>
        <v>Seniors</v>
      </c>
      <c r="O913" s="9" t="s">
        <v>20</v>
      </c>
      <c r="P913" s="9">
        <f t="shared" si="28"/>
        <v>0</v>
      </c>
      <c r="Q913" s="9">
        <v>1</v>
      </c>
      <c r="R913" s="10">
        <f t="shared" si="29"/>
        <v>0</v>
      </c>
    </row>
    <row r="914" spans="1:18" x14ac:dyDescent="0.3">
      <c r="A914" s="9">
        <v>27190</v>
      </c>
      <c r="B914" s="9" t="s">
        <v>37</v>
      </c>
      <c r="C914" s="9" t="s">
        <v>38</v>
      </c>
      <c r="D914" s="10">
        <v>40000</v>
      </c>
      <c r="E914" s="9" t="str" cm="1">
        <f t="array" ref="E914">_xlfn.IFS(D914&lt;= 60000, "Low Income",
D914&lt;=120000,"Medium Income",
D914&gt; 120000,"High Income"
)</f>
        <v>Low Income</v>
      </c>
      <c r="F914" s="9">
        <v>3</v>
      </c>
      <c r="G914" s="9" t="s">
        <v>21</v>
      </c>
      <c r="H914" s="9" t="s">
        <v>22</v>
      </c>
      <c r="I914" s="9" t="s">
        <v>17</v>
      </c>
      <c r="J914" s="9">
        <v>1</v>
      </c>
      <c r="K914" s="9" t="s">
        <v>29</v>
      </c>
      <c r="L914" s="9" t="s">
        <v>35</v>
      </c>
      <c r="M914" s="9">
        <v>32</v>
      </c>
      <c r="N914" s="9" t="str" cm="1">
        <f t="array" ref="N914">_xlfn.IFS(
M914&lt;=12,"Children",
M914&lt;=19,"Teens",
M914&lt;=29,"Young Adults",
M914&lt;=39,"Adults",
M914&lt;=59,"Middle-Aged",
M914&gt;=60,"Seniors"
)</f>
        <v>Adults</v>
      </c>
      <c r="O914" s="9" t="s">
        <v>20</v>
      </c>
      <c r="P914" s="9">
        <f t="shared" si="28"/>
        <v>0</v>
      </c>
      <c r="Q914" s="9">
        <v>1</v>
      </c>
      <c r="R914" s="10">
        <f t="shared" si="29"/>
        <v>0</v>
      </c>
    </row>
    <row r="915" spans="1:18" x14ac:dyDescent="0.3">
      <c r="A915" s="9">
        <v>28657</v>
      </c>
      <c r="B915" s="9" t="s">
        <v>40</v>
      </c>
      <c r="C915" s="9" t="s">
        <v>39</v>
      </c>
      <c r="D915" s="10">
        <v>60000</v>
      </c>
      <c r="E915" s="9" t="str" cm="1">
        <f t="array" ref="E915">_xlfn.IFS(D915&lt;= 60000, "Low Income",
D915&lt;=120000,"Medium Income",
D915&gt; 120000,"High Income"
)</f>
        <v>Low Income</v>
      </c>
      <c r="F915" s="9">
        <v>2</v>
      </c>
      <c r="G915" s="9" t="s">
        <v>15</v>
      </c>
      <c r="H915" s="9" t="s">
        <v>16</v>
      </c>
      <c r="I915" s="9" t="s">
        <v>17</v>
      </c>
      <c r="J915" s="9">
        <v>0</v>
      </c>
      <c r="K915" s="9" t="s">
        <v>24</v>
      </c>
      <c r="L915" s="9" t="s">
        <v>35</v>
      </c>
      <c r="M915" s="9">
        <v>36</v>
      </c>
      <c r="N915" s="9" t="str" cm="1">
        <f t="array" ref="N915">_xlfn.IFS(
M915&lt;=12,"Children",
M915&lt;=19,"Teens",
M915&lt;=29,"Young Adults",
M915&lt;=39,"Adults",
M915&lt;=59,"Middle-Aged",
M915&gt;=60,"Seniors"
)</f>
        <v>Adults</v>
      </c>
      <c r="O915" s="9" t="s">
        <v>17</v>
      </c>
      <c r="P915" s="9">
        <f t="shared" si="28"/>
        <v>1</v>
      </c>
      <c r="Q915" s="9">
        <v>1</v>
      </c>
      <c r="R915" s="10">
        <f t="shared" si="29"/>
        <v>60000</v>
      </c>
    </row>
    <row r="916" spans="1:18" x14ac:dyDescent="0.3">
      <c r="A916" s="9">
        <v>21713</v>
      </c>
      <c r="B916" s="9" t="s">
        <v>40</v>
      </c>
      <c r="C916" s="9" t="s">
        <v>39</v>
      </c>
      <c r="D916" s="10">
        <v>80000</v>
      </c>
      <c r="E916" s="9" t="str" cm="1">
        <f t="array" ref="E916">_xlfn.IFS(D916&lt;= 60000, "Low Income",
D916&lt;=120000,"Medium Income",
D916&gt; 120000,"High Income"
)</f>
        <v>Medium Income</v>
      </c>
      <c r="F916" s="9">
        <v>5</v>
      </c>
      <c r="G916" s="9" t="s">
        <v>34</v>
      </c>
      <c r="H916" s="9" t="s">
        <v>16</v>
      </c>
      <c r="I916" s="9" t="s">
        <v>20</v>
      </c>
      <c r="J916" s="9">
        <v>0</v>
      </c>
      <c r="K916" s="9" t="s">
        <v>18</v>
      </c>
      <c r="L916" s="9" t="s">
        <v>35</v>
      </c>
      <c r="M916" s="9">
        <v>47</v>
      </c>
      <c r="N916" s="9" t="str" cm="1">
        <f t="array" ref="N916">_xlfn.IFS(
M916&lt;=12,"Children",
M916&lt;=19,"Teens",
M916&lt;=29,"Young Adults",
M916&lt;=39,"Adults",
M916&lt;=59,"Middle-Aged",
M916&gt;=60,"Seniors"
)</f>
        <v>Middle-Aged</v>
      </c>
      <c r="O916" s="9" t="s">
        <v>20</v>
      </c>
      <c r="P916" s="9">
        <f t="shared" si="28"/>
        <v>0</v>
      </c>
      <c r="Q916" s="9">
        <v>1</v>
      </c>
      <c r="R916" s="10">
        <f t="shared" si="29"/>
        <v>0</v>
      </c>
    </row>
    <row r="917" spans="1:18" x14ac:dyDescent="0.3">
      <c r="A917" s="9">
        <v>21752</v>
      </c>
      <c r="B917" s="9" t="s">
        <v>37</v>
      </c>
      <c r="C917" s="9" t="s">
        <v>39</v>
      </c>
      <c r="D917" s="10">
        <v>60000</v>
      </c>
      <c r="E917" s="9" t="str" cm="1">
        <f t="array" ref="E917">_xlfn.IFS(D917&lt;= 60000, "Low Income",
D917&lt;=120000,"Medium Income",
D917&gt; 120000,"High Income"
)</f>
        <v>Low Income</v>
      </c>
      <c r="F917" s="9">
        <v>3</v>
      </c>
      <c r="G917" s="9" t="s">
        <v>34</v>
      </c>
      <c r="H917" s="9" t="s">
        <v>31</v>
      </c>
      <c r="I917" s="9" t="s">
        <v>17</v>
      </c>
      <c r="J917" s="9">
        <v>2</v>
      </c>
      <c r="K917" s="9" t="s">
        <v>41</v>
      </c>
      <c r="L917" s="9" t="s">
        <v>35</v>
      </c>
      <c r="M917" s="9">
        <v>64</v>
      </c>
      <c r="N917" s="9" t="str" cm="1">
        <f t="array" ref="N917">_xlfn.IFS(
M917&lt;=12,"Children",
M917&lt;=19,"Teens",
M917&lt;=29,"Young Adults",
M917&lt;=39,"Adults",
M917&lt;=59,"Middle-Aged",
M917&gt;=60,"Seniors"
)</f>
        <v>Seniors</v>
      </c>
      <c r="O917" s="9" t="s">
        <v>20</v>
      </c>
      <c r="P917" s="9">
        <f t="shared" si="28"/>
        <v>0</v>
      </c>
      <c r="Q917" s="9">
        <v>1</v>
      </c>
      <c r="R917" s="10">
        <f t="shared" si="29"/>
        <v>0</v>
      </c>
    </row>
    <row r="918" spans="1:18" x14ac:dyDescent="0.3">
      <c r="A918" s="9">
        <v>27273</v>
      </c>
      <c r="B918" s="9" t="s">
        <v>40</v>
      </c>
      <c r="C918" s="9" t="s">
        <v>39</v>
      </c>
      <c r="D918" s="10">
        <v>70000</v>
      </c>
      <c r="E918" s="9" t="str" cm="1">
        <f t="array" ref="E918">_xlfn.IFS(D918&lt;= 60000, "Low Income",
D918&lt;=120000,"Medium Income",
D918&gt; 120000,"High Income"
)</f>
        <v>Medium Income</v>
      </c>
      <c r="F918" s="9">
        <v>3</v>
      </c>
      <c r="G918" s="9" t="s">
        <v>34</v>
      </c>
      <c r="H918" s="9" t="s">
        <v>23</v>
      </c>
      <c r="I918" s="9" t="s">
        <v>20</v>
      </c>
      <c r="J918" s="9">
        <v>0</v>
      </c>
      <c r="K918" s="9" t="s">
        <v>18</v>
      </c>
      <c r="L918" s="9" t="s">
        <v>35</v>
      </c>
      <c r="M918" s="9">
        <v>35</v>
      </c>
      <c r="N918" s="9" t="str" cm="1">
        <f t="array" ref="N918">_xlfn.IFS(
M918&lt;=12,"Children",
M918&lt;=19,"Teens",
M918&lt;=29,"Young Adults",
M918&lt;=39,"Adults",
M918&lt;=59,"Middle-Aged",
M918&gt;=60,"Seniors"
)</f>
        <v>Adults</v>
      </c>
      <c r="O918" s="9" t="s">
        <v>17</v>
      </c>
      <c r="P918" s="9">
        <f t="shared" si="28"/>
        <v>1</v>
      </c>
      <c r="Q918" s="9">
        <v>1</v>
      </c>
      <c r="R918" s="10">
        <f t="shared" si="29"/>
        <v>70000</v>
      </c>
    </row>
    <row r="919" spans="1:18" x14ac:dyDescent="0.3">
      <c r="A919" s="9">
        <v>22719</v>
      </c>
      <c r="B919" s="9" t="s">
        <v>40</v>
      </c>
      <c r="C919" s="9" t="s">
        <v>39</v>
      </c>
      <c r="D919" s="10">
        <v>110000</v>
      </c>
      <c r="E919" s="9" t="str" cm="1">
        <f t="array" ref="E919">_xlfn.IFS(D919&lt;= 60000, "Low Income",
D919&lt;=120000,"Medium Income",
D919&gt; 120000,"High Income"
)</f>
        <v>Medium Income</v>
      </c>
      <c r="F919" s="9">
        <v>3</v>
      </c>
      <c r="G919" s="9" t="s">
        <v>15</v>
      </c>
      <c r="H919" s="9" t="s">
        <v>31</v>
      </c>
      <c r="I919" s="9" t="s">
        <v>17</v>
      </c>
      <c r="J919" s="9">
        <v>4</v>
      </c>
      <c r="K919" s="9" t="s">
        <v>24</v>
      </c>
      <c r="L919" s="9" t="s">
        <v>35</v>
      </c>
      <c r="M919" s="9">
        <v>40</v>
      </c>
      <c r="N919" s="9" t="str" cm="1">
        <f t="array" ref="N919">_xlfn.IFS(
M919&lt;=12,"Children",
M919&lt;=19,"Teens",
M919&lt;=29,"Young Adults",
M919&lt;=39,"Adults",
M919&lt;=59,"Middle-Aged",
M919&gt;=60,"Seniors"
)</f>
        <v>Middle-Aged</v>
      </c>
      <c r="O919" s="9" t="s">
        <v>17</v>
      </c>
      <c r="P919" s="9">
        <f t="shared" si="28"/>
        <v>1</v>
      </c>
      <c r="Q919" s="9">
        <v>1</v>
      </c>
      <c r="R919" s="10">
        <f t="shared" si="29"/>
        <v>110000</v>
      </c>
    </row>
    <row r="920" spans="1:18" x14ac:dyDescent="0.3">
      <c r="A920" s="9">
        <v>22042</v>
      </c>
      <c r="B920" s="9" t="s">
        <v>37</v>
      </c>
      <c r="C920" s="9" t="s">
        <v>38</v>
      </c>
      <c r="D920" s="10">
        <v>70000</v>
      </c>
      <c r="E920" s="9" t="str" cm="1">
        <f t="array" ref="E920">_xlfn.IFS(D920&lt;= 60000, "Low Income",
D920&lt;=120000,"Medium Income",
D920&gt; 120000,"High Income"
)</f>
        <v>Medium Income</v>
      </c>
      <c r="F920" s="9">
        <v>0</v>
      </c>
      <c r="G920" s="9" t="s">
        <v>21</v>
      </c>
      <c r="H920" s="9" t="s">
        <v>16</v>
      </c>
      <c r="I920" s="9" t="s">
        <v>17</v>
      </c>
      <c r="J920" s="9">
        <v>2</v>
      </c>
      <c r="K920" s="9" t="s">
        <v>26</v>
      </c>
      <c r="L920" s="9" t="s">
        <v>35</v>
      </c>
      <c r="M920" s="9">
        <v>34</v>
      </c>
      <c r="N920" s="9" t="str" cm="1">
        <f t="array" ref="N920">_xlfn.IFS(
M920&lt;=12,"Children",
M920&lt;=19,"Teens",
M920&lt;=29,"Young Adults",
M920&lt;=39,"Adults",
M920&lt;=59,"Middle-Aged",
M920&gt;=60,"Seniors"
)</f>
        <v>Adults</v>
      </c>
      <c r="O920" s="9" t="s">
        <v>17</v>
      </c>
      <c r="P920" s="9">
        <f t="shared" si="28"/>
        <v>1</v>
      </c>
      <c r="Q920" s="9">
        <v>1</v>
      </c>
      <c r="R920" s="10">
        <f t="shared" si="29"/>
        <v>70000</v>
      </c>
    </row>
    <row r="921" spans="1:18" x14ac:dyDescent="0.3">
      <c r="A921" s="9">
        <v>21451</v>
      </c>
      <c r="B921" s="9" t="s">
        <v>37</v>
      </c>
      <c r="C921" s="9" t="s">
        <v>38</v>
      </c>
      <c r="D921" s="10">
        <v>40000</v>
      </c>
      <c r="E921" s="9" t="str" cm="1">
        <f t="array" ref="E921">_xlfn.IFS(D921&lt;= 60000, "Low Income",
D921&lt;=120000,"Medium Income",
D921&gt; 120000,"High Income"
)</f>
        <v>Low Income</v>
      </c>
      <c r="F921" s="9">
        <v>4</v>
      </c>
      <c r="G921" s="9" t="s">
        <v>30</v>
      </c>
      <c r="H921" s="9" t="s">
        <v>23</v>
      </c>
      <c r="I921" s="9" t="s">
        <v>17</v>
      </c>
      <c r="J921" s="9">
        <v>2</v>
      </c>
      <c r="K921" s="9" t="s">
        <v>41</v>
      </c>
      <c r="L921" s="9" t="s">
        <v>35</v>
      </c>
      <c r="M921" s="9">
        <v>61</v>
      </c>
      <c r="N921" s="9" t="str" cm="1">
        <f t="array" ref="N921">_xlfn.IFS(
M921&lt;=12,"Children",
M921&lt;=19,"Teens",
M921&lt;=29,"Young Adults",
M921&lt;=39,"Adults",
M921&lt;=59,"Middle-Aged",
M921&gt;=60,"Seniors"
)</f>
        <v>Seniors</v>
      </c>
      <c r="O921" s="9" t="s">
        <v>20</v>
      </c>
      <c r="P921" s="9">
        <f t="shared" si="28"/>
        <v>0</v>
      </c>
      <c r="Q921" s="9">
        <v>1</v>
      </c>
      <c r="R921" s="10">
        <f t="shared" si="29"/>
        <v>0</v>
      </c>
    </row>
    <row r="922" spans="1:18" x14ac:dyDescent="0.3">
      <c r="A922" s="9">
        <v>20754</v>
      </c>
      <c r="B922" s="9" t="s">
        <v>37</v>
      </c>
      <c r="C922" s="9" t="s">
        <v>39</v>
      </c>
      <c r="D922" s="10">
        <v>30000</v>
      </c>
      <c r="E922" s="9" t="str" cm="1">
        <f t="array" ref="E922">_xlfn.IFS(D922&lt;= 60000, "Low Income",
D922&lt;=120000,"Medium Income",
D922&gt; 120000,"High Income"
)</f>
        <v>Low Income</v>
      </c>
      <c r="F922" s="9">
        <v>2</v>
      </c>
      <c r="G922" s="9" t="s">
        <v>30</v>
      </c>
      <c r="H922" s="9" t="s">
        <v>16</v>
      </c>
      <c r="I922" s="9" t="s">
        <v>17</v>
      </c>
      <c r="J922" s="9">
        <v>2</v>
      </c>
      <c r="K922" s="9" t="s">
        <v>29</v>
      </c>
      <c r="L922" s="9" t="s">
        <v>35</v>
      </c>
      <c r="M922" s="9">
        <v>51</v>
      </c>
      <c r="N922" s="9" t="str" cm="1">
        <f t="array" ref="N922">_xlfn.IFS(
M922&lt;=12,"Children",
M922&lt;=19,"Teens",
M922&lt;=29,"Young Adults",
M922&lt;=39,"Adults",
M922&lt;=59,"Middle-Aged",
M922&gt;=60,"Seniors"
)</f>
        <v>Middle-Aged</v>
      </c>
      <c r="O922" s="9" t="s">
        <v>20</v>
      </c>
      <c r="P922" s="9">
        <f t="shared" si="28"/>
        <v>0</v>
      </c>
      <c r="Q922" s="9">
        <v>1</v>
      </c>
      <c r="R922" s="10">
        <f t="shared" si="29"/>
        <v>0</v>
      </c>
    </row>
    <row r="923" spans="1:18" x14ac:dyDescent="0.3">
      <c r="A923" s="9">
        <v>12153</v>
      </c>
      <c r="B923" s="9" t="s">
        <v>40</v>
      </c>
      <c r="C923" s="9" t="s">
        <v>38</v>
      </c>
      <c r="D923" s="10">
        <v>70000</v>
      </c>
      <c r="E923" s="9" t="str" cm="1">
        <f t="array" ref="E923">_xlfn.IFS(D923&lt;= 60000, "Low Income",
D923&lt;=120000,"Medium Income",
D923&gt; 120000,"High Income"
)</f>
        <v>Medium Income</v>
      </c>
      <c r="F923" s="9">
        <v>3</v>
      </c>
      <c r="G923" s="9" t="s">
        <v>21</v>
      </c>
      <c r="H923" s="9" t="s">
        <v>23</v>
      </c>
      <c r="I923" s="9" t="s">
        <v>17</v>
      </c>
      <c r="J923" s="9">
        <v>1</v>
      </c>
      <c r="K923" s="9" t="s">
        <v>26</v>
      </c>
      <c r="L923" s="9" t="s">
        <v>35</v>
      </c>
      <c r="M923" s="9">
        <v>49</v>
      </c>
      <c r="N923" s="9" t="str" cm="1">
        <f t="array" ref="N923">_xlfn.IFS(
M923&lt;=12,"Children",
M923&lt;=19,"Teens",
M923&lt;=29,"Young Adults",
M923&lt;=39,"Adults",
M923&lt;=59,"Middle-Aged",
M923&gt;=60,"Seniors"
)</f>
        <v>Middle-Aged</v>
      </c>
      <c r="O923" s="9" t="s">
        <v>17</v>
      </c>
      <c r="P923" s="9">
        <f t="shared" si="28"/>
        <v>1</v>
      </c>
      <c r="Q923" s="9">
        <v>1</v>
      </c>
      <c r="R923" s="10">
        <f t="shared" si="29"/>
        <v>70000</v>
      </c>
    </row>
    <row r="924" spans="1:18" x14ac:dyDescent="0.3">
      <c r="A924" s="9">
        <v>16895</v>
      </c>
      <c r="B924" s="9" t="s">
        <v>37</v>
      </c>
      <c r="C924" s="9" t="s">
        <v>38</v>
      </c>
      <c r="D924" s="10">
        <v>40000</v>
      </c>
      <c r="E924" s="9" t="str" cm="1">
        <f t="array" ref="E924">_xlfn.IFS(D924&lt;= 60000, "Low Income",
D924&lt;=120000,"Medium Income",
D924&gt; 120000,"High Income"
)</f>
        <v>Low Income</v>
      </c>
      <c r="F924" s="9">
        <v>3</v>
      </c>
      <c r="G924" s="9" t="s">
        <v>21</v>
      </c>
      <c r="H924" s="9" t="s">
        <v>23</v>
      </c>
      <c r="I924" s="9" t="s">
        <v>20</v>
      </c>
      <c r="J924" s="9">
        <v>2</v>
      </c>
      <c r="K924" s="9" t="s">
        <v>29</v>
      </c>
      <c r="L924" s="9" t="s">
        <v>35</v>
      </c>
      <c r="M924" s="9">
        <v>54</v>
      </c>
      <c r="N924" s="9" t="str" cm="1">
        <f t="array" ref="N924">_xlfn.IFS(
M924&lt;=12,"Children",
M924&lt;=19,"Teens",
M924&lt;=29,"Young Adults",
M924&lt;=39,"Adults",
M924&lt;=59,"Middle-Aged",
M924&gt;=60,"Seniors"
)</f>
        <v>Middle-Aged</v>
      </c>
      <c r="O924" s="9" t="s">
        <v>17</v>
      </c>
      <c r="P924" s="9">
        <f t="shared" si="28"/>
        <v>1</v>
      </c>
      <c r="Q924" s="9">
        <v>1</v>
      </c>
      <c r="R924" s="10">
        <f t="shared" si="29"/>
        <v>40000</v>
      </c>
    </row>
    <row r="925" spans="1:18" x14ac:dyDescent="0.3">
      <c r="A925" s="9">
        <v>26728</v>
      </c>
      <c r="B925" s="9" t="s">
        <v>40</v>
      </c>
      <c r="C925" s="9" t="s">
        <v>39</v>
      </c>
      <c r="D925" s="10">
        <v>70000</v>
      </c>
      <c r="E925" s="9" t="str" cm="1">
        <f t="array" ref="E925">_xlfn.IFS(D925&lt;= 60000, "Low Income",
D925&lt;=120000,"Medium Income",
D925&gt; 120000,"High Income"
)</f>
        <v>Medium Income</v>
      </c>
      <c r="F925" s="9">
        <v>3</v>
      </c>
      <c r="G925" s="9" t="s">
        <v>34</v>
      </c>
      <c r="H925" s="9" t="s">
        <v>31</v>
      </c>
      <c r="I925" s="9" t="s">
        <v>20</v>
      </c>
      <c r="J925" s="9">
        <v>2</v>
      </c>
      <c r="K925" s="9" t="s">
        <v>29</v>
      </c>
      <c r="L925" s="9" t="s">
        <v>35</v>
      </c>
      <c r="M925" s="9">
        <v>53</v>
      </c>
      <c r="N925" s="9" t="str" cm="1">
        <f t="array" ref="N925">_xlfn.IFS(
M925&lt;=12,"Children",
M925&lt;=19,"Teens",
M925&lt;=29,"Young Adults",
M925&lt;=39,"Adults",
M925&lt;=59,"Middle-Aged",
M925&gt;=60,"Seniors"
)</f>
        <v>Middle-Aged</v>
      </c>
      <c r="O925" s="9" t="s">
        <v>17</v>
      </c>
      <c r="P925" s="9">
        <f t="shared" si="28"/>
        <v>1</v>
      </c>
      <c r="Q925" s="9">
        <v>1</v>
      </c>
      <c r="R925" s="10">
        <f t="shared" si="29"/>
        <v>70000</v>
      </c>
    </row>
    <row r="926" spans="1:18" x14ac:dyDescent="0.3">
      <c r="A926" s="9">
        <v>11090</v>
      </c>
      <c r="B926" s="9" t="s">
        <v>40</v>
      </c>
      <c r="C926" s="9" t="s">
        <v>39</v>
      </c>
      <c r="D926" s="10">
        <v>90000</v>
      </c>
      <c r="E926" s="9" t="str" cm="1">
        <f t="array" ref="E926">_xlfn.IFS(D926&lt;= 60000, "Low Income",
D926&lt;=120000,"Medium Income",
D926&gt; 120000,"High Income"
)</f>
        <v>Medium Income</v>
      </c>
      <c r="F926" s="9">
        <v>2</v>
      </c>
      <c r="G926" s="9" t="s">
        <v>21</v>
      </c>
      <c r="H926" s="9" t="s">
        <v>23</v>
      </c>
      <c r="I926" s="9" t="s">
        <v>17</v>
      </c>
      <c r="J926" s="9">
        <v>1</v>
      </c>
      <c r="K926" s="9" t="s">
        <v>24</v>
      </c>
      <c r="L926" s="9" t="s">
        <v>35</v>
      </c>
      <c r="M926" s="9">
        <v>48</v>
      </c>
      <c r="N926" s="9" t="str" cm="1">
        <f t="array" ref="N926">_xlfn.IFS(
M926&lt;=12,"Children",
M926&lt;=19,"Teens",
M926&lt;=29,"Young Adults",
M926&lt;=39,"Adults",
M926&lt;=59,"Middle-Aged",
M926&gt;=60,"Seniors"
)</f>
        <v>Middle-Aged</v>
      </c>
      <c r="O926" s="9" t="s">
        <v>17</v>
      </c>
      <c r="P926" s="9">
        <f t="shared" si="28"/>
        <v>1</v>
      </c>
      <c r="Q926" s="9">
        <v>1</v>
      </c>
      <c r="R926" s="10">
        <f t="shared" si="29"/>
        <v>90000</v>
      </c>
    </row>
    <row r="927" spans="1:18" x14ac:dyDescent="0.3">
      <c r="A927" s="9">
        <v>15862</v>
      </c>
      <c r="B927" s="9" t="s">
        <v>40</v>
      </c>
      <c r="C927" s="9" t="s">
        <v>38</v>
      </c>
      <c r="D927" s="10">
        <v>50000</v>
      </c>
      <c r="E927" s="9" t="str" cm="1">
        <f t="array" ref="E927">_xlfn.IFS(D927&lt;= 60000, "Low Income",
D927&lt;=120000,"Medium Income",
D927&gt; 120000,"High Income"
)</f>
        <v>Low Income</v>
      </c>
      <c r="F927" s="9">
        <v>0</v>
      </c>
      <c r="G927" s="9" t="s">
        <v>34</v>
      </c>
      <c r="H927" s="9" t="s">
        <v>16</v>
      </c>
      <c r="I927" s="9" t="s">
        <v>17</v>
      </c>
      <c r="J927" s="9">
        <v>0</v>
      </c>
      <c r="K927" s="9" t="s">
        <v>29</v>
      </c>
      <c r="L927" s="9" t="s">
        <v>35</v>
      </c>
      <c r="M927" s="9">
        <v>33</v>
      </c>
      <c r="N927" s="9" t="str" cm="1">
        <f t="array" ref="N927">_xlfn.IFS(
M927&lt;=12,"Children",
M927&lt;=19,"Teens",
M927&lt;=29,"Young Adults",
M927&lt;=39,"Adults",
M927&lt;=59,"Middle-Aged",
M927&gt;=60,"Seniors"
)</f>
        <v>Adults</v>
      </c>
      <c r="O927" s="9" t="s">
        <v>17</v>
      </c>
      <c r="P927" s="9">
        <f t="shared" si="28"/>
        <v>1</v>
      </c>
      <c r="Q927" s="9">
        <v>1</v>
      </c>
      <c r="R927" s="10">
        <f t="shared" si="29"/>
        <v>50000</v>
      </c>
    </row>
    <row r="928" spans="1:18" x14ac:dyDescent="0.3">
      <c r="A928" s="9">
        <v>26495</v>
      </c>
      <c r="B928" s="9" t="s">
        <v>40</v>
      </c>
      <c r="C928" s="9" t="s">
        <v>38</v>
      </c>
      <c r="D928" s="10">
        <v>40000</v>
      </c>
      <c r="E928" s="9" t="str" cm="1">
        <f t="array" ref="E928">_xlfn.IFS(D928&lt;= 60000, "Low Income",
D928&lt;=120000,"Medium Income",
D928&gt; 120000,"High Income"
)</f>
        <v>Low Income</v>
      </c>
      <c r="F928" s="9">
        <v>2</v>
      </c>
      <c r="G928" s="9" t="s">
        <v>30</v>
      </c>
      <c r="H928" s="9" t="s">
        <v>23</v>
      </c>
      <c r="I928" s="9" t="s">
        <v>17</v>
      </c>
      <c r="J928" s="9">
        <v>2</v>
      </c>
      <c r="K928" s="9" t="s">
        <v>41</v>
      </c>
      <c r="L928" s="9" t="s">
        <v>35</v>
      </c>
      <c r="M928" s="9">
        <v>57</v>
      </c>
      <c r="N928" s="9" t="str" cm="1">
        <f t="array" ref="N928">_xlfn.IFS(
M928&lt;=12,"Children",
M928&lt;=19,"Teens",
M928&lt;=29,"Young Adults",
M928&lt;=39,"Adults",
M928&lt;=59,"Middle-Aged",
M928&gt;=60,"Seniors"
)</f>
        <v>Middle-Aged</v>
      </c>
      <c r="O928" s="9" t="s">
        <v>20</v>
      </c>
      <c r="P928" s="9">
        <f t="shared" si="28"/>
        <v>0</v>
      </c>
      <c r="Q928" s="9">
        <v>1</v>
      </c>
      <c r="R928" s="10">
        <f t="shared" si="29"/>
        <v>0</v>
      </c>
    </row>
    <row r="929" spans="1:18" x14ac:dyDescent="0.3">
      <c r="A929" s="9">
        <v>11823</v>
      </c>
      <c r="B929" s="9" t="s">
        <v>37</v>
      </c>
      <c r="C929" s="9" t="s">
        <v>38</v>
      </c>
      <c r="D929" s="10">
        <v>70000</v>
      </c>
      <c r="E929" s="9" t="str" cm="1">
        <f t="array" ref="E929">_xlfn.IFS(D929&lt;= 60000, "Low Income",
D929&lt;=120000,"Medium Income",
D929&gt; 120000,"High Income"
)</f>
        <v>Medium Income</v>
      </c>
      <c r="F929" s="9">
        <v>0</v>
      </c>
      <c r="G929" s="9" t="s">
        <v>34</v>
      </c>
      <c r="H929" s="9" t="s">
        <v>23</v>
      </c>
      <c r="I929" s="9" t="s">
        <v>17</v>
      </c>
      <c r="J929" s="9">
        <v>0</v>
      </c>
      <c r="K929" s="9" t="s">
        <v>24</v>
      </c>
      <c r="L929" s="9" t="s">
        <v>35</v>
      </c>
      <c r="M929" s="9">
        <v>39</v>
      </c>
      <c r="N929" s="9" t="str" cm="1">
        <f t="array" ref="N929">_xlfn.IFS(
M929&lt;=12,"Children",
M929&lt;=19,"Teens",
M929&lt;=29,"Young Adults",
M929&lt;=39,"Adults",
M929&lt;=59,"Middle-Aged",
M929&gt;=60,"Seniors"
)</f>
        <v>Adults</v>
      </c>
      <c r="O929" s="9" t="s">
        <v>20</v>
      </c>
      <c r="P929" s="9">
        <f t="shared" si="28"/>
        <v>0</v>
      </c>
      <c r="Q929" s="9">
        <v>1</v>
      </c>
      <c r="R929" s="10">
        <f t="shared" si="29"/>
        <v>0</v>
      </c>
    </row>
    <row r="930" spans="1:18" x14ac:dyDescent="0.3">
      <c r="A930" s="9">
        <v>23449</v>
      </c>
      <c r="B930" s="9" t="s">
        <v>37</v>
      </c>
      <c r="C930" s="9" t="s">
        <v>39</v>
      </c>
      <c r="D930" s="10">
        <v>60000</v>
      </c>
      <c r="E930" s="9" t="str" cm="1">
        <f t="array" ref="E930">_xlfn.IFS(D930&lt;= 60000, "Low Income",
D930&lt;=120000,"Medium Income",
D930&gt; 120000,"High Income"
)</f>
        <v>Low Income</v>
      </c>
      <c r="F930" s="9">
        <v>2</v>
      </c>
      <c r="G930" s="9" t="s">
        <v>30</v>
      </c>
      <c r="H930" s="9" t="s">
        <v>23</v>
      </c>
      <c r="I930" s="9" t="s">
        <v>17</v>
      </c>
      <c r="J930" s="9">
        <v>2</v>
      </c>
      <c r="K930" s="9" t="s">
        <v>26</v>
      </c>
      <c r="L930" s="9" t="s">
        <v>35</v>
      </c>
      <c r="M930" s="9">
        <v>48</v>
      </c>
      <c r="N930" s="9" t="str" cm="1">
        <f t="array" ref="N930">_xlfn.IFS(
M930&lt;=12,"Children",
M930&lt;=19,"Teens",
M930&lt;=29,"Young Adults",
M930&lt;=39,"Adults",
M930&lt;=59,"Middle-Aged",
M930&gt;=60,"Seniors"
)</f>
        <v>Middle-Aged</v>
      </c>
      <c r="O930" s="9" t="s">
        <v>20</v>
      </c>
      <c r="P930" s="9">
        <f t="shared" si="28"/>
        <v>0</v>
      </c>
      <c r="Q930" s="9">
        <v>1</v>
      </c>
      <c r="R930" s="10">
        <f t="shared" si="29"/>
        <v>0</v>
      </c>
    </row>
    <row r="931" spans="1:18" x14ac:dyDescent="0.3">
      <c r="A931" s="9">
        <v>23459</v>
      </c>
      <c r="B931" s="9" t="s">
        <v>37</v>
      </c>
      <c r="C931" s="9" t="s">
        <v>39</v>
      </c>
      <c r="D931" s="10">
        <v>60000</v>
      </c>
      <c r="E931" s="9" t="str" cm="1">
        <f t="array" ref="E931">_xlfn.IFS(D931&lt;= 60000, "Low Income",
D931&lt;=120000,"Medium Income",
D931&gt; 120000,"High Income"
)</f>
        <v>Low Income</v>
      </c>
      <c r="F931" s="9">
        <v>2</v>
      </c>
      <c r="G931" s="9" t="s">
        <v>30</v>
      </c>
      <c r="H931" s="9" t="s">
        <v>23</v>
      </c>
      <c r="I931" s="9" t="s">
        <v>17</v>
      </c>
      <c r="J931" s="9">
        <v>2</v>
      </c>
      <c r="K931" s="9" t="s">
        <v>26</v>
      </c>
      <c r="L931" s="9" t="s">
        <v>35</v>
      </c>
      <c r="M931" s="9">
        <v>50</v>
      </c>
      <c r="N931" s="9" t="str" cm="1">
        <f t="array" ref="N931">_xlfn.IFS(
M931&lt;=12,"Children",
M931&lt;=19,"Teens",
M931&lt;=29,"Young Adults",
M931&lt;=39,"Adults",
M931&lt;=59,"Middle-Aged",
M931&gt;=60,"Seniors"
)</f>
        <v>Middle-Aged</v>
      </c>
      <c r="O931" s="9" t="s">
        <v>20</v>
      </c>
      <c r="P931" s="9">
        <f t="shared" si="28"/>
        <v>0</v>
      </c>
      <c r="Q931" s="9">
        <v>1</v>
      </c>
      <c r="R931" s="10">
        <f t="shared" si="29"/>
        <v>0</v>
      </c>
    </row>
    <row r="932" spans="1:18" x14ac:dyDescent="0.3">
      <c r="A932" s="9">
        <v>19543</v>
      </c>
      <c r="B932" s="9" t="s">
        <v>37</v>
      </c>
      <c r="C932" s="9" t="s">
        <v>39</v>
      </c>
      <c r="D932" s="10">
        <v>70000</v>
      </c>
      <c r="E932" s="9" t="str" cm="1">
        <f t="array" ref="E932">_xlfn.IFS(D932&lt;= 60000, "Low Income",
D932&lt;=120000,"Medium Income",
D932&gt; 120000,"High Income"
)</f>
        <v>Medium Income</v>
      </c>
      <c r="F932" s="9">
        <v>5</v>
      </c>
      <c r="G932" s="9" t="s">
        <v>34</v>
      </c>
      <c r="H932" s="9" t="s">
        <v>23</v>
      </c>
      <c r="I932" s="9" t="s">
        <v>20</v>
      </c>
      <c r="J932" s="9">
        <v>3</v>
      </c>
      <c r="K932" s="9" t="s">
        <v>41</v>
      </c>
      <c r="L932" s="9" t="s">
        <v>35</v>
      </c>
      <c r="M932" s="9">
        <v>47</v>
      </c>
      <c r="N932" s="9" t="str" cm="1">
        <f t="array" ref="N932">_xlfn.IFS(
M932&lt;=12,"Children",
M932&lt;=19,"Teens",
M932&lt;=29,"Young Adults",
M932&lt;=39,"Adults",
M932&lt;=59,"Middle-Aged",
M932&gt;=60,"Seniors"
)</f>
        <v>Middle-Aged</v>
      </c>
      <c r="O932" s="9" t="s">
        <v>20</v>
      </c>
      <c r="P932" s="9">
        <f t="shared" si="28"/>
        <v>0</v>
      </c>
      <c r="Q932" s="9">
        <v>1</v>
      </c>
      <c r="R932" s="10">
        <f t="shared" si="29"/>
        <v>0</v>
      </c>
    </row>
    <row r="933" spans="1:18" x14ac:dyDescent="0.3">
      <c r="A933" s="9">
        <v>14914</v>
      </c>
      <c r="B933" s="9" t="s">
        <v>37</v>
      </c>
      <c r="C933" s="9" t="s">
        <v>38</v>
      </c>
      <c r="D933" s="10">
        <v>40000</v>
      </c>
      <c r="E933" s="9" t="str" cm="1">
        <f t="array" ref="E933">_xlfn.IFS(D933&lt;= 60000, "Low Income",
D933&lt;=120000,"Medium Income",
D933&gt; 120000,"High Income"
)</f>
        <v>Low Income</v>
      </c>
      <c r="F933" s="9">
        <v>1</v>
      </c>
      <c r="G933" s="9" t="s">
        <v>21</v>
      </c>
      <c r="H933" s="9" t="s">
        <v>22</v>
      </c>
      <c r="I933" s="9" t="s">
        <v>17</v>
      </c>
      <c r="J933" s="9">
        <v>1</v>
      </c>
      <c r="K933" s="9" t="s">
        <v>29</v>
      </c>
      <c r="L933" s="9" t="s">
        <v>35</v>
      </c>
      <c r="M933" s="9">
        <v>49</v>
      </c>
      <c r="N933" s="9" t="str" cm="1">
        <f t="array" ref="N933">_xlfn.IFS(
M933&lt;=12,"Children",
M933&lt;=19,"Teens",
M933&lt;=29,"Young Adults",
M933&lt;=39,"Adults",
M933&lt;=59,"Middle-Aged",
M933&gt;=60,"Seniors"
)</f>
        <v>Middle-Aged</v>
      </c>
      <c r="O933" s="9" t="s">
        <v>17</v>
      </c>
      <c r="P933" s="9">
        <f t="shared" si="28"/>
        <v>1</v>
      </c>
      <c r="Q933" s="9">
        <v>1</v>
      </c>
      <c r="R933" s="10">
        <f t="shared" si="29"/>
        <v>40000</v>
      </c>
    </row>
    <row r="934" spans="1:18" x14ac:dyDescent="0.3">
      <c r="A934" s="9">
        <v>12033</v>
      </c>
      <c r="B934" s="9" t="s">
        <v>40</v>
      </c>
      <c r="C934" s="9" t="s">
        <v>38</v>
      </c>
      <c r="D934" s="10">
        <v>40000</v>
      </c>
      <c r="E934" s="9" t="str" cm="1">
        <f t="array" ref="E934">_xlfn.IFS(D934&lt;= 60000, "Low Income",
D934&lt;=120000,"Medium Income",
D934&gt; 120000,"High Income"
)</f>
        <v>Low Income</v>
      </c>
      <c r="F934" s="9">
        <v>0</v>
      </c>
      <c r="G934" s="9" t="s">
        <v>30</v>
      </c>
      <c r="H934" s="9" t="s">
        <v>16</v>
      </c>
      <c r="I934" s="9" t="s">
        <v>20</v>
      </c>
      <c r="J934" s="9">
        <v>2</v>
      </c>
      <c r="K934" s="9" t="s">
        <v>18</v>
      </c>
      <c r="L934" s="9" t="s">
        <v>35</v>
      </c>
      <c r="M934" s="9">
        <v>27</v>
      </c>
      <c r="N934" s="9" t="str" cm="1">
        <f t="array" ref="N934">_xlfn.IFS(
M934&lt;=12,"Children",
M934&lt;=19,"Teens",
M934&lt;=29,"Young Adults",
M934&lt;=39,"Adults",
M934&lt;=59,"Middle-Aged",
M934&gt;=60,"Seniors"
)</f>
        <v>Young Adults</v>
      </c>
      <c r="O934" s="9" t="s">
        <v>17</v>
      </c>
      <c r="P934" s="9">
        <f t="shared" si="28"/>
        <v>1</v>
      </c>
      <c r="Q934" s="9">
        <v>1</v>
      </c>
      <c r="R934" s="10">
        <f t="shared" si="29"/>
        <v>40000</v>
      </c>
    </row>
    <row r="935" spans="1:18" x14ac:dyDescent="0.3">
      <c r="A935" s="9">
        <v>11941</v>
      </c>
      <c r="B935" s="9" t="s">
        <v>40</v>
      </c>
      <c r="C935" s="9" t="s">
        <v>39</v>
      </c>
      <c r="D935" s="10">
        <v>60000</v>
      </c>
      <c r="E935" s="9" t="str" cm="1">
        <f t="array" ref="E935">_xlfn.IFS(D935&lt;= 60000, "Low Income",
D935&lt;=120000,"Medium Income",
D935&gt; 120000,"High Income"
)</f>
        <v>Low Income</v>
      </c>
      <c r="F935" s="9">
        <v>0</v>
      </c>
      <c r="G935" s="9" t="s">
        <v>21</v>
      </c>
      <c r="H935" s="9" t="s">
        <v>16</v>
      </c>
      <c r="I935" s="9" t="s">
        <v>17</v>
      </c>
      <c r="J935" s="9">
        <v>0</v>
      </c>
      <c r="K935" s="9" t="s">
        <v>26</v>
      </c>
      <c r="L935" s="9" t="s">
        <v>35</v>
      </c>
      <c r="M935" s="9">
        <v>29</v>
      </c>
      <c r="N935" s="9" t="str" cm="1">
        <f t="array" ref="N935">_xlfn.IFS(
M935&lt;=12,"Children",
M935&lt;=19,"Teens",
M935&lt;=29,"Young Adults",
M935&lt;=39,"Adults",
M935&lt;=59,"Middle-Aged",
M935&gt;=60,"Seniors"
)</f>
        <v>Young Adults</v>
      </c>
      <c r="O935" s="9" t="s">
        <v>20</v>
      </c>
      <c r="P935" s="9">
        <f t="shared" si="28"/>
        <v>0</v>
      </c>
      <c r="Q935" s="9">
        <v>1</v>
      </c>
      <c r="R935" s="10">
        <f t="shared" si="29"/>
        <v>0</v>
      </c>
    </row>
    <row r="936" spans="1:18" x14ac:dyDescent="0.3">
      <c r="A936" s="9">
        <v>14389</v>
      </c>
      <c r="B936" s="9" t="s">
        <v>37</v>
      </c>
      <c r="C936" s="9" t="s">
        <v>39</v>
      </c>
      <c r="D936" s="10">
        <v>60000</v>
      </c>
      <c r="E936" s="9" t="str" cm="1">
        <f t="array" ref="E936">_xlfn.IFS(D936&lt;= 60000, "Low Income",
D936&lt;=120000,"Medium Income",
D936&gt; 120000,"High Income"
)</f>
        <v>Low Income</v>
      </c>
      <c r="F936" s="9">
        <v>2</v>
      </c>
      <c r="G936" s="9" t="s">
        <v>15</v>
      </c>
      <c r="H936" s="9" t="s">
        <v>31</v>
      </c>
      <c r="I936" s="9" t="s">
        <v>17</v>
      </c>
      <c r="J936" s="9">
        <v>0</v>
      </c>
      <c r="K936" s="9" t="s">
        <v>24</v>
      </c>
      <c r="L936" s="9" t="s">
        <v>35</v>
      </c>
      <c r="M936" s="9">
        <v>59</v>
      </c>
      <c r="N936" s="9" t="str" cm="1">
        <f t="array" ref="N936">_xlfn.IFS(
M936&lt;=12,"Children",
M936&lt;=19,"Teens",
M936&lt;=29,"Young Adults",
M936&lt;=39,"Adults",
M936&lt;=59,"Middle-Aged",
M936&gt;=60,"Seniors"
)</f>
        <v>Middle-Aged</v>
      </c>
      <c r="O936" s="9" t="s">
        <v>20</v>
      </c>
      <c r="P936" s="9">
        <f t="shared" si="28"/>
        <v>0</v>
      </c>
      <c r="Q936" s="9">
        <v>1</v>
      </c>
      <c r="R936" s="10">
        <f t="shared" si="29"/>
        <v>0</v>
      </c>
    </row>
    <row r="937" spans="1:18" x14ac:dyDescent="0.3">
      <c r="A937" s="9">
        <v>18050</v>
      </c>
      <c r="B937" s="9" t="s">
        <v>37</v>
      </c>
      <c r="C937" s="9" t="s">
        <v>38</v>
      </c>
      <c r="D937" s="10">
        <v>60000</v>
      </c>
      <c r="E937" s="9" t="str" cm="1">
        <f t="array" ref="E937">_xlfn.IFS(D937&lt;= 60000, "Low Income",
D937&lt;=120000,"Medium Income",
D937&gt; 120000,"High Income"
)</f>
        <v>Low Income</v>
      </c>
      <c r="F937" s="9">
        <v>1</v>
      </c>
      <c r="G937" s="9" t="s">
        <v>21</v>
      </c>
      <c r="H937" s="9" t="s">
        <v>16</v>
      </c>
      <c r="I937" s="9" t="s">
        <v>17</v>
      </c>
      <c r="J937" s="9">
        <v>1</v>
      </c>
      <c r="K937" s="9" t="s">
        <v>18</v>
      </c>
      <c r="L937" s="9" t="s">
        <v>35</v>
      </c>
      <c r="M937" s="9">
        <v>45</v>
      </c>
      <c r="N937" s="9" t="str" cm="1">
        <f t="array" ref="N937">_xlfn.IFS(
M937&lt;=12,"Children",
M937&lt;=19,"Teens",
M937&lt;=29,"Young Adults",
M937&lt;=39,"Adults",
M937&lt;=59,"Middle-Aged",
M937&gt;=60,"Seniors"
)</f>
        <v>Middle-Aged</v>
      </c>
      <c r="O937" s="9" t="s">
        <v>17</v>
      </c>
      <c r="P937" s="9">
        <f t="shared" si="28"/>
        <v>1</v>
      </c>
      <c r="Q937" s="9">
        <v>1</v>
      </c>
      <c r="R937" s="10">
        <f t="shared" si="29"/>
        <v>60000</v>
      </c>
    </row>
    <row r="938" spans="1:18" x14ac:dyDescent="0.3">
      <c r="A938" s="9">
        <v>19856</v>
      </c>
      <c r="B938" s="9" t="s">
        <v>37</v>
      </c>
      <c r="C938" s="9" t="s">
        <v>38</v>
      </c>
      <c r="D938" s="10">
        <v>60000</v>
      </c>
      <c r="E938" s="9" t="str" cm="1">
        <f t="array" ref="E938">_xlfn.IFS(D938&lt;= 60000, "Low Income",
D938&lt;=120000,"Medium Income",
D938&gt; 120000,"High Income"
)</f>
        <v>Low Income</v>
      </c>
      <c r="F938" s="9">
        <v>4</v>
      </c>
      <c r="G938" s="9" t="s">
        <v>15</v>
      </c>
      <c r="H938" s="9" t="s">
        <v>31</v>
      </c>
      <c r="I938" s="9" t="s">
        <v>17</v>
      </c>
      <c r="J938" s="9">
        <v>2</v>
      </c>
      <c r="K938" s="9" t="s">
        <v>24</v>
      </c>
      <c r="L938" s="9" t="s">
        <v>35</v>
      </c>
      <c r="M938" s="9">
        <v>60</v>
      </c>
      <c r="N938" s="9" t="str" cm="1">
        <f t="array" ref="N938">_xlfn.IFS(
M938&lt;=12,"Children",
M938&lt;=19,"Teens",
M938&lt;=29,"Young Adults",
M938&lt;=39,"Adults",
M938&lt;=59,"Middle-Aged",
M938&gt;=60,"Seniors"
)</f>
        <v>Seniors</v>
      </c>
      <c r="O938" s="9" t="s">
        <v>20</v>
      </c>
      <c r="P938" s="9">
        <f t="shared" si="28"/>
        <v>0</v>
      </c>
      <c r="Q938" s="9">
        <v>1</v>
      </c>
      <c r="R938" s="10">
        <f t="shared" si="29"/>
        <v>0</v>
      </c>
    </row>
    <row r="939" spans="1:18" x14ac:dyDescent="0.3">
      <c r="A939" s="9">
        <v>11663</v>
      </c>
      <c r="B939" s="9" t="s">
        <v>37</v>
      </c>
      <c r="C939" s="9" t="s">
        <v>39</v>
      </c>
      <c r="D939" s="10">
        <v>70000</v>
      </c>
      <c r="E939" s="9" t="str" cm="1">
        <f t="array" ref="E939">_xlfn.IFS(D939&lt;= 60000, "Low Income",
D939&lt;=120000,"Medium Income",
D939&gt; 120000,"High Income"
)</f>
        <v>Medium Income</v>
      </c>
      <c r="F939" s="9">
        <v>4</v>
      </c>
      <c r="G939" s="9" t="s">
        <v>34</v>
      </c>
      <c r="H939" s="9" t="s">
        <v>23</v>
      </c>
      <c r="I939" s="9" t="s">
        <v>17</v>
      </c>
      <c r="J939" s="9">
        <v>0</v>
      </c>
      <c r="K939" s="9" t="s">
        <v>18</v>
      </c>
      <c r="L939" s="9" t="s">
        <v>35</v>
      </c>
      <c r="M939" s="9">
        <v>36</v>
      </c>
      <c r="N939" s="9" t="str" cm="1">
        <f t="array" ref="N939">_xlfn.IFS(
M939&lt;=12,"Children",
M939&lt;=19,"Teens",
M939&lt;=29,"Young Adults",
M939&lt;=39,"Adults",
M939&lt;=59,"Middle-Aged",
M939&gt;=60,"Seniors"
)</f>
        <v>Adults</v>
      </c>
      <c r="O939" s="9" t="s">
        <v>17</v>
      </c>
      <c r="P939" s="9">
        <f t="shared" si="28"/>
        <v>1</v>
      </c>
      <c r="Q939" s="9">
        <v>1</v>
      </c>
      <c r="R939" s="10">
        <f t="shared" si="29"/>
        <v>70000</v>
      </c>
    </row>
    <row r="940" spans="1:18" x14ac:dyDescent="0.3">
      <c r="A940" s="9">
        <v>27740</v>
      </c>
      <c r="B940" s="9" t="s">
        <v>37</v>
      </c>
      <c r="C940" s="9" t="s">
        <v>38</v>
      </c>
      <c r="D940" s="10">
        <v>40000</v>
      </c>
      <c r="E940" s="9" t="str" cm="1">
        <f t="array" ref="E940">_xlfn.IFS(D940&lt;= 60000, "Low Income",
D940&lt;=120000,"Medium Income",
D940&gt; 120000,"High Income"
)</f>
        <v>Low Income</v>
      </c>
      <c r="F940" s="9">
        <v>0</v>
      </c>
      <c r="G940" s="9" t="s">
        <v>30</v>
      </c>
      <c r="H940" s="9" t="s">
        <v>16</v>
      </c>
      <c r="I940" s="9" t="s">
        <v>17</v>
      </c>
      <c r="J940" s="9">
        <v>2</v>
      </c>
      <c r="K940" s="9" t="s">
        <v>26</v>
      </c>
      <c r="L940" s="9" t="s">
        <v>35</v>
      </c>
      <c r="M940" s="9">
        <v>27</v>
      </c>
      <c r="N940" s="9" t="str" cm="1">
        <f t="array" ref="N940">_xlfn.IFS(
M940&lt;=12,"Children",
M940&lt;=19,"Teens",
M940&lt;=29,"Young Adults",
M940&lt;=39,"Adults",
M940&lt;=59,"Middle-Aged",
M940&gt;=60,"Seniors"
)</f>
        <v>Young Adults</v>
      </c>
      <c r="O940" s="9" t="s">
        <v>20</v>
      </c>
      <c r="P940" s="9">
        <f t="shared" si="28"/>
        <v>0</v>
      </c>
      <c r="Q940" s="9">
        <v>1</v>
      </c>
      <c r="R940" s="10">
        <f t="shared" si="29"/>
        <v>0</v>
      </c>
    </row>
    <row r="941" spans="1:18" x14ac:dyDescent="0.3">
      <c r="A941" s="9">
        <v>23455</v>
      </c>
      <c r="B941" s="9" t="s">
        <v>40</v>
      </c>
      <c r="C941" s="9" t="s">
        <v>39</v>
      </c>
      <c r="D941" s="10">
        <v>80000</v>
      </c>
      <c r="E941" s="9" t="str" cm="1">
        <f t="array" ref="E941">_xlfn.IFS(D941&lt;= 60000, "Low Income",
D941&lt;=120000,"Medium Income",
D941&gt; 120000,"High Income"
)</f>
        <v>Medium Income</v>
      </c>
      <c r="F941" s="9">
        <v>2</v>
      </c>
      <c r="G941" s="9" t="s">
        <v>32</v>
      </c>
      <c r="H941" s="9" t="s">
        <v>16</v>
      </c>
      <c r="I941" s="9" t="s">
        <v>20</v>
      </c>
      <c r="J941" s="9">
        <v>2</v>
      </c>
      <c r="K941" s="9" t="s">
        <v>29</v>
      </c>
      <c r="L941" s="9" t="s">
        <v>35</v>
      </c>
      <c r="M941" s="9">
        <v>50</v>
      </c>
      <c r="N941" s="9" t="str" cm="1">
        <f t="array" ref="N941">_xlfn.IFS(
M941&lt;=12,"Children",
M941&lt;=19,"Teens",
M941&lt;=29,"Young Adults",
M941&lt;=39,"Adults",
M941&lt;=59,"Middle-Aged",
M941&gt;=60,"Seniors"
)</f>
        <v>Middle-Aged</v>
      </c>
      <c r="O941" s="9" t="s">
        <v>20</v>
      </c>
      <c r="P941" s="9">
        <f t="shared" si="28"/>
        <v>0</v>
      </c>
      <c r="Q941" s="9">
        <v>1</v>
      </c>
      <c r="R941" s="10">
        <f t="shared" si="29"/>
        <v>0</v>
      </c>
    </row>
    <row r="942" spans="1:18" x14ac:dyDescent="0.3">
      <c r="A942" s="9">
        <v>15292</v>
      </c>
      <c r="B942" s="9" t="s">
        <v>40</v>
      </c>
      <c r="C942" s="9" t="s">
        <v>38</v>
      </c>
      <c r="D942" s="10">
        <v>60000</v>
      </c>
      <c r="E942" s="9" t="str" cm="1">
        <f t="array" ref="E942">_xlfn.IFS(D942&lt;= 60000, "Low Income",
D942&lt;=120000,"Medium Income",
D942&gt; 120000,"High Income"
)</f>
        <v>Low Income</v>
      </c>
      <c r="F942" s="9">
        <v>1</v>
      </c>
      <c r="G942" s="9" t="s">
        <v>34</v>
      </c>
      <c r="H942" s="9" t="s">
        <v>16</v>
      </c>
      <c r="I942" s="9" t="s">
        <v>17</v>
      </c>
      <c r="J942" s="9">
        <v>0</v>
      </c>
      <c r="K942" s="9" t="s">
        <v>29</v>
      </c>
      <c r="L942" s="9" t="s">
        <v>35</v>
      </c>
      <c r="M942" s="9">
        <v>35</v>
      </c>
      <c r="N942" s="9" t="str" cm="1">
        <f t="array" ref="N942">_xlfn.IFS(
M942&lt;=12,"Children",
M942&lt;=19,"Teens",
M942&lt;=29,"Young Adults",
M942&lt;=39,"Adults",
M942&lt;=59,"Middle-Aged",
M942&gt;=60,"Seniors"
)</f>
        <v>Adults</v>
      </c>
      <c r="O942" s="9" t="s">
        <v>20</v>
      </c>
      <c r="P942" s="9">
        <f t="shared" si="28"/>
        <v>0</v>
      </c>
      <c r="Q942" s="9">
        <v>1</v>
      </c>
      <c r="R942" s="10">
        <f t="shared" si="29"/>
        <v>0</v>
      </c>
    </row>
    <row r="943" spans="1:18" x14ac:dyDescent="0.3">
      <c r="A943" s="9">
        <v>21587</v>
      </c>
      <c r="B943" s="9" t="s">
        <v>37</v>
      </c>
      <c r="C943" s="9" t="s">
        <v>38</v>
      </c>
      <c r="D943" s="10">
        <v>60000</v>
      </c>
      <c r="E943" s="9" t="str" cm="1">
        <f t="array" ref="E943">_xlfn.IFS(D943&lt;= 60000, "Low Income",
D943&lt;=120000,"Medium Income",
D943&gt; 120000,"High Income"
)</f>
        <v>Low Income</v>
      </c>
      <c r="F943" s="9">
        <v>1</v>
      </c>
      <c r="G943" s="9" t="s">
        <v>34</v>
      </c>
      <c r="H943" s="9" t="s">
        <v>16</v>
      </c>
      <c r="I943" s="9" t="s">
        <v>17</v>
      </c>
      <c r="J943" s="9">
        <v>0</v>
      </c>
      <c r="K943" s="9" t="s">
        <v>24</v>
      </c>
      <c r="L943" s="9" t="s">
        <v>35</v>
      </c>
      <c r="M943" s="9">
        <v>34</v>
      </c>
      <c r="N943" s="9" t="str" cm="1">
        <f t="array" ref="N943">_xlfn.IFS(
M943&lt;=12,"Children",
M943&lt;=19,"Teens",
M943&lt;=29,"Young Adults",
M943&lt;=39,"Adults",
M943&lt;=59,"Middle-Aged",
M943&gt;=60,"Seniors"
)</f>
        <v>Adults</v>
      </c>
      <c r="O943" s="9" t="s">
        <v>17</v>
      </c>
      <c r="P943" s="9">
        <f t="shared" si="28"/>
        <v>1</v>
      </c>
      <c r="Q943" s="9">
        <v>1</v>
      </c>
      <c r="R943" s="10">
        <f t="shared" si="29"/>
        <v>60000</v>
      </c>
    </row>
    <row r="944" spans="1:18" x14ac:dyDescent="0.3">
      <c r="A944" s="9">
        <v>23513</v>
      </c>
      <c r="B944" s="9" t="s">
        <v>37</v>
      </c>
      <c r="C944" s="9" t="s">
        <v>38</v>
      </c>
      <c r="D944" s="10">
        <v>40000</v>
      </c>
      <c r="E944" s="9" t="str" cm="1">
        <f t="array" ref="E944">_xlfn.IFS(D944&lt;= 60000, "Low Income",
D944&lt;=120000,"Medium Income",
D944&gt; 120000,"High Income"
)</f>
        <v>Low Income</v>
      </c>
      <c r="F944" s="9">
        <v>3</v>
      </c>
      <c r="G944" s="9" t="s">
        <v>21</v>
      </c>
      <c r="H944" s="9" t="s">
        <v>23</v>
      </c>
      <c r="I944" s="9" t="s">
        <v>17</v>
      </c>
      <c r="J944" s="9">
        <v>2</v>
      </c>
      <c r="K944" s="9" t="s">
        <v>26</v>
      </c>
      <c r="L944" s="9" t="s">
        <v>35</v>
      </c>
      <c r="M944" s="9">
        <v>54</v>
      </c>
      <c r="N944" s="9" t="str" cm="1">
        <f t="array" ref="N944">_xlfn.IFS(
M944&lt;=12,"Children",
M944&lt;=19,"Teens",
M944&lt;=29,"Young Adults",
M944&lt;=39,"Adults",
M944&lt;=59,"Middle-Aged",
M944&gt;=60,"Seniors"
)</f>
        <v>Middle-Aged</v>
      </c>
      <c r="O944" s="9" t="s">
        <v>20</v>
      </c>
      <c r="P944" s="9">
        <f t="shared" si="28"/>
        <v>0</v>
      </c>
      <c r="Q944" s="9">
        <v>1</v>
      </c>
      <c r="R944" s="10">
        <f t="shared" si="29"/>
        <v>0</v>
      </c>
    </row>
    <row r="945" spans="1:18" x14ac:dyDescent="0.3">
      <c r="A945" s="9">
        <v>24322</v>
      </c>
      <c r="B945" s="9" t="s">
        <v>37</v>
      </c>
      <c r="C945" s="9" t="s">
        <v>38</v>
      </c>
      <c r="D945" s="10">
        <v>60000</v>
      </c>
      <c r="E945" s="9" t="str" cm="1">
        <f t="array" ref="E945">_xlfn.IFS(D945&lt;= 60000, "Low Income",
D945&lt;=120000,"Medium Income",
D945&gt; 120000,"High Income"
)</f>
        <v>Low Income</v>
      </c>
      <c r="F945" s="9">
        <v>4</v>
      </c>
      <c r="G945" s="9" t="s">
        <v>15</v>
      </c>
      <c r="H945" s="9" t="s">
        <v>16</v>
      </c>
      <c r="I945" s="9" t="s">
        <v>20</v>
      </c>
      <c r="J945" s="9">
        <v>2</v>
      </c>
      <c r="K945" s="9" t="s">
        <v>18</v>
      </c>
      <c r="L945" s="9" t="s">
        <v>35</v>
      </c>
      <c r="M945" s="9">
        <v>42</v>
      </c>
      <c r="N945" s="9" t="str" cm="1">
        <f t="array" ref="N945">_xlfn.IFS(
M945&lt;=12,"Children",
M945&lt;=19,"Teens",
M945&lt;=29,"Young Adults",
M945&lt;=39,"Adults",
M945&lt;=59,"Middle-Aged",
M945&gt;=60,"Seniors"
)</f>
        <v>Middle-Aged</v>
      </c>
      <c r="O945" s="9" t="s">
        <v>20</v>
      </c>
      <c r="P945" s="9">
        <f t="shared" si="28"/>
        <v>0</v>
      </c>
      <c r="Q945" s="9">
        <v>1</v>
      </c>
      <c r="R945" s="10">
        <f t="shared" si="29"/>
        <v>0</v>
      </c>
    </row>
    <row r="946" spans="1:18" x14ac:dyDescent="0.3">
      <c r="A946" s="9">
        <v>26298</v>
      </c>
      <c r="B946" s="9" t="s">
        <v>37</v>
      </c>
      <c r="C946" s="9" t="s">
        <v>38</v>
      </c>
      <c r="D946" s="10">
        <v>50000</v>
      </c>
      <c r="E946" s="9" t="str" cm="1">
        <f t="array" ref="E946">_xlfn.IFS(D946&lt;= 60000, "Low Income",
D946&lt;=120000,"Medium Income",
D946&gt; 120000,"High Income"
)</f>
        <v>Low Income</v>
      </c>
      <c r="F946" s="9">
        <v>1</v>
      </c>
      <c r="G946" s="9" t="s">
        <v>15</v>
      </c>
      <c r="H946" s="9" t="s">
        <v>16</v>
      </c>
      <c r="I946" s="9" t="s">
        <v>17</v>
      </c>
      <c r="J946" s="9">
        <v>0</v>
      </c>
      <c r="K946" s="9" t="s">
        <v>24</v>
      </c>
      <c r="L946" s="9" t="s">
        <v>35</v>
      </c>
      <c r="M946" s="9">
        <v>34</v>
      </c>
      <c r="N946" s="9" t="str" cm="1">
        <f t="array" ref="N946">_xlfn.IFS(
M946&lt;=12,"Children",
M946&lt;=19,"Teens",
M946&lt;=29,"Young Adults",
M946&lt;=39,"Adults",
M946&lt;=59,"Middle-Aged",
M946&gt;=60,"Seniors"
)</f>
        <v>Adults</v>
      </c>
      <c r="O946" s="9" t="s">
        <v>17</v>
      </c>
      <c r="P946" s="9">
        <f t="shared" si="28"/>
        <v>1</v>
      </c>
      <c r="Q946" s="9">
        <v>1</v>
      </c>
      <c r="R946" s="10">
        <f t="shared" si="29"/>
        <v>50000</v>
      </c>
    </row>
    <row r="947" spans="1:18" x14ac:dyDescent="0.3">
      <c r="A947" s="9">
        <v>25419</v>
      </c>
      <c r="B947" s="9" t="s">
        <v>40</v>
      </c>
      <c r="C947" s="9" t="s">
        <v>39</v>
      </c>
      <c r="D947" s="10">
        <v>50000</v>
      </c>
      <c r="E947" s="9" t="str" cm="1">
        <f t="array" ref="E947">_xlfn.IFS(D947&lt;= 60000, "Low Income",
D947&lt;=120000,"Medium Income",
D947&gt; 120000,"High Income"
)</f>
        <v>Low Income</v>
      </c>
      <c r="F947" s="9">
        <v>2</v>
      </c>
      <c r="G947" s="9" t="s">
        <v>15</v>
      </c>
      <c r="H947" s="9" t="s">
        <v>16</v>
      </c>
      <c r="I947" s="9" t="s">
        <v>20</v>
      </c>
      <c r="J947" s="9">
        <v>1</v>
      </c>
      <c r="K947" s="9" t="s">
        <v>18</v>
      </c>
      <c r="L947" s="9" t="s">
        <v>35</v>
      </c>
      <c r="M947" s="9">
        <v>38</v>
      </c>
      <c r="N947" s="9" t="str" cm="1">
        <f t="array" ref="N947">_xlfn.IFS(
M947&lt;=12,"Children",
M947&lt;=19,"Teens",
M947&lt;=29,"Young Adults",
M947&lt;=39,"Adults",
M947&lt;=59,"Middle-Aged",
M947&gt;=60,"Seniors"
)</f>
        <v>Adults</v>
      </c>
      <c r="O947" s="9" t="s">
        <v>17</v>
      </c>
      <c r="P947" s="9">
        <f t="shared" si="28"/>
        <v>1</v>
      </c>
      <c r="Q947" s="9">
        <v>1</v>
      </c>
      <c r="R947" s="10">
        <f t="shared" si="29"/>
        <v>50000</v>
      </c>
    </row>
    <row r="948" spans="1:18" x14ac:dyDescent="0.3">
      <c r="A948" s="9">
        <v>13343</v>
      </c>
      <c r="B948" s="9" t="s">
        <v>37</v>
      </c>
      <c r="C948" s="9" t="s">
        <v>38</v>
      </c>
      <c r="D948" s="10">
        <v>90000</v>
      </c>
      <c r="E948" s="9" t="str" cm="1">
        <f t="array" ref="E948">_xlfn.IFS(D948&lt;= 60000, "Low Income",
D948&lt;=120000,"Medium Income",
D948&gt; 120000,"High Income"
)</f>
        <v>Medium Income</v>
      </c>
      <c r="F948" s="9">
        <v>5</v>
      </c>
      <c r="G948" s="9" t="s">
        <v>15</v>
      </c>
      <c r="H948" s="9" t="s">
        <v>31</v>
      </c>
      <c r="I948" s="9" t="s">
        <v>17</v>
      </c>
      <c r="J948" s="9">
        <v>2</v>
      </c>
      <c r="K948" s="9" t="s">
        <v>29</v>
      </c>
      <c r="L948" s="9" t="s">
        <v>35</v>
      </c>
      <c r="M948" s="9">
        <v>63</v>
      </c>
      <c r="N948" s="9" t="str" cm="1">
        <f t="array" ref="N948">_xlfn.IFS(
M948&lt;=12,"Children",
M948&lt;=19,"Teens",
M948&lt;=29,"Young Adults",
M948&lt;=39,"Adults",
M948&lt;=59,"Middle-Aged",
M948&gt;=60,"Seniors"
)</f>
        <v>Seniors</v>
      </c>
      <c r="O948" s="9" t="s">
        <v>17</v>
      </c>
      <c r="P948" s="9">
        <f t="shared" si="28"/>
        <v>1</v>
      </c>
      <c r="Q948" s="9">
        <v>1</v>
      </c>
      <c r="R948" s="10">
        <f t="shared" si="29"/>
        <v>90000</v>
      </c>
    </row>
    <row r="949" spans="1:18" x14ac:dyDescent="0.3">
      <c r="A949" s="9">
        <v>11303</v>
      </c>
      <c r="B949" s="9" t="s">
        <v>40</v>
      </c>
      <c r="C949" s="9" t="s">
        <v>38</v>
      </c>
      <c r="D949" s="10">
        <v>90000</v>
      </c>
      <c r="E949" s="9" t="str" cm="1">
        <f t="array" ref="E949">_xlfn.IFS(D949&lt;= 60000, "Low Income",
D949&lt;=120000,"Medium Income",
D949&gt; 120000,"High Income"
)</f>
        <v>Medium Income</v>
      </c>
      <c r="F949" s="9">
        <v>4</v>
      </c>
      <c r="G949" s="9" t="s">
        <v>30</v>
      </c>
      <c r="H949" s="9" t="s">
        <v>23</v>
      </c>
      <c r="I949" s="9" t="s">
        <v>20</v>
      </c>
      <c r="J949" s="9">
        <v>3</v>
      </c>
      <c r="K949" s="9" t="s">
        <v>29</v>
      </c>
      <c r="L949" s="9" t="s">
        <v>35</v>
      </c>
      <c r="M949" s="9">
        <v>45</v>
      </c>
      <c r="N949" s="9" t="str" cm="1">
        <f t="array" ref="N949">_xlfn.IFS(
M949&lt;=12,"Children",
M949&lt;=19,"Teens",
M949&lt;=29,"Young Adults",
M949&lt;=39,"Adults",
M949&lt;=59,"Middle-Aged",
M949&gt;=60,"Seniors"
)</f>
        <v>Middle-Aged</v>
      </c>
      <c r="O949" s="9" t="s">
        <v>17</v>
      </c>
      <c r="P949" s="9">
        <f t="shared" si="28"/>
        <v>1</v>
      </c>
      <c r="Q949" s="9">
        <v>1</v>
      </c>
      <c r="R949" s="10">
        <f t="shared" si="29"/>
        <v>90000</v>
      </c>
    </row>
    <row r="950" spans="1:18" x14ac:dyDescent="0.3">
      <c r="A950" s="9">
        <v>21693</v>
      </c>
      <c r="B950" s="9" t="s">
        <v>40</v>
      </c>
      <c r="C950" s="9" t="s">
        <v>38</v>
      </c>
      <c r="D950" s="10">
        <v>60000</v>
      </c>
      <c r="E950" s="9" t="str" cm="1">
        <f t="array" ref="E950">_xlfn.IFS(D950&lt;= 60000, "Low Income",
D950&lt;=120000,"Medium Income",
D950&gt; 120000,"High Income"
)</f>
        <v>Low Income</v>
      </c>
      <c r="F950" s="9">
        <v>0</v>
      </c>
      <c r="G950" s="9" t="s">
        <v>34</v>
      </c>
      <c r="H950" s="9" t="s">
        <v>16</v>
      </c>
      <c r="I950" s="9" t="s">
        <v>20</v>
      </c>
      <c r="J950" s="9">
        <v>0</v>
      </c>
      <c r="K950" s="9" t="s">
        <v>18</v>
      </c>
      <c r="L950" s="9" t="s">
        <v>35</v>
      </c>
      <c r="M950" s="9">
        <v>40</v>
      </c>
      <c r="N950" s="9" t="str" cm="1">
        <f t="array" ref="N950">_xlfn.IFS(
M950&lt;=12,"Children",
M950&lt;=19,"Teens",
M950&lt;=29,"Young Adults",
M950&lt;=39,"Adults",
M950&lt;=59,"Middle-Aged",
M950&gt;=60,"Seniors"
)</f>
        <v>Middle-Aged</v>
      </c>
      <c r="O950" s="9" t="s">
        <v>20</v>
      </c>
      <c r="P950" s="9">
        <f t="shared" si="28"/>
        <v>0</v>
      </c>
      <c r="Q950" s="9">
        <v>1</v>
      </c>
      <c r="R950" s="10">
        <f t="shared" si="29"/>
        <v>0</v>
      </c>
    </row>
    <row r="951" spans="1:18" x14ac:dyDescent="0.3">
      <c r="A951" s="9">
        <v>28056</v>
      </c>
      <c r="B951" s="9" t="s">
        <v>37</v>
      </c>
      <c r="C951" s="9" t="s">
        <v>39</v>
      </c>
      <c r="D951" s="10">
        <v>70000</v>
      </c>
      <c r="E951" s="9" t="str" cm="1">
        <f t="array" ref="E951">_xlfn.IFS(D951&lt;= 60000, "Low Income",
D951&lt;=120000,"Medium Income",
D951&gt; 120000,"High Income"
)</f>
        <v>Medium Income</v>
      </c>
      <c r="F951" s="9">
        <v>2</v>
      </c>
      <c r="G951" s="9" t="s">
        <v>32</v>
      </c>
      <c r="H951" s="9" t="s">
        <v>16</v>
      </c>
      <c r="I951" s="9" t="s">
        <v>17</v>
      </c>
      <c r="J951" s="9">
        <v>2</v>
      </c>
      <c r="K951" s="9" t="s">
        <v>41</v>
      </c>
      <c r="L951" s="9" t="s">
        <v>35</v>
      </c>
      <c r="M951" s="9">
        <v>53</v>
      </c>
      <c r="N951" s="9" t="str" cm="1">
        <f t="array" ref="N951">_xlfn.IFS(
M951&lt;=12,"Children",
M951&lt;=19,"Teens",
M951&lt;=29,"Young Adults",
M951&lt;=39,"Adults",
M951&lt;=59,"Middle-Aged",
M951&gt;=60,"Seniors"
)</f>
        <v>Middle-Aged</v>
      </c>
      <c r="O951" s="9" t="s">
        <v>20</v>
      </c>
      <c r="P951" s="9">
        <f t="shared" si="28"/>
        <v>0</v>
      </c>
      <c r="Q951" s="9">
        <v>1</v>
      </c>
      <c r="R951" s="10">
        <f t="shared" si="29"/>
        <v>0</v>
      </c>
    </row>
    <row r="952" spans="1:18" x14ac:dyDescent="0.3">
      <c r="A952" s="9">
        <v>11788</v>
      </c>
      <c r="B952" s="9" t="s">
        <v>40</v>
      </c>
      <c r="C952" s="9" t="s">
        <v>38</v>
      </c>
      <c r="D952" s="10">
        <v>70000</v>
      </c>
      <c r="E952" s="9" t="str" cm="1">
        <f t="array" ref="E952">_xlfn.IFS(D952&lt;= 60000, "Low Income",
D952&lt;=120000,"Medium Income",
D952&gt; 120000,"High Income"
)</f>
        <v>Medium Income</v>
      </c>
      <c r="F952" s="9">
        <v>1</v>
      </c>
      <c r="G952" s="9" t="s">
        <v>34</v>
      </c>
      <c r="H952" s="9" t="s">
        <v>23</v>
      </c>
      <c r="I952" s="9" t="s">
        <v>17</v>
      </c>
      <c r="J952" s="9">
        <v>0</v>
      </c>
      <c r="K952" s="9" t="s">
        <v>24</v>
      </c>
      <c r="L952" s="9" t="s">
        <v>35</v>
      </c>
      <c r="M952" s="9">
        <v>34</v>
      </c>
      <c r="N952" s="9" t="str" cm="1">
        <f t="array" ref="N952">_xlfn.IFS(
M952&lt;=12,"Children",
M952&lt;=19,"Teens",
M952&lt;=29,"Young Adults",
M952&lt;=39,"Adults",
M952&lt;=59,"Middle-Aged",
M952&gt;=60,"Seniors"
)</f>
        <v>Adults</v>
      </c>
      <c r="O952" s="9" t="s">
        <v>20</v>
      </c>
      <c r="P952" s="9">
        <f t="shared" si="28"/>
        <v>0</v>
      </c>
      <c r="Q952" s="9">
        <v>1</v>
      </c>
      <c r="R952" s="10">
        <f t="shared" si="29"/>
        <v>0</v>
      </c>
    </row>
    <row r="953" spans="1:18" x14ac:dyDescent="0.3">
      <c r="A953" s="9">
        <v>22296</v>
      </c>
      <c r="B953" s="9" t="s">
        <v>37</v>
      </c>
      <c r="C953" s="9" t="s">
        <v>39</v>
      </c>
      <c r="D953" s="10">
        <v>70000</v>
      </c>
      <c r="E953" s="9" t="str" cm="1">
        <f t="array" ref="E953">_xlfn.IFS(D953&lt;= 60000, "Low Income",
D953&lt;=120000,"Medium Income",
D953&gt; 120000,"High Income"
)</f>
        <v>Medium Income</v>
      </c>
      <c r="F953" s="9">
        <v>0</v>
      </c>
      <c r="G953" s="9" t="s">
        <v>15</v>
      </c>
      <c r="H953" s="9" t="s">
        <v>23</v>
      </c>
      <c r="I953" s="9" t="s">
        <v>20</v>
      </c>
      <c r="J953" s="9">
        <v>1</v>
      </c>
      <c r="K953" s="9" t="s">
        <v>18</v>
      </c>
      <c r="L953" s="9" t="s">
        <v>35</v>
      </c>
      <c r="M953" s="9">
        <v>38</v>
      </c>
      <c r="N953" s="9" t="str" cm="1">
        <f t="array" ref="N953">_xlfn.IFS(
M953&lt;=12,"Children",
M953&lt;=19,"Teens",
M953&lt;=29,"Young Adults",
M953&lt;=39,"Adults",
M953&lt;=59,"Middle-Aged",
M953&gt;=60,"Seniors"
)</f>
        <v>Adults</v>
      </c>
      <c r="O953" s="9" t="s">
        <v>20</v>
      </c>
      <c r="P953" s="9">
        <f t="shared" si="28"/>
        <v>0</v>
      </c>
      <c r="Q953" s="9">
        <v>1</v>
      </c>
      <c r="R953" s="10">
        <f t="shared" si="29"/>
        <v>0</v>
      </c>
    </row>
    <row r="954" spans="1:18" x14ac:dyDescent="0.3">
      <c r="A954" s="9">
        <v>15319</v>
      </c>
      <c r="B954" s="9" t="s">
        <v>37</v>
      </c>
      <c r="C954" s="9" t="s">
        <v>38</v>
      </c>
      <c r="D954" s="10">
        <v>70000</v>
      </c>
      <c r="E954" s="9" t="str" cm="1">
        <f t="array" ref="E954">_xlfn.IFS(D954&lt;= 60000, "Low Income",
D954&lt;=120000,"Medium Income",
D954&gt; 120000,"High Income"
)</f>
        <v>Medium Income</v>
      </c>
      <c r="F954" s="9">
        <v>4</v>
      </c>
      <c r="G954" s="9" t="s">
        <v>15</v>
      </c>
      <c r="H954" s="9" t="s">
        <v>31</v>
      </c>
      <c r="I954" s="9" t="s">
        <v>20</v>
      </c>
      <c r="J954" s="9">
        <v>1</v>
      </c>
      <c r="K954" s="9" t="s">
        <v>29</v>
      </c>
      <c r="L954" s="9" t="s">
        <v>35</v>
      </c>
      <c r="M954" s="9">
        <v>59</v>
      </c>
      <c r="N954" s="9" t="str" cm="1">
        <f t="array" ref="N954">_xlfn.IFS(
M954&lt;=12,"Children",
M954&lt;=19,"Teens",
M954&lt;=29,"Young Adults",
M954&lt;=39,"Adults",
M954&lt;=59,"Middle-Aged",
M954&gt;=60,"Seniors"
)</f>
        <v>Middle-Aged</v>
      </c>
      <c r="O954" s="9" t="s">
        <v>20</v>
      </c>
      <c r="P954" s="9">
        <f t="shared" si="28"/>
        <v>0</v>
      </c>
      <c r="Q954" s="9">
        <v>1</v>
      </c>
      <c r="R954" s="10">
        <f t="shared" si="29"/>
        <v>0</v>
      </c>
    </row>
    <row r="955" spans="1:18" x14ac:dyDescent="0.3">
      <c r="A955" s="9">
        <v>17654</v>
      </c>
      <c r="B955" s="9" t="s">
        <v>40</v>
      </c>
      <c r="C955" s="9" t="s">
        <v>38</v>
      </c>
      <c r="D955" s="10">
        <v>40000</v>
      </c>
      <c r="E955" s="9" t="str" cm="1">
        <f t="array" ref="E955">_xlfn.IFS(D955&lt;= 60000, "Low Income",
D955&lt;=120000,"Medium Income",
D955&gt; 120000,"High Income"
)</f>
        <v>Low Income</v>
      </c>
      <c r="F955" s="9">
        <v>3</v>
      </c>
      <c r="G955" s="9" t="s">
        <v>21</v>
      </c>
      <c r="H955" s="9" t="s">
        <v>22</v>
      </c>
      <c r="I955" s="9" t="s">
        <v>17</v>
      </c>
      <c r="J955" s="9">
        <v>1</v>
      </c>
      <c r="K955" s="9" t="s">
        <v>29</v>
      </c>
      <c r="L955" s="9" t="s">
        <v>35</v>
      </c>
      <c r="M955" s="9">
        <v>30</v>
      </c>
      <c r="N955" s="9" t="str" cm="1">
        <f t="array" ref="N955">_xlfn.IFS(
M955&lt;=12,"Children",
M955&lt;=19,"Teens",
M955&lt;=29,"Young Adults",
M955&lt;=39,"Adults",
M955&lt;=59,"Middle-Aged",
M955&gt;=60,"Seniors"
)</f>
        <v>Adults</v>
      </c>
      <c r="O955" s="9" t="s">
        <v>17</v>
      </c>
      <c r="P955" s="9">
        <f t="shared" si="28"/>
        <v>1</v>
      </c>
      <c r="Q955" s="9">
        <v>1</v>
      </c>
      <c r="R955" s="10">
        <f t="shared" si="29"/>
        <v>40000</v>
      </c>
    </row>
    <row r="956" spans="1:18" x14ac:dyDescent="0.3">
      <c r="A956" s="9">
        <v>14662</v>
      </c>
      <c r="B956" s="9" t="s">
        <v>37</v>
      </c>
      <c r="C956" s="9" t="s">
        <v>39</v>
      </c>
      <c r="D956" s="10">
        <v>60000</v>
      </c>
      <c r="E956" s="9" t="str" cm="1">
        <f t="array" ref="E956">_xlfn.IFS(D956&lt;= 60000, "Low Income",
D956&lt;=120000,"Medium Income",
D956&gt; 120000,"High Income"
)</f>
        <v>Low Income</v>
      </c>
      <c r="F956" s="9">
        <v>1</v>
      </c>
      <c r="G956" s="9" t="s">
        <v>15</v>
      </c>
      <c r="H956" s="9" t="s">
        <v>23</v>
      </c>
      <c r="I956" s="9" t="s">
        <v>17</v>
      </c>
      <c r="J956" s="9">
        <v>1</v>
      </c>
      <c r="K956" s="9" t="s">
        <v>18</v>
      </c>
      <c r="L956" s="9" t="s">
        <v>35</v>
      </c>
      <c r="M956" s="9">
        <v>48</v>
      </c>
      <c r="N956" s="9" t="str" cm="1">
        <f t="array" ref="N956">_xlfn.IFS(
M956&lt;=12,"Children",
M956&lt;=19,"Teens",
M956&lt;=29,"Young Adults",
M956&lt;=39,"Adults",
M956&lt;=59,"Middle-Aged",
M956&gt;=60,"Seniors"
)</f>
        <v>Middle-Aged</v>
      </c>
      <c r="O956" s="9" t="s">
        <v>17</v>
      </c>
      <c r="P956" s="9">
        <f t="shared" si="28"/>
        <v>1</v>
      </c>
      <c r="Q956" s="9">
        <v>1</v>
      </c>
      <c r="R956" s="10">
        <f t="shared" si="29"/>
        <v>60000</v>
      </c>
    </row>
    <row r="957" spans="1:18" x14ac:dyDescent="0.3">
      <c r="A957" s="9">
        <v>17541</v>
      </c>
      <c r="B957" s="9" t="s">
        <v>37</v>
      </c>
      <c r="C957" s="9" t="s">
        <v>38</v>
      </c>
      <c r="D957" s="10">
        <v>40000</v>
      </c>
      <c r="E957" s="9" t="str" cm="1">
        <f t="array" ref="E957">_xlfn.IFS(D957&lt;= 60000, "Low Income",
D957&lt;=120000,"Medium Income",
D957&gt; 120000,"High Income"
)</f>
        <v>Low Income</v>
      </c>
      <c r="F957" s="9">
        <v>4</v>
      </c>
      <c r="G957" s="9" t="s">
        <v>30</v>
      </c>
      <c r="H957" s="9" t="s">
        <v>16</v>
      </c>
      <c r="I957" s="9" t="s">
        <v>17</v>
      </c>
      <c r="J957" s="9">
        <v>2</v>
      </c>
      <c r="K957" s="9" t="s">
        <v>24</v>
      </c>
      <c r="L957" s="9" t="s">
        <v>35</v>
      </c>
      <c r="M957" s="9">
        <v>43</v>
      </c>
      <c r="N957" s="9" t="str" cm="1">
        <f t="array" ref="N957">_xlfn.IFS(
M957&lt;=12,"Children",
M957&lt;=19,"Teens",
M957&lt;=29,"Young Adults",
M957&lt;=39,"Adults",
M957&lt;=59,"Middle-Aged",
M957&gt;=60,"Seniors"
)</f>
        <v>Middle-Aged</v>
      </c>
      <c r="O957" s="9" t="s">
        <v>20</v>
      </c>
      <c r="P957" s="9">
        <f t="shared" si="28"/>
        <v>0</v>
      </c>
      <c r="Q957" s="9">
        <v>1</v>
      </c>
      <c r="R957" s="10">
        <f t="shared" si="29"/>
        <v>0</v>
      </c>
    </row>
    <row r="958" spans="1:18" x14ac:dyDescent="0.3">
      <c r="A958" s="9">
        <v>13886</v>
      </c>
      <c r="B958" s="9" t="s">
        <v>37</v>
      </c>
      <c r="C958" s="9" t="s">
        <v>38</v>
      </c>
      <c r="D958" s="10">
        <v>70000</v>
      </c>
      <c r="E958" s="9" t="str" cm="1">
        <f t="array" ref="E958">_xlfn.IFS(D958&lt;= 60000, "Low Income",
D958&lt;=120000,"Medium Income",
D958&gt; 120000,"High Income"
)</f>
        <v>Medium Income</v>
      </c>
      <c r="F958" s="9">
        <v>4</v>
      </c>
      <c r="G958" s="9" t="s">
        <v>34</v>
      </c>
      <c r="H958" s="9" t="s">
        <v>23</v>
      </c>
      <c r="I958" s="9" t="s">
        <v>17</v>
      </c>
      <c r="J958" s="9">
        <v>0</v>
      </c>
      <c r="K958" s="9" t="s">
        <v>24</v>
      </c>
      <c r="L958" s="9" t="s">
        <v>35</v>
      </c>
      <c r="M958" s="9">
        <v>35</v>
      </c>
      <c r="N958" s="9" t="str" cm="1">
        <f t="array" ref="N958">_xlfn.IFS(
M958&lt;=12,"Children",
M958&lt;=19,"Teens",
M958&lt;=29,"Young Adults",
M958&lt;=39,"Adults",
M958&lt;=59,"Middle-Aged",
M958&gt;=60,"Seniors"
)</f>
        <v>Adults</v>
      </c>
      <c r="O958" s="9" t="s">
        <v>17</v>
      </c>
      <c r="P958" s="9">
        <f t="shared" si="28"/>
        <v>1</v>
      </c>
      <c r="Q958" s="9">
        <v>1</v>
      </c>
      <c r="R958" s="10">
        <f t="shared" si="29"/>
        <v>70000</v>
      </c>
    </row>
    <row r="959" spans="1:18" x14ac:dyDescent="0.3">
      <c r="A959" s="9">
        <v>13073</v>
      </c>
      <c r="B959" s="9" t="s">
        <v>37</v>
      </c>
      <c r="C959" s="9" t="s">
        <v>38</v>
      </c>
      <c r="D959" s="10">
        <v>60000</v>
      </c>
      <c r="E959" s="9" t="str" cm="1">
        <f t="array" ref="E959">_xlfn.IFS(D959&lt;= 60000, "Low Income",
D959&lt;=120000,"Medium Income",
D959&gt; 120000,"High Income"
)</f>
        <v>Low Income</v>
      </c>
      <c r="F959" s="9">
        <v>0</v>
      </c>
      <c r="G959" s="9" t="s">
        <v>21</v>
      </c>
      <c r="H959" s="9" t="s">
        <v>23</v>
      </c>
      <c r="I959" s="9" t="s">
        <v>17</v>
      </c>
      <c r="J959" s="9">
        <v>2</v>
      </c>
      <c r="K959" s="9" t="s">
        <v>26</v>
      </c>
      <c r="L959" s="9" t="s">
        <v>35</v>
      </c>
      <c r="M959" s="9">
        <v>30</v>
      </c>
      <c r="N959" s="9" t="str" cm="1">
        <f t="array" ref="N959">_xlfn.IFS(
M959&lt;=12,"Children",
M959&lt;=19,"Teens",
M959&lt;=29,"Young Adults",
M959&lt;=39,"Adults",
M959&lt;=59,"Middle-Aged",
M959&gt;=60,"Seniors"
)</f>
        <v>Adults</v>
      </c>
      <c r="O959" s="9" t="s">
        <v>20</v>
      </c>
      <c r="P959" s="9">
        <f t="shared" si="28"/>
        <v>0</v>
      </c>
      <c r="Q959" s="9">
        <v>1</v>
      </c>
      <c r="R959" s="10">
        <f t="shared" si="29"/>
        <v>0</v>
      </c>
    </row>
    <row r="960" spans="1:18" x14ac:dyDescent="0.3">
      <c r="A960" s="9">
        <v>21940</v>
      </c>
      <c r="B960" s="9" t="s">
        <v>37</v>
      </c>
      <c r="C960" s="9" t="s">
        <v>39</v>
      </c>
      <c r="D960" s="10">
        <v>90000</v>
      </c>
      <c r="E960" s="9" t="str" cm="1">
        <f t="array" ref="E960">_xlfn.IFS(D960&lt;= 60000, "Low Income",
D960&lt;=120000,"Medium Income",
D960&gt; 120000,"High Income"
)</f>
        <v>Medium Income</v>
      </c>
      <c r="F960" s="9">
        <v>5</v>
      </c>
      <c r="G960" s="9" t="s">
        <v>34</v>
      </c>
      <c r="H960" s="9" t="s">
        <v>23</v>
      </c>
      <c r="I960" s="9" t="s">
        <v>17</v>
      </c>
      <c r="J960" s="9">
        <v>0</v>
      </c>
      <c r="K960" s="9" t="s">
        <v>18</v>
      </c>
      <c r="L960" s="9" t="s">
        <v>35</v>
      </c>
      <c r="M960" s="9">
        <v>47</v>
      </c>
      <c r="N960" s="9" t="str" cm="1">
        <f t="array" ref="N960">_xlfn.IFS(
M960&lt;=12,"Children",
M960&lt;=19,"Teens",
M960&lt;=29,"Young Adults",
M960&lt;=39,"Adults",
M960&lt;=59,"Middle-Aged",
M960&gt;=60,"Seniors"
)</f>
        <v>Middle-Aged</v>
      </c>
      <c r="O960" s="9" t="s">
        <v>17</v>
      </c>
      <c r="P960" s="9">
        <f t="shared" si="28"/>
        <v>1</v>
      </c>
      <c r="Q960" s="9">
        <v>1</v>
      </c>
      <c r="R960" s="10">
        <f t="shared" si="29"/>
        <v>90000</v>
      </c>
    </row>
    <row r="961" spans="1:18" x14ac:dyDescent="0.3">
      <c r="A961" s="9">
        <v>20196</v>
      </c>
      <c r="B961" s="9" t="s">
        <v>37</v>
      </c>
      <c r="C961" s="9" t="s">
        <v>39</v>
      </c>
      <c r="D961" s="10">
        <v>60000</v>
      </c>
      <c r="E961" s="9" t="str" cm="1">
        <f t="array" ref="E961">_xlfn.IFS(D961&lt;= 60000, "Low Income",
D961&lt;=120000,"Medium Income",
D961&gt; 120000,"High Income"
)</f>
        <v>Low Income</v>
      </c>
      <c r="F961" s="9">
        <v>1</v>
      </c>
      <c r="G961" s="9" t="s">
        <v>21</v>
      </c>
      <c r="H961" s="9" t="s">
        <v>16</v>
      </c>
      <c r="I961" s="9" t="s">
        <v>17</v>
      </c>
      <c r="J961" s="9">
        <v>1</v>
      </c>
      <c r="K961" s="9" t="s">
        <v>24</v>
      </c>
      <c r="L961" s="9" t="s">
        <v>35</v>
      </c>
      <c r="M961" s="9">
        <v>45</v>
      </c>
      <c r="N961" s="9" t="str" cm="1">
        <f t="array" ref="N961">_xlfn.IFS(
M961&lt;=12,"Children",
M961&lt;=19,"Teens",
M961&lt;=29,"Young Adults",
M961&lt;=39,"Adults",
M961&lt;=59,"Middle-Aged",
M961&gt;=60,"Seniors"
)</f>
        <v>Middle-Aged</v>
      </c>
      <c r="O961" s="9" t="s">
        <v>17</v>
      </c>
      <c r="P961" s="9">
        <f t="shared" si="28"/>
        <v>1</v>
      </c>
      <c r="Q961" s="9">
        <v>1</v>
      </c>
      <c r="R961" s="10">
        <f t="shared" si="29"/>
        <v>60000</v>
      </c>
    </row>
    <row r="962" spans="1:18" x14ac:dyDescent="0.3">
      <c r="A962" s="9">
        <v>23491</v>
      </c>
      <c r="B962" s="9" t="s">
        <v>40</v>
      </c>
      <c r="C962" s="9" t="s">
        <v>39</v>
      </c>
      <c r="D962" s="10">
        <v>100000</v>
      </c>
      <c r="E962" s="9" t="str" cm="1">
        <f t="array" ref="E962">_xlfn.IFS(D962&lt;= 60000, "Low Income",
D962&lt;=120000,"Medium Income",
D962&gt; 120000,"High Income"
)</f>
        <v>Medium Income</v>
      </c>
      <c r="F962" s="9">
        <v>0</v>
      </c>
      <c r="G962" s="9" t="s">
        <v>21</v>
      </c>
      <c r="H962" s="9" t="s">
        <v>23</v>
      </c>
      <c r="I962" s="9" t="s">
        <v>20</v>
      </c>
      <c r="J962" s="9">
        <v>4</v>
      </c>
      <c r="K962" s="9" t="s">
        <v>29</v>
      </c>
      <c r="L962" s="9" t="s">
        <v>35</v>
      </c>
      <c r="M962" s="9">
        <v>45</v>
      </c>
      <c r="N962" s="9" t="str" cm="1">
        <f t="array" ref="N962">_xlfn.IFS(
M962&lt;=12,"Children",
M962&lt;=19,"Teens",
M962&lt;=29,"Young Adults",
M962&lt;=39,"Adults",
M962&lt;=59,"Middle-Aged",
M962&gt;=60,"Seniors"
)</f>
        <v>Middle-Aged</v>
      </c>
      <c r="O962" s="9" t="s">
        <v>20</v>
      </c>
      <c r="P962" s="9">
        <f t="shared" si="28"/>
        <v>0</v>
      </c>
      <c r="Q962" s="9">
        <v>1</v>
      </c>
      <c r="R962" s="10">
        <f t="shared" si="29"/>
        <v>0</v>
      </c>
    </row>
    <row r="963" spans="1:18" x14ac:dyDescent="0.3">
      <c r="A963" s="9">
        <v>16651</v>
      </c>
      <c r="B963" s="9" t="s">
        <v>37</v>
      </c>
      <c r="C963" s="9" t="s">
        <v>38</v>
      </c>
      <c r="D963" s="10">
        <v>120000</v>
      </c>
      <c r="E963" s="9" t="str" cm="1">
        <f t="array" ref="E963">_xlfn.IFS(D963&lt;= 60000, "Low Income",
D963&lt;=120000,"Medium Income",
D963&gt; 120000,"High Income"
)</f>
        <v>Medium Income</v>
      </c>
      <c r="F963" s="9">
        <v>2</v>
      </c>
      <c r="G963" s="9" t="s">
        <v>15</v>
      </c>
      <c r="H963" s="9" t="s">
        <v>31</v>
      </c>
      <c r="I963" s="9" t="s">
        <v>17</v>
      </c>
      <c r="J963" s="9">
        <v>3</v>
      </c>
      <c r="K963" s="9" t="s">
        <v>26</v>
      </c>
      <c r="L963" s="9" t="s">
        <v>35</v>
      </c>
      <c r="M963" s="9">
        <v>62</v>
      </c>
      <c r="N963" s="9" t="str" cm="1">
        <f t="array" ref="N963">_xlfn.IFS(
M963&lt;=12,"Children",
M963&lt;=19,"Teens",
M963&lt;=29,"Young Adults",
M963&lt;=39,"Adults",
M963&lt;=59,"Middle-Aged",
M963&gt;=60,"Seniors"
)</f>
        <v>Seniors</v>
      </c>
      <c r="O963" s="9" t="s">
        <v>20</v>
      </c>
      <c r="P963" s="9">
        <f t="shared" ref="P963:P1001" si="30">IF(O963="No", 0, 1)</f>
        <v>0</v>
      </c>
      <c r="Q963" s="9">
        <v>1</v>
      </c>
      <c r="R963" s="10">
        <f t="shared" ref="R963:R1001" si="31">IF(P963=1, D963, 0)</f>
        <v>0</v>
      </c>
    </row>
    <row r="964" spans="1:18" x14ac:dyDescent="0.3">
      <c r="A964" s="9">
        <v>16813</v>
      </c>
      <c r="B964" s="9" t="s">
        <v>37</v>
      </c>
      <c r="C964" s="9" t="s">
        <v>39</v>
      </c>
      <c r="D964" s="10">
        <v>60000</v>
      </c>
      <c r="E964" s="9" t="str" cm="1">
        <f t="array" ref="E964">_xlfn.IFS(D964&lt;= 60000, "Low Income",
D964&lt;=120000,"Medium Income",
D964&gt; 120000,"High Income"
)</f>
        <v>Low Income</v>
      </c>
      <c r="F964" s="9">
        <v>2</v>
      </c>
      <c r="G964" s="9" t="s">
        <v>21</v>
      </c>
      <c r="H964" s="9" t="s">
        <v>23</v>
      </c>
      <c r="I964" s="9" t="s">
        <v>17</v>
      </c>
      <c r="J964" s="9">
        <v>2</v>
      </c>
      <c r="K964" s="9" t="s">
        <v>41</v>
      </c>
      <c r="L964" s="9" t="s">
        <v>35</v>
      </c>
      <c r="M964" s="9">
        <v>55</v>
      </c>
      <c r="N964" s="9" t="str" cm="1">
        <f t="array" ref="N964">_xlfn.IFS(
M964&lt;=12,"Children",
M964&lt;=19,"Teens",
M964&lt;=29,"Young Adults",
M964&lt;=39,"Adults",
M964&lt;=59,"Middle-Aged",
M964&gt;=60,"Seniors"
)</f>
        <v>Middle-Aged</v>
      </c>
      <c r="O964" s="9" t="s">
        <v>20</v>
      </c>
      <c r="P964" s="9">
        <f t="shared" si="30"/>
        <v>0</v>
      </c>
      <c r="Q964" s="9">
        <v>1</v>
      </c>
      <c r="R964" s="10">
        <f t="shared" si="31"/>
        <v>0</v>
      </c>
    </row>
    <row r="965" spans="1:18" x14ac:dyDescent="0.3">
      <c r="A965" s="9">
        <v>16007</v>
      </c>
      <c r="B965" s="9" t="s">
        <v>37</v>
      </c>
      <c r="C965" s="9" t="s">
        <v>38</v>
      </c>
      <c r="D965" s="10">
        <v>90000</v>
      </c>
      <c r="E965" s="9" t="str" cm="1">
        <f t="array" ref="E965">_xlfn.IFS(D965&lt;= 60000, "Low Income",
D965&lt;=120000,"Medium Income",
D965&gt; 120000,"High Income"
)</f>
        <v>Medium Income</v>
      </c>
      <c r="F965" s="9">
        <v>5</v>
      </c>
      <c r="G965" s="9" t="s">
        <v>15</v>
      </c>
      <c r="H965" s="9" t="s">
        <v>31</v>
      </c>
      <c r="I965" s="9" t="s">
        <v>17</v>
      </c>
      <c r="J965" s="9">
        <v>2</v>
      </c>
      <c r="K965" s="9" t="s">
        <v>29</v>
      </c>
      <c r="L965" s="9" t="s">
        <v>35</v>
      </c>
      <c r="M965" s="9">
        <v>66</v>
      </c>
      <c r="N965" s="9" t="str" cm="1">
        <f t="array" ref="N965">_xlfn.IFS(
M965&lt;=12,"Children",
M965&lt;=19,"Teens",
M965&lt;=29,"Young Adults",
M965&lt;=39,"Adults",
M965&lt;=59,"Middle-Aged",
M965&gt;=60,"Seniors"
)</f>
        <v>Seniors</v>
      </c>
      <c r="O965" s="9" t="s">
        <v>17</v>
      </c>
      <c r="P965" s="9">
        <f t="shared" si="30"/>
        <v>1</v>
      </c>
      <c r="Q965" s="9">
        <v>1</v>
      </c>
      <c r="R965" s="10">
        <f t="shared" si="31"/>
        <v>90000</v>
      </c>
    </row>
    <row r="966" spans="1:18" x14ac:dyDescent="0.3">
      <c r="A966" s="9">
        <v>27434</v>
      </c>
      <c r="B966" s="9" t="s">
        <v>40</v>
      </c>
      <c r="C966" s="9" t="s">
        <v>39</v>
      </c>
      <c r="D966" s="10">
        <v>70000</v>
      </c>
      <c r="E966" s="9" t="str" cm="1">
        <f t="array" ref="E966">_xlfn.IFS(D966&lt;= 60000, "Low Income",
D966&lt;=120000,"Medium Income",
D966&gt; 120000,"High Income"
)</f>
        <v>Medium Income</v>
      </c>
      <c r="F966" s="9">
        <v>4</v>
      </c>
      <c r="G966" s="9" t="s">
        <v>21</v>
      </c>
      <c r="H966" s="9" t="s">
        <v>23</v>
      </c>
      <c r="I966" s="9" t="s">
        <v>17</v>
      </c>
      <c r="J966" s="9">
        <v>1</v>
      </c>
      <c r="K966" s="9" t="s">
        <v>41</v>
      </c>
      <c r="L966" s="9" t="s">
        <v>35</v>
      </c>
      <c r="M966" s="9">
        <v>56</v>
      </c>
      <c r="N966" s="9" t="str" cm="1">
        <f t="array" ref="N966">_xlfn.IFS(
M966&lt;=12,"Children",
M966&lt;=19,"Teens",
M966&lt;=29,"Young Adults",
M966&lt;=39,"Adults",
M966&lt;=59,"Middle-Aged",
M966&gt;=60,"Seniors"
)</f>
        <v>Middle-Aged</v>
      </c>
      <c r="O966" s="9" t="s">
        <v>20</v>
      </c>
      <c r="P966" s="9">
        <f t="shared" si="30"/>
        <v>0</v>
      </c>
      <c r="Q966" s="9">
        <v>1</v>
      </c>
      <c r="R966" s="10">
        <f t="shared" si="31"/>
        <v>0</v>
      </c>
    </row>
    <row r="967" spans="1:18" x14ac:dyDescent="0.3">
      <c r="A967" s="9">
        <v>27756</v>
      </c>
      <c r="B967" s="9" t="s">
        <v>40</v>
      </c>
      <c r="C967" s="9" t="s">
        <v>38</v>
      </c>
      <c r="D967" s="10">
        <v>50000</v>
      </c>
      <c r="E967" s="9" t="str" cm="1">
        <f t="array" ref="E967">_xlfn.IFS(D967&lt;= 60000, "Low Income",
D967&lt;=120000,"Medium Income",
D967&gt; 120000,"High Income"
)</f>
        <v>Low Income</v>
      </c>
      <c r="F967" s="9">
        <v>3</v>
      </c>
      <c r="G967" s="9" t="s">
        <v>15</v>
      </c>
      <c r="H967" s="9" t="s">
        <v>16</v>
      </c>
      <c r="I967" s="9" t="s">
        <v>20</v>
      </c>
      <c r="J967" s="9">
        <v>1</v>
      </c>
      <c r="K967" s="9" t="s">
        <v>18</v>
      </c>
      <c r="L967" s="9" t="s">
        <v>35</v>
      </c>
      <c r="M967" s="9">
        <v>40</v>
      </c>
      <c r="N967" s="9" t="str" cm="1">
        <f t="array" ref="N967">_xlfn.IFS(
M967&lt;=12,"Children",
M967&lt;=19,"Teens",
M967&lt;=29,"Young Adults",
M967&lt;=39,"Adults",
M967&lt;=59,"Middle-Aged",
M967&gt;=60,"Seniors"
)</f>
        <v>Middle-Aged</v>
      </c>
      <c r="O967" s="9" t="s">
        <v>20</v>
      </c>
      <c r="P967" s="9">
        <f t="shared" si="30"/>
        <v>0</v>
      </c>
      <c r="Q967" s="9">
        <v>1</v>
      </c>
      <c r="R967" s="10">
        <f t="shared" si="31"/>
        <v>0</v>
      </c>
    </row>
    <row r="968" spans="1:18" x14ac:dyDescent="0.3">
      <c r="A968" s="9">
        <v>23818</v>
      </c>
      <c r="B968" s="9" t="s">
        <v>37</v>
      </c>
      <c r="C968" s="9" t="s">
        <v>38</v>
      </c>
      <c r="D968" s="10">
        <v>50000</v>
      </c>
      <c r="E968" s="9" t="str" cm="1">
        <f t="array" ref="E968">_xlfn.IFS(D968&lt;= 60000, "Low Income",
D968&lt;=120000,"Medium Income",
D968&gt; 120000,"High Income"
)</f>
        <v>Low Income</v>
      </c>
      <c r="F968" s="9">
        <v>0</v>
      </c>
      <c r="G968" s="9" t="s">
        <v>34</v>
      </c>
      <c r="H968" s="9" t="s">
        <v>16</v>
      </c>
      <c r="I968" s="9" t="s">
        <v>17</v>
      </c>
      <c r="J968" s="9">
        <v>0</v>
      </c>
      <c r="K968" s="9" t="s">
        <v>29</v>
      </c>
      <c r="L968" s="9" t="s">
        <v>35</v>
      </c>
      <c r="M968" s="9">
        <v>33</v>
      </c>
      <c r="N968" s="9" t="str" cm="1">
        <f t="array" ref="N968">_xlfn.IFS(
M968&lt;=12,"Children",
M968&lt;=19,"Teens",
M968&lt;=29,"Young Adults",
M968&lt;=39,"Adults",
M968&lt;=59,"Middle-Aged",
M968&gt;=60,"Seniors"
)</f>
        <v>Adults</v>
      </c>
      <c r="O968" s="9" t="s">
        <v>17</v>
      </c>
      <c r="P968" s="9">
        <f t="shared" si="30"/>
        <v>1</v>
      </c>
      <c r="Q968" s="9">
        <v>1</v>
      </c>
      <c r="R968" s="10">
        <f t="shared" si="31"/>
        <v>50000</v>
      </c>
    </row>
    <row r="969" spans="1:18" x14ac:dyDescent="0.3">
      <c r="A969" s="9">
        <v>19012</v>
      </c>
      <c r="B969" s="9" t="s">
        <v>37</v>
      </c>
      <c r="C969" s="9" t="s">
        <v>39</v>
      </c>
      <c r="D969" s="10">
        <v>80000</v>
      </c>
      <c r="E969" s="9" t="str" cm="1">
        <f t="array" ref="E969">_xlfn.IFS(D969&lt;= 60000, "Low Income",
D969&lt;=120000,"Medium Income",
D969&gt; 120000,"High Income"
)</f>
        <v>Medium Income</v>
      </c>
      <c r="F969" s="9">
        <v>3</v>
      </c>
      <c r="G969" s="9" t="s">
        <v>15</v>
      </c>
      <c r="H969" s="9" t="s">
        <v>31</v>
      </c>
      <c r="I969" s="9" t="s">
        <v>17</v>
      </c>
      <c r="J969" s="9">
        <v>1</v>
      </c>
      <c r="K969" s="9" t="s">
        <v>29</v>
      </c>
      <c r="L969" s="9" t="s">
        <v>35</v>
      </c>
      <c r="M969" s="9">
        <v>56</v>
      </c>
      <c r="N969" s="9" t="str" cm="1">
        <f t="array" ref="N969">_xlfn.IFS(
M969&lt;=12,"Children",
M969&lt;=19,"Teens",
M969&lt;=29,"Young Adults",
M969&lt;=39,"Adults",
M969&lt;=59,"Middle-Aged",
M969&gt;=60,"Seniors"
)</f>
        <v>Middle-Aged</v>
      </c>
      <c r="O969" s="9" t="s">
        <v>20</v>
      </c>
      <c r="P969" s="9">
        <f t="shared" si="30"/>
        <v>0</v>
      </c>
      <c r="Q969" s="9">
        <v>1</v>
      </c>
      <c r="R969" s="10">
        <f t="shared" si="31"/>
        <v>0</v>
      </c>
    </row>
    <row r="970" spans="1:18" x14ac:dyDescent="0.3">
      <c r="A970" s="9">
        <v>18329</v>
      </c>
      <c r="B970" s="9" t="s">
        <v>40</v>
      </c>
      <c r="C970" s="9" t="s">
        <v>39</v>
      </c>
      <c r="D970" s="10">
        <v>30000</v>
      </c>
      <c r="E970" s="9" t="str" cm="1">
        <f t="array" ref="E970">_xlfn.IFS(D970&lt;= 60000, "Low Income",
D970&lt;=120000,"Medium Income",
D970&gt; 120000,"High Income"
)</f>
        <v>Low Income</v>
      </c>
      <c r="F970" s="9">
        <v>0</v>
      </c>
      <c r="G970" s="9" t="s">
        <v>32</v>
      </c>
      <c r="H970" s="9" t="s">
        <v>22</v>
      </c>
      <c r="I970" s="9" t="s">
        <v>20</v>
      </c>
      <c r="J970" s="9">
        <v>2</v>
      </c>
      <c r="K970" s="9" t="s">
        <v>26</v>
      </c>
      <c r="L970" s="9" t="s">
        <v>35</v>
      </c>
      <c r="M970" s="9">
        <v>27</v>
      </c>
      <c r="N970" s="9" t="str" cm="1">
        <f t="array" ref="N970">_xlfn.IFS(
M970&lt;=12,"Children",
M970&lt;=19,"Teens",
M970&lt;=29,"Young Adults",
M970&lt;=39,"Adults",
M970&lt;=59,"Middle-Aged",
M970&gt;=60,"Seniors"
)</f>
        <v>Young Adults</v>
      </c>
      <c r="O970" s="9" t="s">
        <v>20</v>
      </c>
      <c r="P970" s="9">
        <f t="shared" si="30"/>
        <v>0</v>
      </c>
      <c r="Q970" s="9">
        <v>1</v>
      </c>
      <c r="R970" s="10">
        <f t="shared" si="31"/>
        <v>0</v>
      </c>
    </row>
    <row r="971" spans="1:18" x14ac:dyDescent="0.3">
      <c r="A971" s="9">
        <v>29037</v>
      </c>
      <c r="B971" s="9" t="s">
        <v>37</v>
      </c>
      <c r="C971" s="9" t="s">
        <v>39</v>
      </c>
      <c r="D971" s="10">
        <v>60000</v>
      </c>
      <c r="E971" s="9" t="str" cm="1">
        <f t="array" ref="E971">_xlfn.IFS(D971&lt;= 60000, "Low Income",
D971&lt;=120000,"Medium Income",
D971&gt; 120000,"High Income"
)</f>
        <v>Low Income</v>
      </c>
      <c r="F971" s="9">
        <v>0</v>
      </c>
      <c r="G971" s="9" t="s">
        <v>34</v>
      </c>
      <c r="H971" s="9" t="s">
        <v>23</v>
      </c>
      <c r="I971" s="9" t="s">
        <v>20</v>
      </c>
      <c r="J971" s="9">
        <v>0</v>
      </c>
      <c r="K971" s="9" t="s">
        <v>18</v>
      </c>
      <c r="L971" s="9" t="s">
        <v>35</v>
      </c>
      <c r="M971" s="9">
        <v>39</v>
      </c>
      <c r="N971" s="9" t="str" cm="1">
        <f t="array" ref="N971">_xlfn.IFS(
M971&lt;=12,"Children",
M971&lt;=19,"Teens",
M971&lt;=29,"Young Adults",
M971&lt;=39,"Adults",
M971&lt;=59,"Middle-Aged",
M971&gt;=60,"Seniors"
)</f>
        <v>Adults</v>
      </c>
      <c r="O971" s="9" t="s">
        <v>20</v>
      </c>
      <c r="P971" s="9">
        <f t="shared" si="30"/>
        <v>0</v>
      </c>
      <c r="Q971" s="9">
        <v>1</v>
      </c>
      <c r="R971" s="10">
        <f t="shared" si="31"/>
        <v>0</v>
      </c>
    </row>
    <row r="972" spans="1:18" x14ac:dyDescent="0.3">
      <c r="A972" s="9">
        <v>26576</v>
      </c>
      <c r="B972" s="9" t="s">
        <v>37</v>
      </c>
      <c r="C972" s="9" t="s">
        <v>38</v>
      </c>
      <c r="D972" s="10">
        <v>60000</v>
      </c>
      <c r="E972" s="9" t="str" cm="1">
        <f t="array" ref="E972">_xlfn.IFS(D972&lt;= 60000, "Low Income",
D972&lt;=120000,"Medium Income",
D972&gt; 120000,"High Income"
)</f>
        <v>Low Income</v>
      </c>
      <c r="F972" s="9">
        <v>0</v>
      </c>
      <c r="G972" s="9" t="s">
        <v>21</v>
      </c>
      <c r="H972" s="9" t="s">
        <v>16</v>
      </c>
      <c r="I972" s="9" t="s">
        <v>17</v>
      </c>
      <c r="J972" s="9">
        <v>2</v>
      </c>
      <c r="K972" s="9" t="s">
        <v>26</v>
      </c>
      <c r="L972" s="9" t="s">
        <v>35</v>
      </c>
      <c r="M972" s="9">
        <v>31</v>
      </c>
      <c r="N972" s="9" t="str" cm="1">
        <f t="array" ref="N972">_xlfn.IFS(
M972&lt;=12,"Children",
M972&lt;=19,"Teens",
M972&lt;=29,"Young Adults",
M972&lt;=39,"Adults",
M972&lt;=59,"Middle-Aged",
M972&gt;=60,"Seniors"
)</f>
        <v>Adults</v>
      </c>
      <c r="O972" s="9" t="s">
        <v>20</v>
      </c>
      <c r="P972" s="9">
        <f t="shared" si="30"/>
        <v>0</v>
      </c>
      <c r="Q972" s="9">
        <v>1</v>
      </c>
      <c r="R972" s="10">
        <f t="shared" si="31"/>
        <v>0</v>
      </c>
    </row>
    <row r="973" spans="1:18" x14ac:dyDescent="0.3">
      <c r="A973" s="9">
        <v>12192</v>
      </c>
      <c r="B973" s="9" t="s">
        <v>40</v>
      </c>
      <c r="C973" s="9" t="s">
        <v>38</v>
      </c>
      <c r="D973" s="10">
        <v>60000</v>
      </c>
      <c r="E973" s="9" t="str" cm="1">
        <f t="array" ref="E973">_xlfn.IFS(D973&lt;= 60000, "Low Income",
D973&lt;=120000,"Medium Income",
D973&gt; 120000,"High Income"
)</f>
        <v>Low Income</v>
      </c>
      <c r="F973" s="9">
        <v>2</v>
      </c>
      <c r="G973" s="9" t="s">
        <v>32</v>
      </c>
      <c r="H973" s="9" t="s">
        <v>16</v>
      </c>
      <c r="I973" s="9" t="s">
        <v>20</v>
      </c>
      <c r="J973" s="9">
        <v>2</v>
      </c>
      <c r="K973" s="9" t="s">
        <v>29</v>
      </c>
      <c r="L973" s="9" t="s">
        <v>35</v>
      </c>
      <c r="M973" s="9">
        <v>51</v>
      </c>
      <c r="N973" s="9" t="str" cm="1">
        <f t="array" ref="N973">_xlfn.IFS(
M973&lt;=12,"Children",
M973&lt;=19,"Teens",
M973&lt;=29,"Young Adults",
M973&lt;=39,"Adults",
M973&lt;=59,"Middle-Aged",
M973&gt;=60,"Seniors"
)</f>
        <v>Middle-Aged</v>
      </c>
      <c r="O973" s="9" t="s">
        <v>20</v>
      </c>
      <c r="P973" s="9">
        <f t="shared" si="30"/>
        <v>0</v>
      </c>
      <c r="Q973" s="9">
        <v>1</v>
      </c>
      <c r="R973" s="10">
        <f t="shared" si="31"/>
        <v>0</v>
      </c>
    </row>
    <row r="974" spans="1:18" x14ac:dyDescent="0.3">
      <c r="A974" s="9">
        <v>14887</v>
      </c>
      <c r="B974" s="9" t="s">
        <v>37</v>
      </c>
      <c r="C974" s="9" t="s">
        <v>38</v>
      </c>
      <c r="D974" s="10">
        <v>30000</v>
      </c>
      <c r="E974" s="9" t="str" cm="1">
        <f t="array" ref="E974">_xlfn.IFS(D974&lt;= 60000, "Low Income",
D974&lt;=120000,"Medium Income",
D974&gt; 120000,"High Income"
)</f>
        <v>Low Income</v>
      </c>
      <c r="F974" s="9">
        <v>1</v>
      </c>
      <c r="G974" s="9" t="s">
        <v>30</v>
      </c>
      <c r="H974" s="9" t="s">
        <v>22</v>
      </c>
      <c r="I974" s="9" t="s">
        <v>17</v>
      </c>
      <c r="J974" s="9">
        <v>1</v>
      </c>
      <c r="K974" s="9" t="s">
        <v>26</v>
      </c>
      <c r="L974" s="9" t="s">
        <v>35</v>
      </c>
      <c r="M974" s="9">
        <v>52</v>
      </c>
      <c r="N974" s="9" t="str" cm="1">
        <f t="array" ref="N974">_xlfn.IFS(
M974&lt;=12,"Children",
M974&lt;=19,"Teens",
M974&lt;=29,"Young Adults",
M974&lt;=39,"Adults",
M974&lt;=59,"Middle-Aged",
M974&gt;=60,"Seniors"
)</f>
        <v>Middle-Aged</v>
      </c>
      <c r="O974" s="9" t="s">
        <v>20</v>
      </c>
      <c r="P974" s="9">
        <f t="shared" si="30"/>
        <v>0</v>
      </c>
      <c r="Q974" s="9">
        <v>1</v>
      </c>
      <c r="R974" s="10">
        <f t="shared" si="31"/>
        <v>0</v>
      </c>
    </row>
    <row r="975" spans="1:18" x14ac:dyDescent="0.3">
      <c r="A975" s="9">
        <v>11734</v>
      </c>
      <c r="B975" s="9" t="s">
        <v>37</v>
      </c>
      <c r="C975" s="9" t="s">
        <v>39</v>
      </c>
      <c r="D975" s="10">
        <v>60000</v>
      </c>
      <c r="E975" s="9" t="str" cm="1">
        <f t="array" ref="E975">_xlfn.IFS(D975&lt;= 60000, "Low Income",
D975&lt;=120000,"Medium Income",
D975&gt; 120000,"High Income"
)</f>
        <v>Low Income</v>
      </c>
      <c r="F975" s="9">
        <v>1</v>
      </c>
      <c r="G975" s="9" t="s">
        <v>21</v>
      </c>
      <c r="H975" s="9" t="s">
        <v>16</v>
      </c>
      <c r="I975" s="9" t="s">
        <v>20</v>
      </c>
      <c r="J975" s="9">
        <v>1</v>
      </c>
      <c r="K975" s="9" t="s">
        <v>18</v>
      </c>
      <c r="L975" s="9" t="s">
        <v>35</v>
      </c>
      <c r="M975" s="9">
        <v>47</v>
      </c>
      <c r="N975" s="9" t="str" cm="1">
        <f t="array" ref="N975">_xlfn.IFS(
M975&lt;=12,"Children",
M975&lt;=19,"Teens",
M975&lt;=29,"Young Adults",
M975&lt;=39,"Adults",
M975&lt;=59,"Middle-Aged",
M975&gt;=60,"Seniors"
)</f>
        <v>Middle-Aged</v>
      </c>
      <c r="O975" s="9" t="s">
        <v>20</v>
      </c>
      <c r="P975" s="9">
        <f t="shared" si="30"/>
        <v>0</v>
      </c>
      <c r="Q975" s="9">
        <v>1</v>
      </c>
      <c r="R975" s="10">
        <f t="shared" si="31"/>
        <v>0</v>
      </c>
    </row>
    <row r="976" spans="1:18" x14ac:dyDescent="0.3">
      <c r="A976" s="9">
        <v>17462</v>
      </c>
      <c r="B976" s="9" t="s">
        <v>37</v>
      </c>
      <c r="C976" s="9" t="s">
        <v>39</v>
      </c>
      <c r="D976" s="10">
        <v>70000</v>
      </c>
      <c r="E976" s="9" t="str" cm="1">
        <f t="array" ref="E976">_xlfn.IFS(D976&lt;= 60000, "Low Income",
D976&lt;=120000,"Medium Income",
D976&gt; 120000,"High Income"
)</f>
        <v>Medium Income</v>
      </c>
      <c r="F976" s="9">
        <v>3</v>
      </c>
      <c r="G976" s="9" t="s">
        <v>34</v>
      </c>
      <c r="H976" s="9" t="s">
        <v>31</v>
      </c>
      <c r="I976" s="9" t="s">
        <v>17</v>
      </c>
      <c r="J976" s="9">
        <v>2</v>
      </c>
      <c r="K976" s="9" t="s">
        <v>26</v>
      </c>
      <c r="L976" s="9" t="s">
        <v>35</v>
      </c>
      <c r="M976" s="9">
        <v>53</v>
      </c>
      <c r="N976" s="9" t="str" cm="1">
        <f t="array" ref="N976">_xlfn.IFS(
M976&lt;=12,"Children",
M976&lt;=19,"Teens",
M976&lt;=29,"Young Adults",
M976&lt;=39,"Adults",
M976&lt;=59,"Middle-Aged",
M976&gt;=60,"Seniors"
)</f>
        <v>Middle-Aged</v>
      </c>
      <c r="O976" s="9" t="s">
        <v>17</v>
      </c>
      <c r="P976" s="9">
        <f t="shared" si="30"/>
        <v>1</v>
      </c>
      <c r="Q976" s="9">
        <v>1</v>
      </c>
      <c r="R976" s="10">
        <f t="shared" si="31"/>
        <v>70000</v>
      </c>
    </row>
    <row r="977" spans="1:18" x14ac:dyDescent="0.3">
      <c r="A977" s="9">
        <v>20659</v>
      </c>
      <c r="B977" s="9" t="s">
        <v>37</v>
      </c>
      <c r="C977" s="9" t="s">
        <v>39</v>
      </c>
      <c r="D977" s="10">
        <v>70000</v>
      </c>
      <c r="E977" s="9" t="str" cm="1">
        <f t="array" ref="E977">_xlfn.IFS(D977&lt;= 60000, "Low Income",
D977&lt;=120000,"Medium Income",
D977&gt; 120000,"High Income"
)</f>
        <v>Medium Income</v>
      </c>
      <c r="F977" s="9">
        <v>3</v>
      </c>
      <c r="G977" s="9" t="s">
        <v>34</v>
      </c>
      <c r="H977" s="9" t="s">
        <v>23</v>
      </c>
      <c r="I977" s="9" t="s">
        <v>17</v>
      </c>
      <c r="J977" s="9">
        <v>0</v>
      </c>
      <c r="K977" s="9" t="s">
        <v>18</v>
      </c>
      <c r="L977" s="9" t="s">
        <v>35</v>
      </c>
      <c r="M977" s="9">
        <v>35</v>
      </c>
      <c r="N977" s="9" t="str" cm="1">
        <f t="array" ref="N977">_xlfn.IFS(
M977&lt;=12,"Children",
M977&lt;=19,"Teens",
M977&lt;=29,"Young Adults",
M977&lt;=39,"Adults",
M977&lt;=59,"Middle-Aged",
M977&gt;=60,"Seniors"
)</f>
        <v>Adults</v>
      </c>
      <c r="O977" s="9" t="s">
        <v>17</v>
      </c>
      <c r="P977" s="9">
        <f t="shared" si="30"/>
        <v>1</v>
      </c>
      <c r="Q977" s="9">
        <v>1</v>
      </c>
      <c r="R977" s="10">
        <f t="shared" si="31"/>
        <v>70000</v>
      </c>
    </row>
    <row r="978" spans="1:18" x14ac:dyDescent="0.3">
      <c r="A978" s="9">
        <v>28004</v>
      </c>
      <c r="B978" s="9" t="s">
        <v>37</v>
      </c>
      <c r="C978" s="9" t="s">
        <v>38</v>
      </c>
      <c r="D978" s="10">
        <v>60000</v>
      </c>
      <c r="E978" s="9" t="str" cm="1">
        <f t="array" ref="E978">_xlfn.IFS(D978&lt;= 60000, "Low Income",
D978&lt;=120000,"Medium Income",
D978&gt; 120000,"High Income"
)</f>
        <v>Low Income</v>
      </c>
      <c r="F978" s="9">
        <v>3</v>
      </c>
      <c r="G978" s="9" t="s">
        <v>15</v>
      </c>
      <c r="H978" s="9" t="s">
        <v>31</v>
      </c>
      <c r="I978" s="9" t="s">
        <v>17</v>
      </c>
      <c r="J978" s="9">
        <v>2</v>
      </c>
      <c r="K978" s="9" t="s">
        <v>41</v>
      </c>
      <c r="L978" s="9" t="s">
        <v>35</v>
      </c>
      <c r="M978" s="9">
        <v>66</v>
      </c>
      <c r="N978" s="9" t="str" cm="1">
        <f t="array" ref="N978">_xlfn.IFS(
M978&lt;=12,"Children",
M978&lt;=19,"Teens",
M978&lt;=29,"Young Adults",
M978&lt;=39,"Adults",
M978&lt;=59,"Middle-Aged",
M978&gt;=60,"Seniors"
)</f>
        <v>Seniors</v>
      </c>
      <c r="O978" s="9" t="s">
        <v>20</v>
      </c>
      <c r="P978" s="9">
        <f t="shared" si="30"/>
        <v>0</v>
      </c>
      <c r="Q978" s="9">
        <v>1</v>
      </c>
      <c r="R978" s="10">
        <f t="shared" si="31"/>
        <v>0</v>
      </c>
    </row>
    <row r="979" spans="1:18" x14ac:dyDescent="0.3">
      <c r="A979" s="9">
        <v>19741</v>
      </c>
      <c r="B979" s="9" t="s">
        <v>40</v>
      </c>
      <c r="C979" s="9" t="s">
        <v>38</v>
      </c>
      <c r="D979" s="10">
        <v>80000</v>
      </c>
      <c r="E979" s="9" t="str" cm="1">
        <f t="array" ref="E979">_xlfn.IFS(D979&lt;= 60000, "Low Income",
D979&lt;=120000,"Medium Income",
D979&gt; 120000,"High Income"
)</f>
        <v>Medium Income</v>
      </c>
      <c r="F979" s="9">
        <v>4</v>
      </c>
      <c r="G979" s="9" t="s">
        <v>34</v>
      </c>
      <c r="H979" s="9" t="s">
        <v>31</v>
      </c>
      <c r="I979" s="9" t="s">
        <v>17</v>
      </c>
      <c r="J979" s="9">
        <v>2</v>
      </c>
      <c r="K979" s="9" t="s">
        <v>26</v>
      </c>
      <c r="L979" s="9" t="s">
        <v>35</v>
      </c>
      <c r="M979" s="9">
        <v>65</v>
      </c>
      <c r="N979" s="9" t="str" cm="1">
        <f t="array" ref="N979">_xlfn.IFS(
M979&lt;=12,"Children",
M979&lt;=19,"Teens",
M979&lt;=29,"Young Adults",
M979&lt;=39,"Adults",
M979&lt;=59,"Middle-Aged",
M979&gt;=60,"Seniors"
)</f>
        <v>Seniors</v>
      </c>
      <c r="O979" s="9" t="s">
        <v>20</v>
      </c>
      <c r="P979" s="9">
        <f t="shared" si="30"/>
        <v>0</v>
      </c>
      <c r="Q979" s="9">
        <v>1</v>
      </c>
      <c r="R979" s="10">
        <f t="shared" si="31"/>
        <v>0</v>
      </c>
    </row>
    <row r="980" spans="1:18" x14ac:dyDescent="0.3">
      <c r="A980" s="9">
        <v>17450</v>
      </c>
      <c r="B980" s="9" t="s">
        <v>37</v>
      </c>
      <c r="C980" s="9" t="s">
        <v>39</v>
      </c>
      <c r="D980" s="10">
        <v>80000</v>
      </c>
      <c r="E980" s="9" t="str" cm="1">
        <f t="array" ref="E980">_xlfn.IFS(D980&lt;= 60000, "Low Income",
D980&lt;=120000,"Medium Income",
D980&gt; 120000,"High Income"
)</f>
        <v>Medium Income</v>
      </c>
      <c r="F980" s="9">
        <v>5</v>
      </c>
      <c r="G980" s="9" t="s">
        <v>21</v>
      </c>
      <c r="H980" s="9" t="s">
        <v>23</v>
      </c>
      <c r="I980" s="9" t="s">
        <v>17</v>
      </c>
      <c r="J980" s="9">
        <v>3</v>
      </c>
      <c r="K980" s="9" t="s">
        <v>26</v>
      </c>
      <c r="L980" s="9" t="s">
        <v>35</v>
      </c>
      <c r="M980" s="9">
        <v>45</v>
      </c>
      <c r="N980" s="9" t="str" cm="1">
        <f t="array" ref="N980">_xlfn.IFS(
M980&lt;=12,"Children",
M980&lt;=19,"Teens",
M980&lt;=29,"Young Adults",
M980&lt;=39,"Adults",
M980&lt;=59,"Middle-Aged",
M980&gt;=60,"Seniors"
)</f>
        <v>Middle-Aged</v>
      </c>
      <c r="O980" s="9" t="s">
        <v>20</v>
      </c>
      <c r="P980" s="9">
        <f t="shared" si="30"/>
        <v>0</v>
      </c>
      <c r="Q980" s="9">
        <v>1</v>
      </c>
      <c r="R980" s="10">
        <f t="shared" si="31"/>
        <v>0</v>
      </c>
    </row>
    <row r="981" spans="1:18" x14ac:dyDescent="0.3">
      <c r="A981" s="9">
        <v>17337</v>
      </c>
      <c r="B981" s="9" t="s">
        <v>40</v>
      </c>
      <c r="C981" s="9" t="s">
        <v>39</v>
      </c>
      <c r="D981" s="10">
        <v>40000</v>
      </c>
      <c r="E981" s="9" t="str" cm="1">
        <f t="array" ref="E981">_xlfn.IFS(D981&lt;= 60000, "Low Income",
D981&lt;=120000,"Medium Income",
D981&gt; 120000,"High Income"
)</f>
        <v>Low Income</v>
      </c>
      <c r="F981" s="9">
        <v>0</v>
      </c>
      <c r="G981" s="9" t="s">
        <v>30</v>
      </c>
      <c r="H981" s="9" t="s">
        <v>16</v>
      </c>
      <c r="I981" s="9" t="s">
        <v>17</v>
      </c>
      <c r="J981" s="9">
        <v>1</v>
      </c>
      <c r="K981" s="9" t="s">
        <v>26</v>
      </c>
      <c r="L981" s="9" t="s">
        <v>35</v>
      </c>
      <c r="M981" s="9">
        <v>31</v>
      </c>
      <c r="N981" s="9" t="str" cm="1">
        <f t="array" ref="N981">_xlfn.IFS(
M981&lt;=12,"Children",
M981&lt;=19,"Teens",
M981&lt;=29,"Young Adults",
M981&lt;=39,"Adults",
M981&lt;=59,"Middle-Aged",
M981&gt;=60,"Seniors"
)</f>
        <v>Adults</v>
      </c>
      <c r="O981" s="9" t="s">
        <v>20</v>
      </c>
      <c r="P981" s="9">
        <f t="shared" si="30"/>
        <v>0</v>
      </c>
      <c r="Q981" s="9">
        <v>1</v>
      </c>
      <c r="R981" s="10">
        <f t="shared" si="31"/>
        <v>0</v>
      </c>
    </row>
    <row r="982" spans="1:18" x14ac:dyDescent="0.3">
      <c r="A982" s="9">
        <v>18594</v>
      </c>
      <c r="B982" s="9" t="s">
        <v>40</v>
      </c>
      <c r="C982" s="9" t="s">
        <v>38</v>
      </c>
      <c r="D982" s="10">
        <v>80000</v>
      </c>
      <c r="E982" s="9" t="str" cm="1">
        <f t="array" ref="E982">_xlfn.IFS(D982&lt;= 60000, "Low Income",
D982&lt;=120000,"Medium Income",
D982&gt; 120000,"High Income"
)</f>
        <v>Medium Income</v>
      </c>
      <c r="F982" s="9">
        <v>3</v>
      </c>
      <c r="G982" s="9" t="s">
        <v>15</v>
      </c>
      <c r="H982" s="9" t="s">
        <v>16</v>
      </c>
      <c r="I982" s="9" t="s">
        <v>17</v>
      </c>
      <c r="J982" s="9">
        <v>3</v>
      </c>
      <c r="K982" s="9" t="s">
        <v>41</v>
      </c>
      <c r="L982" s="9" t="s">
        <v>35</v>
      </c>
      <c r="M982" s="9">
        <v>40</v>
      </c>
      <c r="N982" s="9" t="str" cm="1">
        <f t="array" ref="N982">_xlfn.IFS(
M982&lt;=12,"Children",
M982&lt;=19,"Teens",
M982&lt;=29,"Young Adults",
M982&lt;=39,"Adults",
M982&lt;=59,"Middle-Aged",
M982&gt;=60,"Seniors"
)</f>
        <v>Middle-Aged</v>
      </c>
      <c r="O982" s="9" t="s">
        <v>17</v>
      </c>
      <c r="P982" s="9">
        <f t="shared" si="30"/>
        <v>1</v>
      </c>
      <c r="Q982" s="9">
        <v>1</v>
      </c>
      <c r="R982" s="10">
        <f t="shared" si="31"/>
        <v>80000</v>
      </c>
    </row>
    <row r="983" spans="1:18" x14ac:dyDescent="0.3">
      <c r="A983" s="9">
        <v>15982</v>
      </c>
      <c r="B983" s="9" t="s">
        <v>37</v>
      </c>
      <c r="C983" s="9" t="s">
        <v>39</v>
      </c>
      <c r="D983" s="10">
        <v>110000</v>
      </c>
      <c r="E983" s="9" t="str" cm="1">
        <f t="array" ref="E983">_xlfn.IFS(D983&lt;= 60000, "Low Income",
D983&lt;=120000,"Medium Income",
D983&gt; 120000,"High Income"
)</f>
        <v>Medium Income</v>
      </c>
      <c r="F983" s="9">
        <v>5</v>
      </c>
      <c r="G983" s="9" t="s">
        <v>21</v>
      </c>
      <c r="H983" s="9" t="s">
        <v>23</v>
      </c>
      <c r="I983" s="9" t="s">
        <v>17</v>
      </c>
      <c r="J983" s="9">
        <v>4</v>
      </c>
      <c r="K983" s="9" t="s">
        <v>24</v>
      </c>
      <c r="L983" s="9" t="s">
        <v>35</v>
      </c>
      <c r="M983" s="9">
        <v>46</v>
      </c>
      <c r="N983" s="9" t="str" cm="1">
        <f t="array" ref="N983">_xlfn.IFS(
M983&lt;=12,"Children",
M983&lt;=19,"Teens",
M983&lt;=29,"Young Adults",
M983&lt;=39,"Adults",
M983&lt;=59,"Middle-Aged",
M983&gt;=60,"Seniors"
)</f>
        <v>Middle-Aged</v>
      </c>
      <c r="O983" s="9" t="s">
        <v>20</v>
      </c>
      <c r="P983" s="9">
        <f t="shared" si="30"/>
        <v>0</v>
      </c>
      <c r="Q983" s="9">
        <v>1</v>
      </c>
      <c r="R983" s="10">
        <f t="shared" si="31"/>
        <v>0</v>
      </c>
    </row>
    <row r="984" spans="1:18" x14ac:dyDescent="0.3">
      <c r="A984" s="9">
        <v>28625</v>
      </c>
      <c r="B984" s="9" t="s">
        <v>40</v>
      </c>
      <c r="C984" s="9" t="s">
        <v>39</v>
      </c>
      <c r="D984" s="10">
        <v>40000</v>
      </c>
      <c r="E984" s="9" t="str" cm="1">
        <f t="array" ref="E984">_xlfn.IFS(D984&lt;= 60000, "Low Income",
D984&lt;=120000,"Medium Income",
D984&gt; 120000,"High Income"
)</f>
        <v>Low Income</v>
      </c>
      <c r="F984" s="9">
        <v>2</v>
      </c>
      <c r="G984" s="9" t="s">
        <v>21</v>
      </c>
      <c r="H984" s="9" t="s">
        <v>22</v>
      </c>
      <c r="I984" s="9" t="s">
        <v>20</v>
      </c>
      <c r="J984" s="9">
        <v>1</v>
      </c>
      <c r="K984" s="9" t="s">
        <v>29</v>
      </c>
      <c r="L984" s="9" t="s">
        <v>35</v>
      </c>
      <c r="M984" s="9">
        <v>47</v>
      </c>
      <c r="N984" s="9" t="str" cm="1">
        <f t="array" ref="N984">_xlfn.IFS(
M984&lt;=12,"Children",
M984&lt;=19,"Teens",
M984&lt;=29,"Young Adults",
M984&lt;=39,"Adults",
M984&lt;=59,"Middle-Aged",
M984&gt;=60,"Seniors"
)</f>
        <v>Middle-Aged</v>
      </c>
      <c r="O984" s="9" t="s">
        <v>17</v>
      </c>
      <c r="P984" s="9">
        <f t="shared" si="30"/>
        <v>1</v>
      </c>
      <c r="Q984" s="9">
        <v>1</v>
      </c>
      <c r="R984" s="10">
        <f t="shared" si="31"/>
        <v>40000</v>
      </c>
    </row>
    <row r="985" spans="1:18" x14ac:dyDescent="0.3">
      <c r="A985" s="9">
        <v>11269</v>
      </c>
      <c r="B985" s="9" t="s">
        <v>37</v>
      </c>
      <c r="C985" s="9" t="s">
        <v>39</v>
      </c>
      <c r="D985" s="10">
        <v>130000</v>
      </c>
      <c r="E985" s="9" t="str" cm="1">
        <f t="array" ref="E985">_xlfn.IFS(D985&lt;= 60000, "Low Income",
D985&lt;=120000,"Medium Income",
D985&gt; 120000,"High Income"
)</f>
        <v>High Income</v>
      </c>
      <c r="F985" s="9">
        <v>2</v>
      </c>
      <c r="G985" s="9" t="s">
        <v>34</v>
      </c>
      <c r="H985" s="9" t="s">
        <v>31</v>
      </c>
      <c r="I985" s="9" t="s">
        <v>17</v>
      </c>
      <c r="J985" s="9">
        <v>2</v>
      </c>
      <c r="K985" s="9" t="s">
        <v>18</v>
      </c>
      <c r="L985" s="9" t="s">
        <v>35</v>
      </c>
      <c r="M985" s="9">
        <v>41</v>
      </c>
      <c r="N985" s="9" t="str" cm="1">
        <f t="array" ref="N985">_xlfn.IFS(
M985&lt;=12,"Children",
M985&lt;=19,"Teens",
M985&lt;=29,"Young Adults",
M985&lt;=39,"Adults",
M985&lt;=59,"Middle-Aged",
M985&gt;=60,"Seniors"
)</f>
        <v>Middle-Aged</v>
      </c>
      <c r="O985" s="9" t="s">
        <v>20</v>
      </c>
      <c r="P985" s="9">
        <f t="shared" si="30"/>
        <v>0</v>
      </c>
      <c r="Q985" s="9">
        <v>1</v>
      </c>
      <c r="R985" s="10">
        <f t="shared" si="31"/>
        <v>0</v>
      </c>
    </row>
    <row r="986" spans="1:18" x14ac:dyDescent="0.3">
      <c r="A986" s="9">
        <v>25148</v>
      </c>
      <c r="B986" s="9" t="s">
        <v>37</v>
      </c>
      <c r="C986" s="9" t="s">
        <v>39</v>
      </c>
      <c r="D986" s="10">
        <v>60000</v>
      </c>
      <c r="E986" s="9" t="str" cm="1">
        <f t="array" ref="E986">_xlfn.IFS(D986&lt;= 60000, "Low Income",
D986&lt;=120000,"Medium Income",
D986&gt; 120000,"High Income"
)</f>
        <v>Low Income</v>
      </c>
      <c r="F986" s="9">
        <v>2</v>
      </c>
      <c r="G986" s="9" t="s">
        <v>30</v>
      </c>
      <c r="H986" s="9" t="s">
        <v>23</v>
      </c>
      <c r="I986" s="9" t="s">
        <v>20</v>
      </c>
      <c r="J986" s="9">
        <v>2</v>
      </c>
      <c r="K986" s="9" t="s">
        <v>29</v>
      </c>
      <c r="L986" s="9" t="s">
        <v>35</v>
      </c>
      <c r="M986" s="9">
        <v>48</v>
      </c>
      <c r="N986" s="9" t="str" cm="1">
        <f t="array" ref="N986">_xlfn.IFS(
M986&lt;=12,"Children",
M986&lt;=19,"Teens",
M986&lt;=29,"Young Adults",
M986&lt;=39,"Adults",
M986&lt;=59,"Middle-Aged",
M986&gt;=60,"Seniors"
)</f>
        <v>Middle-Aged</v>
      </c>
      <c r="O986" s="9" t="s">
        <v>17</v>
      </c>
      <c r="P986" s="9">
        <f t="shared" si="30"/>
        <v>1</v>
      </c>
      <c r="Q986" s="9">
        <v>1</v>
      </c>
      <c r="R986" s="10">
        <f t="shared" si="31"/>
        <v>60000</v>
      </c>
    </row>
    <row r="987" spans="1:18" x14ac:dyDescent="0.3">
      <c r="A987" s="9">
        <v>13920</v>
      </c>
      <c r="B987" s="9" t="s">
        <v>40</v>
      </c>
      <c r="C987" s="9" t="s">
        <v>38</v>
      </c>
      <c r="D987" s="10">
        <v>50000</v>
      </c>
      <c r="E987" s="9" t="str" cm="1">
        <f t="array" ref="E987">_xlfn.IFS(D987&lt;= 60000, "Low Income",
D987&lt;=120000,"Medium Income",
D987&gt; 120000,"High Income"
)</f>
        <v>Low Income</v>
      </c>
      <c r="F987" s="9">
        <v>4</v>
      </c>
      <c r="G987" s="9" t="s">
        <v>15</v>
      </c>
      <c r="H987" s="9" t="s">
        <v>16</v>
      </c>
      <c r="I987" s="9" t="s">
        <v>17</v>
      </c>
      <c r="J987" s="9">
        <v>2</v>
      </c>
      <c r="K987" s="9" t="s">
        <v>18</v>
      </c>
      <c r="L987" s="9" t="s">
        <v>35</v>
      </c>
      <c r="M987" s="9">
        <v>42</v>
      </c>
      <c r="N987" s="9" t="str" cm="1">
        <f t="array" ref="N987">_xlfn.IFS(
M987&lt;=12,"Children",
M987&lt;=19,"Teens",
M987&lt;=29,"Young Adults",
M987&lt;=39,"Adults",
M987&lt;=59,"Middle-Aged",
M987&gt;=60,"Seniors"
)</f>
        <v>Middle-Aged</v>
      </c>
      <c r="O987" s="9" t="s">
        <v>20</v>
      </c>
      <c r="P987" s="9">
        <f t="shared" si="30"/>
        <v>0</v>
      </c>
      <c r="Q987" s="9">
        <v>1</v>
      </c>
      <c r="R987" s="10">
        <f t="shared" si="31"/>
        <v>0</v>
      </c>
    </row>
    <row r="988" spans="1:18" x14ac:dyDescent="0.3">
      <c r="A988" s="9">
        <v>23704</v>
      </c>
      <c r="B988" s="9" t="s">
        <v>40</v>
      </c>
      <c r="C988" s="9" t="s">
        <v>39</v>
      </c>
      <c r="D988" s="10">
        <v>40000</v>
      </c>
      <c r="E988" s="9" t="str" cm="1">
        <f t="array" ref="E988">_xlfn.IFS(D988&lt;= 60000, "Low Income",
D988&lt;=120000,"Medium Income",
D988&gt; 120000,"High Income"
)</f>
        <v>Low Income</v>
      </c>
      <c r="F988" s="9">
        <v>5</v>
      </c>
      <c r="G988" s="9" t="s">
        <v>30</v>
      </c>
      <c r="H988" s="9" t="s">
        <v>23</v>
      </c>
      <c r="I988" s="9" t="s">
        <v>17</v>
      </c>
      <c r="J988" s="9">
        <v>4</v>
      </c>
      <c r="K988" s="9" t="s">
        <v>41</v>
      </c>
      <c r="L988" s="9" t="s">
        <v>35</v>
      </c>
      <c r="M988" s="9">
        <v>60</v>
      </c>
      <c r="N988" s="9" t="str" cm="1">
        <f t="array" ref="N988">_xlfn.IFS(
M988&lt;=12,"Children",
M988&lt;=19,"Teens",
M988&lt;=29,"Young Adults",
M988&lt;=39,"Adults",
M988&lt;=59,"Middle-Aged",
M988&gt;=60,"Seniors"
)</f>
        <v>Seniors</v>
      </c>
      <c r="O988" s="9" t="s">
        <v>17</v>
      </c>
      <c r="P988" s="9">
        <f t="shared" si="30"/>
        <v>1</v>
      </c>
      <c r="Q988" s="9">
        <v>1</v>
      </c>
      <c r="R988" s="10">
        <f t="shared" si="31"/>
        <v>40000</v>
      </c>
    </row>
    <row r="989" spans="1:18" x14ac:dyDescent="0.3">
      <c r="A989" s="9">
        <v>28972</v>
      </c>
      <c r="B989" s="9" t="s">
        <v>40</v>
      </c>
      <c r="C989" s="9" t="s">
        <v>38</v>
      </c>
      <c r="D989" s="10">
        <v>60000</v>
      </c>
      <c r="E989" s="9" t="str" cm="1">
        <f t="array" ref="E989">_xlfn.IFS(D989&lt;= 60000, "Low Income",
D989&lt;=120000,"Medium Income",
D989&gt; 120000,"High Income"
)</f>
        <v>Low Income</v>
      </c>
      <c r="F989" s="9">
        <v>3</v>
      </c>
      <c r="G989" s="9" t="s">
        <v>34</v>
      </c>
      <c r="H989" s="9" t="s">
        <v>31</v>
      </c>
      <c r="I989" s="9" t="s">
        <v>17</v>
      </c>
      <c r="J989" s="9">
        <v>2</v>
      </c>
      <c r="K989" s="9" t="s">
        <v>41</v>
      </c>
      <c r="L989" s="9" t="s">
        <v>35</v>
      </c>
      <c r="M989" s="9">
        <v>66</v>
      </c>
      <c r="N989" s="9" t="str" cm="1">
        <f t="array" ref="N989">_xlfn.IFS(
M989&lt;=12,"Children",
M989&lt;=19,"Teens",
M989&lt;=29,"Young Adults",
M989&lt;=39,"Adults",
M989&lt;=59,"Middle-Aged",
M989&gt;=60,"Seniors"
)</f>
        <v>Seniors</v>
      </c>
      <c r="O989" s="9" t="s">
        <v>20</v>
      </c>
      <c r="P989" s="9">
        <f t="shared" si="30"/>
        <v>0</v>
      </c>
      <c r="Q989" s="9">
        <v>1</v>
      </c>
      <c r="R989" s="10">
        <f t="shared" si="31"/>
        <v>0</v>
      </c>
    </row>
    <row r="990" spans="1:18" x14ac:dyDescent="0.3">
      <c r="A990" s="9">
        <v>22730</v>
      </c>
      <c r="B990" s="9" t="s">
        <v>37</v>
      </c>
      <c r="C990" s="9" t="s">
        <v>39</v>
      </c>
      <c r="D990" s="10">
        <v>70000</v>
      </c>
      <c r="E990" s="9" t="str" cm="1">
        <f t="array" ref="E990">_xlfn.IFS(D990&lt;= 60000, "Low Income",
D990&lt;=120000,"Medium Income",
D990&gt; 120000,"High Income"
)</f>
        <v>Medium Income</v>
      </c>
      <c r="F990" s="9">
        <v>5</v>
      </c>
      <c r="G990" s="9" t="s">
        <v>15</v>
      </c>
      <c r="H990" s="9" t="s">
        <v>31</v>
      </c>
      <c r="I990" s="9" t="s">
        <v>17</v>
      </c>
      <c r="J990" s="9">
        <v>2</v>
      </c>
      <c r="K990" s="9" t="s">
        <v>41</v>
      </c>
      <c r="L990" s="9" t="s">
        <v>35</v>
      </c>
      <c r="M990" s="9">
        <v>63</v>
      </c>
      <c r="N990" s="9" t="str" cm="1">
        <f t="array" ref="N990">_xlfn.IFS(
M990&lt;=12,"Children",
M990&lt;=19,"Teens",
M990&lt;=29,"Young Adults",
M990&lt;=39,"Adults",
M990&lt;=59,"Middle-Aged",
M990&gt;=60,"Seniors"
)</f>
        <v>Seniors</v>
      </c>
      <c r="O990" s="9" t="s">
        <v>20</v>
      </c>
      <c r="P990" s="9">
        <f t="shared" si="30"/>
        <v>0</v>
      </c>
      <c r="Q990" s="9">
        <v>1</v>
      </c>
      <c r="R990" s="10">
        <f t="shared" si="31"/>
        <v>0</v>
      </c>
    </row>
    <row r="991" spans="1:18" x14ac:dyDescent="0.3">
      <c r="A991" s="9">
        <v>29134</v>
      </c>
      <c r="B991" s="9" t="s">
        <v>37</v>
      </c>
      <c r="C991" s="9" t="s">
        <v>39</v>
      </c>
      <c r="D991" s="10">
        <v>60000</v>
      </c>
      <c r="E991" s="9" t="str" cm="1">
        <f t="array" ref="E991">_xlfn.IFS(D991&lt;= 60000, "Low Income",
D991&lt;=120000,"Medium Income",
D991&gt; 120000,"High Income"
)</f>
        <v>Low Income</v>
      </c>
      <c r="F991" s="9">
        <v>4</v>
      </c>
      <c r="G991" s="9" t="s">
        <v>15</v>
      </c>
      <c r="H991" s="9" t="s">
        <v>16</v>
      </c>
      <c r="I991" s="9" t="s">
        <v>20</v>
      </c>
      <c r="J991" s="9">
        <v>3</v>
      </c>
      <c r="K991" s="9" t="s">
        <v>41</v>
      </c>
      <c r="L991" s="9" t="s">
        <v>35</v>
      </c>
      <c r="M991" s="9">
        <v>42</v>
      </c>
      <c r="N991" s="9" t="str" cm="1">
        <f t="array" ref="N991">_xlfn.IFS(
M991&lt;=12,"Children",
M991&lt;=19,"Teens",
M991&lt;=29,"Young Adults",
M991&lt;=39,"Adults",
M991&lt;=59,"Middle-Aged",
M991&gt;=60,"Seniors"
)</f>
        <v>Middle-Aged</v>
      </c>
      <c r="O991" s="9" t="s">
        <v>20</v>
      </c>
      <c r="P991" s="9">
        <f t="shared" si="30"/>
        <v>0</v>
      </c>
      <c r="Q991" s="9">
        <v>1</v>
      </c>
      <c r="R991" s="10">
        <f t="shared" si="31"/>
        <v>0</v>
      </c>
    </row>
    <row r="992" spans="1:18" x14ac:dyDescent="0.3">
      <c r="A992" s="9">
        <v>14332</v>
      </c>
      <c r="B992" s="9" t="s">
        <v>40</v>
      </c>
      <c r="C992" s="9" t="s">
        <v>38</v>
      </c>
      <c r="D992" s="10">
        <v>30000</v>
      </c>
      <c r="E992" s="9" t="str" cm="1">
        <f t="array" ref="E992">_xlfn.IFS(D992&lt;= 60000, "Low Income",
D992&lt;=120000,"Medium Income",
D992&gt; 120000,"High Income"
)</f>
        <v>Low Income</v>
      </c>
      <c r="F992" s="9">
        <v>0</v>
      </c>
      <c r="G992" s="9" t="s">
        <v>30</v>
      </c>
      <c r="H992" s="9" t="s">
        <v>16</v>
      </c>
      <c r="I992" s="9" t="s">
        <v>20</v>
      </c>
      <c r="J992" s="9">
        <v>2</v>
      </c>
      <c r="K992" s="9" t="s">
        <v>26</v>
      </c>
      <c r="L992" s="9" t="s">
        <v>35</v>
      </c>
      <c r="M992" s="9">
        <v>26</v>
      </c>
      <c r="N992" s="9" t="str" cm="1">
        <f t="array" ref="N992">_xlfn.IFS(
M992&lt;=12,"Children",
M992&lt;=19,"Teens",
M992&lt;=29,"Young Adults",
M992&lt;=39,"Adults",
M992&lt;=59,"Middle-Aged",
M992&gt;=60,"Seniors"
)</f>
        <v>Young Adults</v>
      </c>
      <c r="O992" s="9" t="s">
        <v>20</v>
      </c>
      <c r="P992" s="9">
        <f t="shared" si="30"/>
        <v>0</v>
      </c>
      <c r="Q992" s="9">
        <v>1</v>
      </c>
      <c r="R992" s="10">
        <f t="shared" si="31"/>
        <v>0</v>
      </c>
    </row>
    <row r="993" spans="1:18" x14ac:dyDescent="0.3">
      <c r="A993" s="9">
        <v>19117</v>
      </c>
      <c r="B993" s="9" t="s">
        <v>40</v>
      </c>
      <c r="C993" s="9" t="s">
        <v>38</v>
      </c>
      <c r="D993" s="10">
        <v>60000</v>
      </c>
      <c r="E993" s="9" t="str" cm="1">
        <f t="array" ref="E993">_xlfn.IFS(D993&lt;= 60000, "Low Income",
D993&lt;=120000,"Medium Income",
D993&gt; 120000,"High Income"
)</f>
        <v>Low Income</v>
      </c>
      <c r="F993" s="9">
        <v>1</v>
      </c>
      <c r="G993" s="9" t="s">
        <v>34</v>
      </c>
      <c r="H993" s="9" t="s">
        <v>23</v>
      </c>
      <c r="I993" s="9" t="s">
        <v>17</v>
      </c>
      <c r="J993" s="9">
        <v>0</v>
      </c>
      <c r="K993" s="9" t="s">
        <v>24</v>
      </c>
      <c r="L993" s="9" t="s">
        <v>35</v>
      </c>
      <c r="M993" s="9">
        <v>36</v>
      </c>
      <c r="N993" s="9" t="str" cm="1">
        <f t="array" ref="N993">_xlfn.IFS(
M993&lt;=12,"Children",
M993&lt;=19,"Teens",
M993&lt;=29,"Young Adults",
M993&lt;=39,"Adults",
M993&lt;=59,"Middle-Aged",
M993&gt;=60,"Seniors"
)</f>
        <v>Adults</v>
      </c>
      <c r="O993" s="9" t="s">
        <v>17</v>
      </c>
      <c r="P993" s="9">
        <f t="shared" si="30"/>
        <v>1</v>
      </c>
      <c r="Q993" s="9">
        <v>1</v>
      </c>
      <c r="R993" s="10">
        <f t="shared" si="31"/>
        <v>60000</v>
      </c>
    </row>
    <row r="994" spans="1:18" x14ac:dyDescent="0.3">
      <c r="A994" s="9">
        <v>22864</v>
      </c>
      <c r="B994" s="9" t="s">
        <v>37</v>
      </c>
      <c r="C994" s="9" t="s">
        <v>39</v>
      </c>
      <c r="D994" s="10">
        <v>90000</v>
      </c>
      <c r="E994" s="9" t="str" cm="1">
        <f t="array" ref="E994">_xlfn.IFS(D994&lt;= 60000, "Low Income",
D994&lt;=120000,"Medium Income",
D994&gt; 120000,"High Income"
)</f>
        <v>Medium Income</v>
      </c>
      <c r="F994" s="9">
        <v>2</v>
      </c>
      <c r="G994" s="9" t="s">
        <v>21</v>
      </c>
      <c r="H994" s="9" t="s">
        <v>23</v>
      </c>
      <c r="I994" s="9" t="s">
        <v>20</v>
      </c>
      <c r="J994" s="9">
        <v>0</v>
      </c>
      <c r="K994" s="9" t="s">
        <v>26</v>
      </c>
      <c r="L994" s="9" t="s">
        <v>35</v>
      </c>
      <c r="M994" s="9">
        <v>49</v>
      </c>
      <c r="N994" s="9" t="str" cm="1">
        <f t="array" ref="N994">_xlfn.IFS(
M994&lt;=12,"Children",
M994&lt;=19,"Teens",
M994&lt;=29,"Young Adults",
M994&lt;=39,"Adults",
M994&lt;=59,"Middle-Aged",
M994&gt;=60,"Seniors"
)</f>
        <v>Middle-Aged</v>
      </c>
      <c r="O994" s="9" t="s">
        <v>17</v>
      </c>
      <c r="P994" s="9">
        <f t="shared" si="30"/>
        <v>1</v>
      </c>
      <c r="Q994" s="9">
        <v>1</v>
      </c>
      <c r="R994" s="10">
        <f t="shared" si="31"/>
        <v>90000</v>
      </c>
    </row>
    <row r="995" spans="1:18" x14ac:dyDescent="0.3">
      <c r="A995" s="9">
        <v>11292</v>
      </c>
      <c r="B995" s="9" t="s">
        <v>40</v>
      </c>
      <c r="C995" s="9" t="s">
        <v>39</v>
      </c>
      <c r="D995" s="10">
        <v>150000</v>
      </c>
      <c r="E995" s="9" t="str" cm="1">
        <f t="array" ref="E995">_xlfn.IFS(D995&lt;= 60000, "Low Income",
D995&lt;=120000,"Medium Income",
D995&gt; 120000,"High Income"
)</f>
        <v>High Income</v>
      </c>
      <c r="F995" s="9">
        <v>1</v>
      </c>
      <c r="G995" s="9" t="s">
        <v>21</v>
      </c>
      <c r="H995" s="9" t="s">
        <v>23</v>
      </c>
      <c r="I995" s="9" t="s">
        <v>20</v>
      </c>
      <c r="J995" s="9">
        <v>3</v>
      </c>
      <c r="K995" s="9" t="s">
        <v>18</v>
      </c>
      <c r="L995" s="9" t="s">
        <v>35</v>
      </c>
      <c r="M995" s="9">
        <v>44</v>
      </c>
      <c r="N995" s="9" t="str" cm="1">
        <f t="array" ref="N995">_xlfn.IFS(
M995&lt;=12,"Children",
M995&lt;=19,"Teens",
M995&lt;=29,"Young Adults",
M995&lt;=39,"Adults",
M995&lt;=59,"Middle-Aged",
M995&gt;=60,"Seniors"
)</f>
        <v>Middle-Aged</v>
      </c>
      <c r="O995" s="9" t="s">
        <v>17</v>
      </c>
      <c r="P995" s="9">
        <f t="shared" si="30"/>
        <v>1</v>
      </c>
      <c r="Q995" s="9">
        <v>1</v>
      </c>
      <c r="R995" s="10">
        <f t="shared" si="31"/>
        <v>150000</v>
      </c>
    </row>
    <row r="996" spans="1:18" x14ac:dyDescent="0.3">
      <c r="A996" s="9">
        <v>13466</v>
      </c>
      <c r="B996" s="9" t="s">
        <v>37</v>
      </c>
      <c r="C996" s="9" t="s">
        <v>39</v>
      </c>
      <c r="D996" s="10">
        <v>80000</v>
      </c>
      <c r="E996" s="9" t="str" cm="1">
        <f t="array" ref="E996">_xlfn.IFS(D996&lt;= 60000, "Low Income",
D996&lt;=120000,"Medium Income",
D996&gt; 120000,"High Income"
)</f>
        <v>Medium Income</v>
      </c>
      <c r="F996" s="9">
        <v>5</v>
      </c>
      <c r="G996" s="9" t="s">
        <v>21</v>
      </c>
      <c r="H996" s="9" t="s">
        <v>23</v>
      </c>
      <c r="I996" s="9" t="s">
        <v>17</v>
      </c>
      <c r="J996" s="9">
        <v>3</v>
      </c>
      <c r="K996" s="9" t="s">
        <v>29</v>
      </c>
      <c r="L996" s="9" t="s">
        <v>35</v>
      </c>
      <c r="M996" s="9">
        <v>46</v>
      </c>
      <c r="N996" s="9" t="str" cm="1">
        <f t="array" ref="N996">_xlfn.IFS(
M996&lt;=12,"Children",
M996&lt;=19,"Teens",
M996&lt;=29,"Young Adults",
M996&lt;=39,"Adults",
M996&lt;=59,"Middle-Aged",
M996&gt;=60,"Seniors"
)</f>
        <v>Middle-Aged</v>
      </c>
      <c r="O996" s="9" t="s">
        <v>20</v>
      </c>
      <c r="P996" s="9">
        <f t="shared" si="30"/>
        <v>0</v>
      </c>
      <c r="Q996" s="9">
        <v>1</v>
      </c>
      <c r="R996" s="10">
        <f t="shared" si="31"/>
        <v>0</v>
      </c>
    </row>
    <row r="997" spans="1:18" x14ac:dyDescent="0.3">
      <c r="A997" s="9">
        <v>23731</v>
      </c>
      <c r="B997" s="9" t="s">
        <v>37</v>
      </c>
      <c r="C997" s="9" t="s">
        <v>39</v>
      </c>
      <c r="D997" s="10">
        <v>60000</v>
      </c>
      <c r="E997" s="9" t="str" cm="1">
        <f t="array" ref="E997">_xlfn.IFS(D997&lt;= 60000, "Low Income",
D997&lt;=120000,"Medium Income",
D997&gt; 120000,"High Income"
)</f>
        <v>Low Income</v>
      </c>
      <c r="F997" s="11">
        <v>2</v>
      </c>
      <c r="G997" s="9" t="s">
        <v>30</v>
      </c>
      <c r="H997" s="9" t="s">
        <v>23</v>
      </c>
      <c r="I997" s="9" t="s">
        <v>17</v>
      </c>
      <c r="J997" s="9">
        <v>2</v>
      </c>
      <c r="K997" s="9" t="s">
        <v>24</v>
      </c>
      <c r="L997" s="9" t="s">
        <v>35</v>
      </c>
      <c r="M997" s="9">
        <v>54</v>
      </c>
      <c r="N997" s="9" t="str" cm="1">
        <f t="array" ref="N997">_xlfn.IFS(
M997&lt;=12,"Children",
M997&lt;=19,"Teens",
M997&lt;=29,"Young Adults",
M997&lt;=39,"Adults",
M997&lt;=59,"Middle-Aged",
M997&gt;=60,"Seniors"
)</f>
        <v>Middle-Aged</v>
      </c>
      <c r="O997" s="9" t="s">
        <v>17</v>
      </c>
      <c r="P997" s="9">
        <f t="shared" si="30"/>
        <v>1</v>
      </c>
      <c r="Q997" s="9">
        <v>1</v>
      </c>
      <c r="R997" s="10">
        <f t="shared" si="31"/>
        <v>60000</v>
      </c>
    </row>
    <row r="998" spans="1:18" x14ac:dyDescent="0.3">
      <c r="A998" s="9">
        <v>28672</v>
      </c>
      <c r="B998" s="9" t="s">
        <v>40</v>
      </c>
      <c r="C998" s="9" t="s">
        <v>39</v>
      </c>
      <c r="D998" s="10">
        <v>70000</v>
      </c>
      <c r="E998" s="9" t="str" cm="1">
        <f t="array" ref="E998">_xlfn.IFS(D998&lt;= 60000, "Low Income",
D998&lt;=120000,"Medium Income",
D998&gt; 120000,"High Income"
)</f>
        <v>Medium Income</v>
      </c>
      <c r="F998" s="9">
        <v>4</v>
      </c>
      <c r="G998" s="9" t="s">
        <v>34</v>
      </c>
      <c r="H998" s="9" t="s">
        <v>23</v>
      </c>
      <c r="I998" s="9" t="s">
        <v>17</v>
      </c>
      <c r="J998" s="9">
        <v>0</v>
      </c>
      <c r="K998" s="9" t="s">
        <v>24</v>
      </c>
      <c r="L998" s="9" t="s">
        <v>35</v>
      </c>
      <c r="M998" s="9">
        <v>35</v>
      </c>
      <c r="N998" s="9" t="str" cm="1">
        <f t="array" ref="N998">_xlfn.IFS(
M998&lt;=12,"Children",
M998&lt;=19,"Teens",
M998&lt;=29,"Young Adults",
M998&lt;=39,"Adults",
M998&lt;=59,"Middle-Aged",
M998&gt;=60,"Seniors"
)</f>
        <v>Adults</v>
      </c>
      <c r="O998" s="9" t="s">
        <v>17</v>
      </c>
      <c r="P998" s="9">
        <f t="shared" si="30"/>
        <v>1</v>
      </c>
      <c r="Q998" s="9">
        <v>1</v>
      </c>
      <c r="R998" s="10">
        <f t="shared" si="31"/>
        <v>70000</v>
      </c>
    </row>
    <row r="999" spans="1:18" x14ac:dyDescent="0.3">
      <c r="A999" s="9">
        <v>11809</v>
      </c>
      <c r="B999" s="9" t="s">
        <v>37</v>
      </c>
      <c r="C999" s="9" t="s">
        <v>39</v>
      </c>
      <c r="D999" s="10">
        <v>60000</v>
      </c>
      <c r="E999" s="9" t="str" cm="1">
        <f t="array" ref="E999">_xlfn.IFS(D999&lt;= 60000, "Low Income",
D999&lt;=120000,"Medium Income",
D999&gt; 120000,"High Income"
)</f>
        <v>Low Income</v>
      </c>
      <c r="F999" s="9">
        <v>2</v>
      </c>
      <c r="G999" s="9" t="s">
        <v>15</v>
      </c>
      <c r="H999" s="9" t="s">
        <v>16</v>
      </c>
      <c r="I999" s="9" t="s">
        <v>17</v>
      </c>
      <c r="J999" s="9">
        <v>0</v>
      </c>
      <c r="K999" s="9" t="s">
        <v>18</v>
      </c>
      <c r="L999" s="9" t="s">
        <v>35</v>
      </c>
      <c r="M999" s="9">
        <v>38</v>
      </c>
      <c r="N999" s="9" t="str" cm="1">
        <f t="array" ref="N999">_xlfn.IFS(
M999&lt;=12,"Children",
M999&lt;=19,"Teens",
M999&lt;=29,"Young Adults",
M999&lt;=39,"Adults",
M999&lt;=59,"Middle-Aged",
M999&gt;=60,"Seniors"
)</f>
        <v>Adults</v>
      </c>
      <c r="O999" s="9" t="s">
        <v>17</v>
      </c>
      <c r="P999" s="9">
        <f t="shared" si="30"/>
        <v>1</v>
      </c>
      <c r="Q999" s="9">
        <v>1</v>
      </c>
      <c r="R999" s="10">
        <f t="shared" si="31"/>
        <v>60000</v>
      </c>
    </row>
    <row r="1000" spans="1:18" x14ac:dyDescent="0.3">
      <c r="A1000" s="9">
        <v>19664</v>
      </c>
      <c r="B1000" s="9" t="s">
        <v>40</v>
      </c>
      <c r="C1000" s="9" t="s">
        <v>39</v>
      </c>
      <c r="D1000" s="10">
        <v>100000</v>
      </c>
      <c r="E1000" s="9" t="str" cm="1">
        <f t="array" ref="E1000">_xlfn.IFS(D1000&lt;= 60000, "Low Income",
D1000&lt;=120000,"Medium Income",
D1000&gt; 120000,"High Income"
)</f>
        <v>Medium Income</v>
      </c>
      <c r="F1000" s="9">
        <v>3</v>
      </c>
      <c r="G1000" s="9" t="s">
        <v>15</v>
      </c>
      <c r="H1000" s="9" t="s">
        <v>31</v>
      </c>
      <c r="I1000" s="9" t="s">
        <v>20</v>
      </c>
      <c r="J1000" s="9">
        <v>3</v>
      </c>
      <c r="K1000" s="9" t="s">
        <v>29</v>
      </c>
      <c r="L1000" s="9" t="s">
        <v>35</v>
      </c>
      <c r="M1000" s="9">
        <v>38</v>
      </c>
      <c r="N1000" s="9" t="str" cm="1">
        <f t="array" ref="N1000">_xlfn.IFS(
M1000&lt;=12,"Children",
M1000&lt;=19,"Teens",
M1000&lt;=29,"Young Adults",
M1000&lt;=39,"Adults",
M1000&lt;=59,"Middle-Aged",
M1000&gt;=60,"Seniors"
)</f>
        <v>Adults</v>
      </c>
      <c r="O1000" s="9" t="s">
        <v>20</v>
      </c>
      <c r="P1000" s="9">
        <f t="shared" si="30"/>
        <v>0</v>
      </c>
      <c r="Q1000" s="9">
        <v>1</v>
      </c>
      <c r="R1000" s="10">
        <f t="shared" si="31"/>
        <v>0</v>
      </c>
    </row>
    <row r="1001" spans="1:18" x14ac:dyDescent="0.3">
      <c r="A1001" s="9">
        <v>12121</v>
      </c>
      <c r="B1001" s="9" t="s">
        <v>40</v>
      </c>
      <c r="C1001" s="9" t="s">
        <v>39</v>
      </c>
      <c r="D1001" s="10">
        <v>60000</v>
      </c>
      <c r="E1001" s="9" t="str" cm="1">
        <f t="array" ref="E1001">_xlfn.IFS(D1001&lt;= 60000, "Low Income",
D1001&lt;=120000,"Medium Income",
D1001&gt; 120000,"High Income"
)</f>
        <v>Low Income</v>
      </c>
      <c r="F1001" s="9">
        <v>3</v>
      </c>
      <c r="G1001" s="9" t="s">
        <v>30</v>
      </c>
      <c r="H1001" s="9" t="s">
        <v>23</v>
      </c>
      <c r="I1001" s="9" t="s">
        <v>17</v>
      </c>
      <c r="J1001" s="9">
        <v>2</v>
      </c>
      <c r="K1001" s="9" t="s">
        <v>41</v>
      </c>
      <c r="L1001" s="9" t="s">
        <v>35</v>
      </c>
      <c r="M1001" s="9">
        <v>53</v>
      </c>
      <c r="N1001" s="9" t="str" cm="1">
        <f t="array" ref="N1001">_xlfn.IFS(
M1001&lt;=12,"Children",
M1001&lt;=19,"Teens",
M1001&lt;=29,"Young Adults",
M1001&lt;=39,"Adults",
M1001&lt;=59,"Middle-Aged",
M1001&gt;=60,"Seniors"
)</f>
        <v>Middle-Aged</v>
      </c>
      <c r="O1001" s="9" t="s">
        <v>17</v>
      </c>
      <c r="P1001" s="9">
        <f t="shared" si="30"/>
        <v>1</v>
      </c>
      <c r="Q1001" s="9">
        <v>1</v>
      </c>
      <c r="R1001" s="10">
        <f t="shared" si="31"/>
        <v>60000</v>
      </c>
    </row>
  </sheetData>
  <autoFilter ref="A1:O1001" xr:uid="{2ED3EC2C-DE1D-4544-B47F-91E14F0D6C60}"/>
  <conditionalFormatting sqref="A2">
    <cfRule type="duplicateValues" dxfId="7" priority="4"/>
  </conditionalFormatting>
  <conditionalFormatting sqref="A2:A1001">
    <cfRule type="duplicateValues" dxfId="6" priority="2"/>
    <cfRule type="duplicateValues" dxfId="5" priority="3"/>
  </conditionalFormatting>
  <conditionalFormatting sqref="E1 P1 A1:D1001 F1:O1001">
    <cfRule type="containsBlanks" dxfId="4" priority="1">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DC96-5097-4A30-868F-D30DC7D9E67A}">
  <dimension ref="A3:C14"/>
  <sheetViews>
    <sheetView workbookViewId="0">
      <selection activeCell="C28" sqref="C28"/>
    </sheetView>
  </sheetViews>
  <sheetFormatPr defaultRowHeight="14.4" x14ac:dyDescent="0.3"/>
  <cols>
    <col min="1" max="1" width="13.88671875" bestFit="1" customWidth="1"/>
    <col min="2" max="2" width="16.44140625" bestFit="1" customWidth="1"/>
    <col min="3" max="3" width="18.109375" bestFit="1" customWidth="1"/>
    <col min="4" max="4" width="2" bestFit="1" customWidth="1"/>
  </cols>
  <sheetData>
    <row r="3" spans="1:3" x14ac:dyDescent="0.3">
      <c r="A3" s="4" t="s">
        <v>36</v>
      </c>
      <c r="B3" s="4" t="s">
        <v>71</v>
      </c>
      <c r="C3" t="s">
        <v>84</v>
      </c>
    </row>
    <row r="4" spans="1:3" x14ac:dyDescent="0.3">
      <c r="A4" t="s">
        <v>54</v>
      </c>
      <c r="B4" t="s">
        <v>73</v>
      </c>
      <c r="C4">
        <v>4</v>
      </c>
    </row>
    <row r="5" spans="1:3" x14ac:dyDescent="0.3">
      <c r="A5" t="s">
        <v>54</v>
      </c>
      <c r="B5" t="s">
        <v>74</v>
      </c>
      <c r="C5">
        <v>115</v>
      </c>
    </row>
    <row r="6" spans="1:3" x14ac:dyDescent="0.3">
      <c r="A6" t="s">
        <v>54</v>
      </c>
      <c r="B6" t="s">
        <v>75</v>
      </c>
      <c r="C6">
        <v>60</v>
      </c>
    </row>
    <row r="7" spans="1:3" x14ac:dyDescent="0.3">
      <c r="A7" t="s">
        <v>53</v>
      </c>
      <c r="B7" t="s">
        <v>73</v>
      </c>
      <c r="C7">
        <v>16</v>
      </c>
    </row>
    <row r="8" spans="1:3" x14ac:dyDescent="0.3">
      <c r="A8" t="s">
        <v>53</v>
      </c>
      <c r="B8" t="s">
        <v>74</v>
      </c>
      <c r="C8">
        <v>133</v>
      </c>
    </row>
    <row r="9" spans="1:3" x14ac:dyDescent="0.3">
      <c r="A9" t="s">
        <v>53</v>
      </c>
      <c r="B9" t="s">
        <v>75</v>
      </c>
      <c r="C9">
        <v>81</v>
      </c>
    </row>
    <row r="10" spans="1:3" x14ac:dyDescent="0.3">
      <c r="A10" t="s">
        <v>52</v>
      </c>
      <c r="B10" t="s">
        <v>73</v>
      </c>
      <c r="C10">
        <v>2</v>
      </c>
    </row>
    <row r="11" spans="1:3" x14ac:dyDescent="0.3">
      <c r="A11" t="s">
        <v>52</v>
      </c>
      <c r="B11" t="s">
        <v>74</v>
      </c>
      <c r="C11">
        <v>23</v>
      </c>
    </row>
    <row r="12" spans="1:3" x14ac:dyDescent="0.3">
      <c r="A12" t="s">
        <v>52</v>
      </c>
      <c r="B12" t="s">
        <v>75</v>
      </c>
      <c r="C12">
        <v>12</v>
      </c>
    </row>
    <row r="13" spans="1:3" x14ac:dyDescent="0.3">
      <c r="A13" t="s">
        <v>85</v>
      </c>
      <c r="B13" t="s">
        <v>74</v>
      </c>
      <c r="C13">
        <v>33</v>
      </c>
    </row>
    <row r="14" spans="1:3" x14ac:dyDescent="0.3">
      <c r="A14" t="s">
        <v>85</v>
      </c>
      <c r="B14" t="s">
        <v>75</v>
      </c>
      <c r="C14">
        <v>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2B71E-702E-4052-8B36-38C8843BDFD4}">
  <dimension ref="A1:N1001"/>
  <sheetViews>
    <sheetView topLeftCell="B6" workbookViewId="0">
      <selection activeCell="Z9" sqref="Z9"/>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37</v>
      </c>
      <c r="C2" t="s">
        <v>38</v>
      </c>
      <c r="D2" s="3">
        <v>40000</v>
      </c>
      <c r="E2">
        <v>1</v>
      </c>
      <c r="F2" t="s">
        <v>15</v>
      </c>
      <c r="G2" t="s">
        <v>16</v>
      </c>
      <c r="H2" t="s">
        <v>17</v>
      </c>
      <c r="I2">
        <v>0</v>
      </c>
      <c r="J2" t="s">
        <v>18</v>
      </c>
      <c r="K2" t="s">
        <v>19</v>
      </c>
      <c r="L2">
        <v>42</v>
      </c>
      <c r="M2" t="str" cm="1">
        <f t="array" ref="M2">_xlfn.IFS(
L2&lt;=12,"Children",
L2&lt;=19,"Teens",
L2&lt;=29,"Young Adults",
L2&lt;=39,"Adults",
L2&lt;=59,"Middle-Aged",
L2&gt;=60,"Seniors"
)</f>
        <v>Middle-Aged</v>
      </c>
      <c r="N2" t="s">
        <v>20</v>
      </c>
    </row>
    <row r="3" spans="1:14" x14ac:dyDescent="0.3">
      <c r="A3">
        <v>24107</v>
      </c>
      <c r="B3" t="s">
        <v>37</v>
      </c>
      <c r="C3" t="s">
        <v>39</v>
      </c>
      <c r="D3" s="3">
        <v>30000</v>
      </c>
      <c r="E3">
        <v>3</v>
      </c>
      <c r="F3" t="s">
        <v>21</v>
      </c>
      <c r="G3" t="s">
        <v>22</v>
      </c>
      <c r="H3" t="s">
        <v>17</v>
      </c>
      <c r="I3">
        <v>1</v>
      </c>
      <c r="J3" t="s">
        <v>18</v>
      </c>
      <c r="K3" t="s">
        <v>19</v>
      </c>
      <c r="L3">
        <v>43</v>
      </c>
      <c r="M3" t="str" cm="1">
        <f t="array" ref="M3">_xlfn.IFS(
L3&lt;=12,"Children",
L3&lt;=19,"Teens",
L3&lt;=29,"Young Adults",
L3&lt;=39,"Adults",
L3&lt;=59,"Middle-Aged",
L3&gt;=60,"Seniors"
)</f>
        <v>Middle-Aged</v>
      </c>
      <c r="N3" t="s">
        <v>20</v>
      </c>
    </row>
    <row r="4" spans="1:14" x14ac:dyDescent="0.3">
      <c r="A4">
        <v>14177</v>
      </c>
      <c r="B4" t="s">
        <v>37</v>
      </c>
      <c r="C4" t="s">
        <v>39</v>
      </c>
      <c r="D4" s="3">
        <v>80000</v>
      </c>
      <c r="E4">
        <v>5</v>
      </c>
      <c r="F4" t="s">
        <v>21</v>
      </c>
      <c r="G4" t="s">
        <v>23</v>
      </c>
      <c r="H4" t="s">
        <v>20</v>
      </c>
      <c r="I4">
        <v>2</v>
      </c>
      <c r="J4" t="s">
        <v>24</v>
      </c>
      <c r="K4" t="s">
        <v>19</v>
      </c>
      <c r="L4">
        <v>60</v>
      </c>
      <c r="M4" t="str" cm="1">
        <f t="array" ref="M4">_xlfn.IFS(
L4&lt;=12,"Children",
L4&lt;=19,"Teens",
L4&lt;=29,"Young Adults",
L4&lt;=39,"Adults",
L4&lt;=59,"Middle-Aged",
L4&gt;=60,"Seniors"
)</f>
        <v>Seniors</v>
      </c>
      <c r="N4" t="s">
        <v>20</v>
      </c>
    </row>
    <row r="5" spans="1:14" x14ac:dyDescent="0.3">
      <c r="A5">
        <v>24381</v>
      </c>
      <c r="B5" t="s">
        <v>40</v>
      </c>
      <c r="C5" t="s">
        <v>39</v>
      </c>
      <c r="D5" s="3">
        <v>70000</v>
      </c>
      <c r="E5">
        <v>0</v>
      </c>
      <c r="F5" t="s">
        <v>15</v>
      </c>
      <c r="G5" t="s">
        <v>23</v>
      </c>
      <c r="H5" t="s">
        <v>17</v>
      </c>
      <c r="I5">
        <v>1</v>
      </c>
      <c r="J5" t="s">
        <v>26</v>
      </c>
      <c r="K5" t="s">
        <v>27</v>
      </c>
      <c r="L5">
        <v>41</v>
      </c>
      <c r="M5" t="str" cm="1">
        <f t="array" ref="M5">_xlfn.IFS(
L5&lt;=12,"Children",
L5&lt;=19,"Teens",
L5&lt;=29,"Young Adults",
L5&lt;=39,"Adults",
L5&lt;=59,"Middle-Aged",
L5&gt;=60,"Seniors"
)</f>
        <v>Middle-Aged</v>
      </c>
      <c r="N5" t="s">
        <v>17</v>
      </c>
    </row>
    <row r="6" spans="1:14" x14ac:dyDescent="0.3">
      <c r="A6">
        <v>25597</v>
      </c>
      <c r="B6" t="s">
        <v>40</v>
      </c>
      <c r="C6" t="s">
        <v>39</v>
      </c>
      <c r="D6" s="3">
        <v>30000</v>
      </c>
      <c r="E6">
        <v>0</v>
      </c>
      <c r="F6" t="s">
        <v>15</v>
      </c>
      <c r="G6" t="s">
        <v>22</v>
      </c>
      <c r="H6" t="s">
        <v>20</v>
      </c>
      <c r="I6">
        <v>0</v>
      </c>
      <c r="J6" t="s">
        <v>18</v>
      </c>
      <c r="K6" t="s">
        <v>19</v>
      </c>
      <c r="L6">
        <v>36</v>
      </c>
      <c r="M6" t="str" cm="1">
        <f t="array" ref="M6">_xlfn.IFS(
L6&lt;=12,"Children",
L6&lt;=19,"Teens",
L6&lt;=29,"Young Adults",
L6&lt;=39,"Adults",
L6&lt;=59,"Middle-Aged",
L6&gt;=60,"Seniors"
)</f>
        <v>Adults</v>
      </c>
      <c r="N6" t="s">
        <v>17</v>
      </c>
    </row>
    <row r="7" spans="1:14" x14ac:dyDescent="0.3">
      <c r="A7">
        <v>13507</v>
      </c>
      <c r="B7" t="s">
        <v>37</v>
      </c>
      <c r="C7" t="s">
        <v>38</v>
      </c>
      <c r="D7" s="3">
        <v>10000</v>
      </c>
      <c r="E7">
        <v>2</v>
      </c>
      <c r="F7" t="s">
        <v>21</v>
      </c>
      <c r="G7" t="s">
        <v>28</v>
      </c>
      <c r="H7" t="s">
        <v>17</v>
      </c>
      <c r="I7">
        <v>0</v>
      </c>
      <c r="J7" t="s">
        <v>29</v>
      </c>
      <c r="K7" t="s">
        <v>19</v>
      </c>
      <c r="L7">
        <v>50</v>
      </c>
      <c r="M7" t="str" cm="1">
        <f t="array" ref="M7">_xlfn.IFS(
L7&lt;=12,"Children",
L7&lt;=19,"Teens",
L7&lt;=29,"Young Adults",
L7&lt;=39,"Adults",
L7&lt;=59,"Middle-Aged",
L7&gt;=60,"Seniors"
)</f>
        <v>Middle-Aged</v>
      </c>
      <c r="N7" t="s">
        <v>20</v>
      </c>
    </row>
    <row r="8" spans="1:14" x14ac:dyDescent="0.3">
      <c r="A8">
        <v>27974</v>
      </c>
      <c r="B8" t="s">
        <v>40</v>
      </c>
      <c r="C8" t="s">
        <v>39</v>
      </c>
      <c r="D8" s="3">
        <v>160000</v>
      </c>
      <c r="E8">
        <v>2</v>
      </c>
      <c r="F8" t="s">
        <v>30</v>
      </c>
      <c r="G8" t="s">
        <v>31</v>
      </c>
      <c r="H8" t="s">
        <v>17</v>
      </c>
      <c r="I8">
        <v>4</v>
      </c>
      <c r="J8" t="s">
        <v>18</v>
      </c>
      <c r="K8" t="s">
        <v>27</v>
      </c>
      <c r="L8">
        <v>33</v>
      </c>
      <c r="M8" t="str" cm="1">
        <f t="array" ref="M8">_xlfn.IFS(
L8&lt;=12,"Children",
L8&lt;=19,"Teens",
L8&lt;=29,"Young Adults",
L8&lt;=39,"Adults",
L8&lt;=59,"Middle-Aged",
L8&gt;=60,"Seniors"
)</f>
        <v>Adults</v>
      </c>
      <c r="N8" t="s">
        <v>17</v>
      </c>
    </row>
    <row r="9" spans="1:14" x14ac:dyDescent="0.3">
      <c r="A9">
        <v>19364</v>
      </c>
      <c r="B9" t="s">
        <v>37</v>
      </c>
      <c r="C9" t="s">
        <v>39</v>
      </c>
      <c r="D9" s="3">
        <v>40000</v>
      </c>
      <c r="E9">
        <v>1</v>
      </c>
      <c r="F9" t="s">
        <v>15</v>
      </c>
      <c r="G9" t="s">
        <v>16</v>
      </c>
      <c r="H9" t="s">
        <v>17</v>
      </c>
      <c r="I9">
        <v>0</v>
      </c>
      <c r="J9" t="s">
        <v>18</v>
      </c>
      <c r="K9" t="s">
        <v>19</v>
      </c>
      <c r="L9">
        <v>43</v>
      </c>
      <c r="M9" t="str" cm="1">
        <f t="array" ref="M9">_xlfn.IFS(
L9&lt;=12,"Children",
L9&lt;=19,"Teens",
L9&lt;=29,"Young Adults",
L9&lt;=39,"Adults",
L9&lt;=59,"Middle-Aged",
L9&gt;=60,"Seniors"
)</f>
        <v>Middle-Aged</v>
      </c>
      <c r="N9" t="s">
        <v>17</v>
      </c>
    </row>
    <row r="10" spans="1:14" x14ac:dyDescent="0.3">
      <c r="A10">
        <v>22155</v>
      </c>
      <c r="B10" t="s">
        <v>37</v>
      </c>
      <c r="C10" t="s">
        <v>39</v>
      </c>
      <c r="D10" s="3">
        <v>20000</v>
      </c>
      <c r="E10">
        <v>2</v>
      </c>
      <c r="F10" t="s">
        <v>32</v>
      </c>
      <c r="G10" t="s">
        <v>22</v>
      </c>
      <c r="H10" t="s">
        <v>17</v>
      </c>
      <c r="I10">
        <v>2</v>
      </c>
      <c r="J10" t="s">
        <v>26</v>
      </c>
      <c r="K10" t="s">
        <v>27</v>
      </c>
      <c r="L10">
        <v>58</v>
      </c>
      <c r="M10" t="str" cm="1">
        <f t="array" ref="M10">_xlfn.IFS(
L10&lt;=12,"Children",
L10&lt;=19,"Teens",
L10&lt;=29,"Young Adults",
L10&lt;=39,"Adults",
L10&lt;=59,"Middle-Aged",
L10&gt;=60,"Seniors"
)</f>
        <v>Middle-Aged</v>
      </c>
      <c r="N10" t="s">
        <v>20</v>
      </c>
    </row>
    <row r="11" spans="1:14" x14ac:dyDescent="0.3">
      <c r="A11">
        <v>19280</v>
      </c>
      <c r="B11" t="s">
        <v>37</v>
      </c>
      <c r="C11" t="s">
        <v>39</v>
      </c>
      <c r="D11" s="3">
        <v>120000</v>
      </c>
      <c r="E11">
        <v>2</v>
      </c>
      <c r="F11" t="s">
        <v>21</v>
      </c>
      <c r="G11" t="s">
        <v>28</v>
      </c>
      <c r="H11" t="s">
        <v>17</v>
      </c>
      <c r="I11">
        <v>1</v>
      </c>
      <c r="J11" t="s">
        <v>18</v>
      </c>
      <c r="K11" t="s">
        <v>19</v>
      </c>
      <c r="L11">
        <v>40</v>
      </c>
      <c r="M11" t="str" cm="1">
        <f t="array" ref="M11">_xlfn.IFS(
L11&lt;=12,"Children",
L11&lt;=19,"Teens",
L11&lt;=29,"Young Adults",
L11&lt;=39,"Adults",
L11&lt;=59,"Middle-Aged",
L11&gt;=60,"Seniors"
)</f>
        <v>Middle-Aged</v>
      </c>
      <c r="N11" t="s">
        <v>17</v>
      </c>
    </row>
    <row r="12" spans="1:14" x14ac:dyDescent="0.3">
      <c r="A12">
        <v>22173</v>
      </c>
      <c r="B12" t="s">
        <v>37</v>
      </c>
      <c r="C12" t="s">
        <v>38</v>
      </c>
      <c r="D12" s="3">
        <v>30000</v>
      </c>
      <c r="E12">
        <v>3</v>
      </c>
      <c r="F12" t="s">
        <v>30</v>
      </c>
      <c r="G12" t="s">
        <v>16</v>
      </c>
      <c r="H12" t="s">
        <v>20</v>
      </c>
      <c r="I12">
        <v>2</v>
      </c>
      <c r="J12" t="s">
        <v>29</v>
      </c>
      <c r="K12" t="s">
        <v>27</v>
      </c>
      <c r="L12">
        <v>54</v>
      </c>
      <c r="M12" t="str" cm="1">
        <f t="array" ref="M12">_xlfn.IFS(
L12&lt;=12,"Children",
L12&lt;=19,"Teens",
L12&lt;=29,"Young Adults",
L12&lt;=39,"Adults",
L12&lt;=59,"Middle-Aged",
L12&gt;=60,"Seniors"
)</f>
        <v>Middle-Aged</v>
      </c>
      <c r="N12" t="s">
        <v>17</v>
      </c>
    </row>
    <row r="13" spans="1:14" x14ac:dyDescent="0.3">
      <c r="A13">
        <v>12697</v>
      </c>
      <c r="B13" t="s">
        <v>40</v>
      </c>
      <c r="C13" t="s">
        <v>38</v>
      </c>
      <c r="D13" s="3">
        <v>90000</v>
      </c>
      <c r="E13">
        <v>0</v>
      </c>
      <c r="F13" t="s">
        <v>15</v>
      </c>
      <c r="G13" t="s">
        <v>23</v>
      </c>
      <c r="H13" t="s">
        <v>20</v>
      </c>
      <c r="I13">
        <v>4</v>
      </c>
      <c r="J13" t="s">
        <v>41</v>
      </c>
      <c r="K13" t="s">
        <v>27</v>
      </c>
      <c r="L13">
        <v>36</v>
      </c>
      <c r="M13" t="str" cm="1">
        <f t="array" ref="M13">_xlfn.IFS(
L13&lt;=12,"Children",
L13&lt;=19,"Teens",
L13&lt;=29,"Young Adults",
L13&lt;=39,"Adults",
L13&lt;=59,"Middle-Aged",
L13&gt;=60,"Seniors"
)</f>
        <v>Adults</v>
      </c>
      <c r="N13" t="s">
        <v>20</v>
      </c>
    </row>
    <row r="14" spans="1:14" x14ac:dyDescent="0.3">
      <c r="A14">
        <v>11434</v>
      </c>
      <c r="B14" t="s">
        <v>37</v>
      </c>
      <c r="C14" t="s">
        <v>39</v>
      </c>
      <c r="D14" s="3">
        <v>170000</v>
      </c>
      <c r="E14">
        <v>5</v>
      </c>
      <c r="F14" t="s">
        <v>21</v>
      </c>
      <c r="G14" t="s">
        <v>23</v>
      </c>
      <c r="H14" t="s">
        <v>17</v>
      </c>
      <c r="I14">
        <v>0</v>
      </c>
      <c r="J14" t="s">
        <v>18</v>
      </c>
      <c r="K14" t="s">
        <v>19</v>
      </c>
      <c r="L14">
        <v>55</v>
      </c>
      <c r="M14" t="str" cm="1">
        <f t="array" ref="M14">_xlfn.IFS(
L14&lt;=12,"Children",
L14&lt;=19,"Teens",
L14&lt;=29,"Young Adults",
L14&lt;=39,"Adults",
L14&lt;=59,"Middle-Aged",
L14&gt;=60,"Seniors"
)</f>
        <v>Middle-Aged</v>
      </c>
      <c r="N14" t="s">
        <v>20</v>
      </c>
    </row>
    <row r="15" spans="1:14" x14ac:dyDescent="0.3">
      <c r="A15">
        <v>25323</v>
      </c>
      <c r="B15" t="s">
        <v>37</v>
      </c>
      <c r="C15" t="s">
        <v>39</v>
      </c>
      <c r="D15" s="3">
        <v>40000</v>
      </c>
      <c r="E15">
        <v>2</v>
      </c>
      <c r="F15" t="s">
        <v>21</v>
      </c>
      <c r="G15" t="s">
        <v>22</v>
      </c>
      <c r="H15" t="s">
        <v>17</v>
      </c>
      <c r="I15">
        <v>1</v>
      </c>
      <c r="J15" t="s">
        <v>29</v>
      </c>
      <c r="K15" t="s">
        <v>19</v>
      </c>
      <c r="L15">
        <v>35</v>
      </c>
      <c r="M15" t="str" cm="1">
        <f t="array" ref="M15">_xlfn.IFS(
L15&lt;=12,"Children",
L15&lt;=19,"Teens",
L15&lt;=29,"Young Adults",
L15&lt;=39,"Adults",
L15&lt;=59,"Middle-Aged",
L15&gt;=60,"Seniors"
)</f>
        <v>Adults</v>
      </c>
      <c r="N15" t="s">
        <v>17</v>
      </c>
    </row>
    <row r="16" spans="1:14" x14ac:dyDescent="0.3">
      <c r="A16">
        <v>23542</v>
      </c>
      <c r="B16" t="s">
        <v>40</v>
      </c>
      <c r="C16" t="s">
        <v>39</v>
      </c>
      <c r="D16" s="3">
        <v>60000</v>
      </c>
      <c r="E16">
        <v>1</v>
      </c>
      <c r="F16" t="s">
        <v>21</v>
      </c>
      <c r="G16" t="s">
        <v>16</v>
      </c>
      <c r="H16" t="s">
        <v>20</v>
      </c>
      <c r="I16">
        <v>1</v>
      </c>
      <c r="J16" t="s">
        <v>18</v>
      </c>
      <c r="K16" t="s">
        <v>27</v>
      </c>
      <c r="L16">
        <v>45</v>
      </c>
      <c r="M16" t="str" cm="1">
        <f t="array" ref="M16">_xlfn.IFS(
L16&lt;=12,"Children",
L16&lt;=19,"Teens",
L16&lt;=29,"Young Adults",
L16&lt;=39,"Adults",
L16&lt;=59,"Middle-Aged",
L16&gt;=60,"Seniors"
)</f>
        <v>Middle-Aged</v>
      </c>
      <c r="N16" t="s">
        <v>17</v>
      </c>
    </row>
    <row r="17" spans="1:14" x14ac:dyDescent="0.3">
      <c r="A17">
        <v>20870</v>
      </c>
      <c r="B17" t="s">
        <v>40</v>
      </c>
      <c r="C17" t="s">
        <v>38</v>
      </c>
      <c r="D17" s="3">
        <v>10000</v>
      </c>
      <c r="E17">
        <v>2</v>
      </c>
      <c r="F17" t="s">
        <v>30</v>
      </c>
      <c r="G17" t="s">
        <v>28</v>
      </c>
      <c r="H17" t="s">
        <v>17</v>
      </c>
      <c r="I17">
        <v>1</v>
      </c>
      <c r="J17" t="s">
        <v>18</v>
      </c>
      <c r="K17" t="s">
        <v>19</v>
      </c>
      <c r="L17">
        <v>38</v>
      </c>
      <c r="M17" t="str" cm="1">
        <f t="array" ref="M17">_xlfn.IFS(
L17&lt;=12,"Children",
L17&lt;=19,"Teens",
L17&lt;=29,"Young Adults",
L17&lt;=39,"Adults",
L17&lt;=59,"Middle-Aged",
L17&gt;=60,"Seniors"
)</f>
        <v>Adults</v>
      </c>
      <c r="N17" t="s">
        <v>17</v>
      </c>
    </row>
    <row r="18" spans="1:14" x14ac:dyDescent="0.3">
      <c r="A18">
        <v>23316</v>
      </c>
      <c r="B18" t="s">
        <v>40</v>
      </c>
      <c r="C18" t="s">
        <v>39</v>
      </c>
      <c r="D18" s="3">
        <v>30000</v>
      </c>
      <c r="E18">
        <v>3</v>
      </c>
      <c r="F18" t="s">
        <v>21</v>
      </c>
      <c r="G18" t="s">
        <v>22</v>
      </c>
      <c r="H18" t="s">
        <v>20</v>
      </c>
      <c r="I18">
        <v>2</v>
      </c>
      <c r="J18" t="s">
        <v>29</v>
      </c>
      <c r="K18" t="s">
        <v>27</v>
      </c>
      <c r="L18">
        <v>59</v>
      </c>
      <c r="M18" t="str" cm="1">
        <f t="array" ref="M18">_xlfn.IFS(
L18&lt;=12,"Children",
L18&lt;=19,"Teens",
L18&lt;=29,"Young Adults",
L18&lt;=39,"Adults",
L18&lt;=59,"Middle-Aged",
L18&gt;=60,"Seniors"
)</f>
        <v>Middle-Aged</v>
      </c>
      <c r="N18" t="s">
        <v>17</v>
      </c>
    </row>
    <row r="19" spans="1:14" x14ac:dyDescent="0.3">
      <c r="A19">
        <v>12610</v>
      </c>
      <c r="B19" t="s">
        <v>37</v>
      </c>
      <c r="C19" t="s">
        <v>38</v>
      </c>
      <c r="D19" s="3">
        <v>30000</v>
      </c>
      <c r="E19">
        <v>1</v>
      </c>
      <c r="F19" t="s">
        <v>15</v>
      </c>
      <c r="G19" t="s">
        <v>22</v>
      </c>
      <c r="H19" t="s">
        <v>17</v>
      </c>
      <c r="I19">
        <v>0</v>
      </c>
      <c r="J19" t="s">
        <v>18</v>
      </c>
      <c r="K19" t="s">
        <v>19</v>
      </c>
      <c r="L19">
        <v>47</v>
      </c>
      <c r="M19" t="str" cm="1">
        <f t="array" ref="M19">_xlfn.IFS(
L19&lt;=12,"Children",
L19&lt;=19,"Teens",
L19&lt;=29,"Young Adults",
L19&lt;=39,"Adults",
L19&lt;=59,"Middle-Aged",
L19&gt;=60,"Seniors"
)</f>
        <v>Middle-Aged</v>
      </c>
      <c r="N19" t="s">
        <v>20</v>
      </c>
    </row>
    <row r="20" spans="1:14" x14ac:dyDescent="0.3">
      <c r="A20">
        <v>27183</v>
      </c>
      <c r="B20" t="s">
        <v>40</v>
      </c>
      <c r="C20" t="s">
        <v>39</v>
      </c>
      <c r="D20" s="3">
        <v>40000</v>
      </c>
      <c r="E20">
        <v>2</v>
      </c>
      <c r="F20" t="s">
        <v>21</v>
      </c>
      <c r="G20" t="s">
        <v>22</v>
      </c>
      <c r="H20" t="s">
        <v>17</v>
      </c>
      <c r="I20">
        <v>1</v>
      </c>
      <c r="J20" t="s">
        <v>29</v>
      </c>
      <c r="K20" t="s">
        <v>19</v>
      </c>
      <c r="L20">
        <v>35</v>
      </c>
      <c r="M20" t="str" cm="1">
        <f t="array" ref="M20">_xlfn.IFS(
L20&lt;=12,"Children",
L20&lt;=19,"Teens",
L20&lt;=29,"Young Adults",
L20&lt;=39,"Adults",
L20&lt;=59,"Middle-Aged",
L20&gt;=60,"Seniors"
)</f>
        <v>Adults</v>
      </c>
      <c r="N20" t="s">
        <v>17</v>
      </c>
    </row>
    <row r="21" spans="1:14" x14ac:dyDescent="0.3">
      <c r="A21">
        <v>25940</v>
      </c>
      <c r="B21" t="s">
        <v>40</v>
      </c>
      <c r="C21" t="s">
        <v>39</v>
      </c>
      <c r="D21" s="3">
        <v>20000</v>
      </c>
      <c r="E21">
        <v>2</v>
      </c>
      <c r="F21" t="s">
        <v>32</v>
      </c>
      <c r="G21" t="s">
        <v>22</v>
      </c>
      <c r="H21" t="s">
        <v>17</v>
      </c>
      <c r="I21">
        <v>2</v>
      </c>
      <c r="J21" t="s">
        <v>26</v>
      </c>
      <c r="K21" t="s">
        <v>27</v>
      </c>
      <c r="L21">
        <v>55</v>
      </c>
      <c r="M21" t="str" cm="1">
        <f t="array" ref="M21">_xlfn.IFS(
L21&lt;=12,"Children",
L21&lt;=19,"Teens",
L21&lt;=29,"Young Adults",
L21&lt;=39,"Adults",
L21&lt;=59,"Middle-Aged",
L21&gt;=60,"Seniors"
)</f>
        <v>Middle-Aged</v>
      </c>
      <c r="N21" t="s">
        <v>17</v>
      </c>
    </row>
    <row r="22" spans="1:14" x14ac:dyDescent="0.3">
      <c r="A22">
        <v>25598</v>
      </c>
      <c r="B22" t="s">
        <v>37</v>
      </c>
      <c r="C22" t="s">
        <v>38</v>
      </c>
      <c r="D22" s="3">
        <v>40000</v>
      </c>
      <c r="E22">
        <v>0</v>
      </c>
      <c r="F22" t="s">
        <v>34</v>
      </c>
      <c r="G22" t="s">
        <v>22</v>
      </c>
      <c r="H22" t="s">
        <v>17</v>
      </c>
      <c r="I22">
        <v>0</v>
      </c>
      <c r="J22" t="s">
        <v>18</v>
      </c>
      <c r="K22" t="s">
        <v>19</v>
      </c>
      <c r="L22">
        <v>36</v>
      </c>
      <c r="M22" t="str" cm="1">
        <f t="array" ref="M22">_xlfn.IFS(
L22&lt;=12,"Children",
L22&lt;=19,"Teens",
L22&lt;=29,"Young Adults",
L22&lt;=39,"Adults",
L22&lt;=59,"Middle-Aged",
L22&gt;=60,"Seniors"
)</f>
        <v>Adults</v>
      </c>
      <c r="N22" t="s">
        <v>17</v>
      </c>
    </row>
    <row r="23" spans="1:14" x14ac:dyDescent="0.3">
      <c r="A23">
        <v>21564</v>
      </c>
      <c r="B23" t="s">
        <v>40</v>
      </c>
      <c r="C23" t="s">
        <v>38</v>
      </c>
      <c r="D23" s="3">
        <v>80000</v>
      </c>
      <c r="E23">
        <v>0</v>
      </c>
      <c r="F23" t="s">
        <v>15</v>
      </c>
      <c r="G23" t="s">
        <v>23</v>
      </c>
      <c r="H23" t="s">
        <v>17</v>
      </c>
      <c r="I23">
        <v>4</v>
      </c>
      <c r="J23" t="s">
        <v>41</v>
      </c>
      <c r="K23" t="s">
        <v>27</v>
      </c>
      <c r="L23">
        <v>35</v>
      </c>
      <c r="M23" t="str" cm="1">
        <f t="array" ref="M23">_xlfn.IFS(
L23&lt;=12,"Children",
L23&lt;=19,"Teens",
L23&lt;=29,"Young Adults",
L23&lt;=39,"Adults",
L23&lt;=59,"Middle-Aged",
L23&gt;=60,"Seniors"
)</f>
        <v>Adults</v>
      </c>
      <c r="N23" t="s">
        <v>20</v>
      </c>
    </row>
    <row r="24" spans="1:14" x14ac:dyDescent="0.3">
      <c r="A24">
        <v>19193</v>
      </c>
      <c r="B24" t="s">
        <v>40</v>
      </c>
      <c r="C24" t="s">
        <v>39</v>
      </c>
      <c r="D24" s="3">
        <v>40000</v>
      </c>
      <c r="E24">
        <v>2</v>
      </c>
      <c r="F24" t="s">
        <v>21</v>
      </c>
      <c r="G24" t="s">
        <v>22</v>
      </c>
      <c r="H24" t="s">
        <v>17</v>
      </c>
      <c r="I24">
        <v>0</v>
      </c>
      <c r="J24" t="s">
        <v>29</v>
      </c>
      <c r="K24" t="s">
        <v>19</v>
      </c>
      <c r="L24">
        <v>35</v>
      </c>
      <c r="M24" t="str" cm="1">
        <f t="array" ref="M24">_xlfn.IFS(
L24&lt;=12,"Children",
L24&lt;=19,"Teens",
L24&lt;=29,"Young Adults",
L24&lt;=39,"Adults",
L24&lt;=59,"Middle-Aged",
L24&gt;=60,"Seniors"
)</f>
        <v>Adults</v>
      </c>
      <c r="N24" t="s">
        <v>17</v>
      </c>
    </row>
    <row r="25" spans="1:14" x14ac:dyDescent="0.3">
      <c r="A25">
        <v>26412</v>
      </c>
      <c r="B25" t="s">
        <v>37</v>
      </c>
      <c r="C25" t="s">
        <v>38</v>
      </c>
      <c r="D25" s="3">
        <v>80000</v>
      </c>
      <c r="E25">
        <v>5</v>
      </c>
      <c r="F25" t="s">
        <v>30</v>
      </c>
      <c r="G25" t="s">
        <v>31</v>
      </c>
      <c r="H25" t="s">
        <v>20</v>
      </c>
      <c r="I25">
        <v>3</v>
      </c>
      <c r="J25" t="s">
        <v>26</v>
      </c>
      <c r="K25" t="s">
        <v>19</v>
      </c>
      <c r="L25">
        <v>56</v>
      </c>
      <c r="M25" t="str" cm="1">
        <f t="array" ref="M25">_xlfn.IFS(
L25&lt;=12,"Children",
L25&lt;=19,"Teens",
L25&lt;=29,"Young Adults",
L25&lt;=39,"Adults",
L25&lt;=59,"Middle-Aged",
L25&gt;=60,"Seniors"
)</f>
        <v>Middle-Aged</v>
      </c>
      <c r="N25" t="s">
        <v>20</v>
      </c>
    </row>
    <row r="26" spans="1:14" x14ac:dyDescent="0.3">
      <c r="A26">
        <v>27184</v>
      </c>
      <c r="B26" t="s">
        <v>40</v>
      </c>
      <c r="C26" t="s">
        <v>39</v>
      </c>
      <c r="D26" s="3">
        <v>40000</v>
      </c>
      <c r="E26">
        <v>2</v>
      </c>
      <c r="F26" t="s">
        <v>21</v>
      </c>
      <c r="G26" t="s">
        <v>22</v>
      </c>
      <c r="H26" t="s">
        <v>20</v>
      </c>
      <c r="I26">
        <v>1</v>
      </c>
      <c r="J26" t="s">
        <v>18</v>
      </c>
      <c r="K26" t="s">
        <v>19</v>
      </c>
      <c r="L26">
        <v>34</v>
      </c>
      <c r="M26" t="str" cm="1">
        <f t="array" ref="M26">_xlfn.IFS(
L26&lt;=12,"Children",
L26&lt;=19,"Teens",
L26&lt;=29,"Young Adults",
L26&lt;=39,"Adults",
L26&lt;=59,"Middle-Aged",
L26&gt;=60,"Seniors"
)</f>
        <v>Adults</v>
      </c>
      <c r="N26" t="s">
        <v>20</v>
      </c>
    </row>
    <row r="27" spans="1:14" x14ac:dyDescent="0.3">
      <c r="A27">
        <v>12590</v>
      </c>
      <c r="B27" t="s">
        <v>40</v>
      </c>
      <c r="C27" t="s">
        <v>39</v>
      </c>
      <c r="D27" s="3">
        <v>30000</v>
      </c>
      <c r="E27">
        <v>1</v>
      </c>
      <c r="F27" t="s">
        <v>15</v>
      </c>
      <c r="G27" t="s">
        <v>22</v>
      </c>
      <c r="H27" t="s">
        <v>17</v>
      </c>
      <c r="I27">
        <v>0</v>
      </c>
      <c r="J27" t="s">
        <v>18</v>
      </c>
      <c r="K27" t="s">
        <v>19</v>
      </c>
      <c r="L27">
        <v>63</v>
      </c>
      <c r="M27" t="str" cm="1">
        <f t="array" ref="M27">_xlfn.IFS(
L27&lt;=12,"Children",
L27&lt;=19,"Teens",
L27&lt;=29,"Young Adults",
L27&lt;=39,"Adults",
L27&lt;=59,"Middle-Aged",
L27&gt;=60,"Seniors"
)</f>
        <v>Seniors</v>
      </c>
      <c r="N27" t="s">
        <v>20</v>
      </c>
    </row>
    <row r="28" spans="1:14" x14ac:dyDescent="0.3">
      <c r="A28">
        <v>17841</v>
      </c>
      <c r="B28" t="s">
        <v>40</v>
      </c>
      <c r="C28" t="s">
        <v>39</v>
      </c>
      <c r="D28" s="3">
        <v>30000</v>
      </c>
      <c r="E28">
        <v>0</v>
      </c>
      <c r="F28" t="s">
        <v>21</v>
      </c>
      <c r="G28" t="s">
        <v>22</v>
      </c>
      <c r="H28" t="s">
        <v>20</v>
      </c>
      <c r="I28">
        <v>1</v>
      </c>
      <c r="J28" t="s">
        <v>18</v>
      </c>
      <c r="K28" t="s">
        <v>19</v>
      </c>
      <c r="L28">
        <v>29</v>
      </c>
      <c r="M28" t="str" cm="1">
        <f t="array" ref="M28">_xlfn.IFS(
L28&lt;=12,"Children",
L28&lt;=19,"Teens",
L28&lt;=29,"Young Adults",
L28&lt;=39,"Adults",
L28&lt;=59,"Middle-Aged",
L28&gt;=60,"Seniors"
)</f>
        <v>Young Adults</v>
      </c>
      <c r="N28" t="s">
        <v>17</v>
      </c>
    </row>
    <row r="29" spans="1:14" x14ac:dyDescent="0.3">
      <c r="A29">
        <v>18283</v>
      </c>
      <c r="B29" t="s">
        <v>40</v>
      </c>
      <c r="C29" t="s">
        <v>38</v>
      </c>
      <c r="D29" s="3">
        <v>100000</v>
      </c>
      <c r="E29">
        <v>0</v>
      </c>
      <c r="F29" t="s">
        <v>15</v>
      </c>
      <c r="G29" t="s">
        <v>23</v>
      </c>
      <c r="H29" t="s">
        <v>20</v>
      </c>
      <c r="I29">
        <v>1</v>
      </c>
      <c r="J29" t="s">
        <v>26</v>
      </c>
      <c r="K29" t="s">
        <v>27</v>
      </c>
      <c r="L29">
        <v>40</v>
      </c>
      <c r="M29" t="str" cm="1">
        <f t="array" ref="M29">_xlfn.IFS(
L29&lt;=12,"Children",
L29&lt;=19,"Teens",
L29&lt;=29,"Young Adults",
L29&lt;=39,"Adults",
L29&lt;=59,"Middle-Aged",
L29&gt;=60,"Seniors"
)</f>
        <v>Middle-Aged</v>
      </c>
      <c r="N29" t="s">
        <v>20</v>
      </c>
    </row>
    <row r="30" spans="1:14" x14ac:dyDescent="0.3">
      <c r="A30">
        <v>18299</v>
      </c>
      <c r="B30" t="s">
        <v>37</v>
      </c>
      <c r="C30" t="s">
        <v>39</v>
      </c>
      <c r="D30" s="3">
        <v>70000</v>
      </c>
      <c r="E30">
        <v>5</v>
      </c>
      <c r="F30" t="s">
        <v>21</v>
      </c>
      <c r="G30" t="s">
        <v>16</v>
      </c>
      <c r="H30" t="s">
        <v>17</v>
      </c>
      <c r="I30">
        <v>2</v>
      </c>
      <c r="J30" t="s">
        <v>26</v>
      </c>
      <c r="K30" t="s">
        <v>27</v>
      </c>
      <c r="L30">
        <v>44</v>
      </c>
      <c r="M30" t="str" cm="1">
        <f t="array" ref="M30">_xlfn.IFS(
L30&lt;=12,"Children",
L30&lt;=19,"Teens",
L30&lt;=29,"Young Adults",
L30&lt;=39,"Adults",
L30&lt;=59,"Middle-Aged",
L30&gt;=60,"Seniors"
)</f>
        <v>Middle-Aged</v>
      </c>
      <c r="N30" t="s">
        <v>20</v>
      </c>
    </row>
    <row r="31" spans="1:14" x14ac:dyDescent="0.3">
      <c r="A31">
        <v>16466</v>
      </c>
      <c r="B31" t="s">
        <v>40</v>
      </c>
      <c r="C31" t="s">
        <v>38</v>
      </c>
      <c r="D31" s="3">
        <v>20000</v>
      </c>
      <c r="E31">
        <v>0</v>
      </c>
      <c r="F31" t="s">
        <v>32</v>
      </c>
      <c r="G31" t="s">
        <v>28</v>
      </c>
      <c r="H31" t="s">
        <v>20</v>
      </c>
      <c r="I31">
        <v>2</v>
      </c>
      <c r="J31" t="s">
        <v>18</v>
      </c>
      <c r="K31" t="s">
        <v>19</v>
      </c>
      <c r="L31">
        <v>32</v>
      </c>
      <c r="M31" t="str" cm="1">
        <f t="array" ref="M31">_xlfn.IFS(
L31&lt;=12,"Children",
L31&lt;=19,"Teens",
L31&lt;=29,"Young Adults",
L31&lt;=39,"Adults",
L31&lt;=59,"Middle-Aged",
L31&gt;=60,"Seniors"
)</f>
        <v>Adults</v>
      </c>
      <c r="N31" t="s">
        <v>17</v>
      </c>
    </row>
    <row r="32" spans="1:14" x14ac:dyDescent="0.3">
      <c r="A32">
        <v>19273</v>
      </c>
      <c r="B32" t="s">
        <v>37</v>
      </c>
      <c r="C32" t="s">
        <v>38</v>
      </c>
      <c r="D32" s="3">
        <v>20000</v>
      </c>
      <c r="E32">
        <v>2</v>
      </c>
      <c r="F32" t="s">
        <v>21</v>
      </c>
      <c r="G32" t="s">
        <v>28</v>
      </c>
      <c r="H32" t="s">
        <v>17</v>
      </c>
      <c r="I32">
        <v>0</v>
      </c>
      <c r="J32" t="s">
        <v>18</v>
      </c>
      <c r="K32" t="s">
        <v>19</v>
      </c>
      <c r="L32">
        <v>63</v>
      </c>
      <c r="M32" t="str" cm="1">
        <f t="array" ref="M32">_xlfn.IFS(
L32&lt;=12,"Children",
L32&lt;=19,"Teens",
L32&lt;=29,"Young Adults",
L32&lt;=39,"Adults",
L32&lt;=59,"Middle-Aged",
L32&gt;=60,"Seniors"
)</f>
        <v>Seniors</v>
      </c>
      <c r="N32" t="s">
        <v>20</v>
      </c>
    </row>
    <row r="33" spans="1:14" x14ac:dyDescent="0.3">
      <c r="A33">
        <v>22400</v>
      </c>
      <c r="B33" t="s">
        <v>37</v>
      </c>
      <c r="C33" t="s">
        <v>39</v>
      </c>
      <c r="D33" s="3">
        <v>10000</v>
      </c>
      <c r="E33">
        <v>0</v>
      </c>
      <c r="F33" t="s">
        <v>21</v>
      </c>
      <c r="G33" t="s">
        <v>28</v>
      </c>
      <c r="H33" t="s">
        <v>20</v>
      </c>
      <c r="I33">
        <v>1</v>
      </c>
      <c r="J33" t="s">
        <v>18</v>
      </c>
      <c r="K33" t="s">
        <v>27</v>
      </c>
      <c r="L33">
        <v>26</v>
      </c>
      <c r="M33" t="str" cm="1">
        <f t="array" ref="M33">_xlfn.IFS(
L33&lt;=12,"Children",
L33&lt;=19,"Teens",
L33&lt;=29,"Young Adults",
L33&lt;=39,"Adults",
L33&lt;=59,"Middle-Aged",
L33&gt;=60,"Seniors"
)</f>
        <v>Young Adults</v>
      </c>
      <c r="N33" t="s">
        <v>17</v>
      </c>
    </row>
    <row r="34" spans="1:14" x14ac:dyDescent="0.3">
      <c r="A34">
        <v>20942</v>
      </c>
      <c r="B34" t="s">
        <v>40</v>
      </c>
      <c r="C34" t="s">
        <v>38</v>
      </c>
      <c r="D34" s="3">
        <v>20000</v>
      </c>
      <c r="E34">
        <v>0</v>
      </c>
      <c r="F34" t="s">
        <v>30</v>
      </c>
      <c r="G34" t="s">
        <v>28</v>
      </c>
      <c r="H34" t="s">
        <v>20</v>
      </c>
      <c r="I34">
        <v>1</v>
      </c>
      <c r="J34" t="s">
        <v>26</v>
      </c>
      <c r="K34" t="s">
        <v>19</v>
      </c>
      <c r="L34">
        <v>31</v>
      </c>
      <c r="M34" t="str" cm="1">
        <f t="array" ref="M34">_xlfn.IFS(
L34&lt;=12,"Children",
L34&lt;=19,"Teens",
L34&lt;=29,"Young Adults",
L34&lt;=39,"Adults",
L34&lt;=59,"Middle-Aged",
L34&gt;=60,"Seniors"
)</f>
        <v>Adults</v>
      </c>
      <c r="N34" t="s">
        <v>20</v>
      </c>
    </row>
    <row r="35" spans="1:14" x14ac:dyDescent="0.3">
      <c r="A35">
        <v>18484</v>
      </c>
      <c r="B35" t="s">
        <v>40</v>
      </c>
      <c r="C35" t="s">
        <v>39</v>
      </c>
      <c r="D35" s="3">
        <v>80000</v>
      </c>
      <c r="E35">
        <v>2</v>
      </c>
      <c r="F35" t="s">
        <v>30</v>
      </c>
      <c r="G35" t="s">
        <v>16</v>
      </c>
      <c r="H35" t="s">
        <v>20</v>
      </c>
      <c r="I35">
        <v>2</v>
      </c>
      <c r="J35" t="s">
        <v>29</v>
      </c>
      <c r="K35" t="s">
        <v>27</v>
      </c>
      <c r="L35">
        <v>50</v>
      </c>
      <c r="M35" t="str" cm="1">
        <f t="array" ref="M35">_xlfn.IFS(
L35&lt;=12,"Children",
L35&lt;=19,"Teens",
L35&lt;=29,"Young Adults",
L35&lt;=39,"Adults",
L35&lt;=59,"Middle-Aged",
L35&gt;=60,"Seniors"
)</f>
        <v>Middle-Aged</v>
      </c>
      <c r="N35" t="s">
        <v>17</v>
      </c>
    </row>
    <row r="36" spans="1:14" x14ac:dyDescent="0.3">
      <c r="A36">
        <v>12291</v>
      </c>
      <c r="B36" t="s">
        <v>40</v>
      </c>
      <c r="C36" t="s">
        <v>39</v>
      </c>
      <c r="D36" s="3">
        <v>90000</v>
      </c>
      <c r="E36">
        <v>5</v>
      </c>
      <c r="F36" t="s">
        <v>21</v>
      </c>
      <c r="G36" t="s">
        <v>23</v>
      </c>
      <c r="H36" t="s">
        <v>20</v>
      </c>
      <c r="I36">
        <v>2</v>
      </c>
      <c r="J36" t="s">
        <v>24</v>
      </c>
      <c r="K36" t="s">
        <v>19</v>
      </c>
      <c r="L36">
        <v>62</v>
      </c>
      <c r="M36" t="str" cm="1">
        <f t="array" ref="M36">_xlfn.IFS(
L36&lt;=12,"Children",
L36&lt;=19,"Teens",
L36&lt;=29,"Young Adults",
L36&lt;=39,"Adults",
L36&lt;=59,"Middle-Aged",
L36&gt;=60,"Seniors"
)</f>
        <v>Seniors</v>
      </c>
      <c r="N36" t="s">
        <v>17</v>
      </c>
    </row>
    <row r="37" spans="1:14" x14ac:dyDescent="0.3">
      <c r="A37">
        <v>28380</v>
      </c>
      <c r="B37" t="s">
        <v>40</v>
      </c>
      <c r="C37" t="s">
        <v>38</v>
      </c>
      <c r="D37" s="3">
        <v>10000</v>
      </c>
      <c r="E37">
        <v>5</v>
      </c>
      <c r="F37" t="s">
        <v>32</v>
      </c>
      <c r="G37" t="s">
        <v>28</v>
      </c>
      <c r="H37" t="s">
        <v>20</v>
      </c>
      <c r="I37">
        <v>2</v>
      </c>
      <c r="J37" t="s">
        <v>18</v>
      </c>
      <c r="K37" t="s">
        <v>19</v>
      </c>
      <c r="L37">
        <v>41</v>
      </c>
      <c r="M37" t="str" cm="1">
        <f t="array" ref="M37">_xlfn.IFS(
L37&lt;=12,"Children",
L37&lt;=19,"Teens",
L37&lt;=29,"Young Adults",
L37&lt;=39,"Adults",
L37&lt;=59,"Middle-Aged",
L37&gt;=60,"Seniors"
)</f>
        <v>Middle-Aged</v>
      </c>
      <c r="N37" t="s">
        <v>20</v>
      </c>
    </row>
    <row r="38" spans="1:14" x14ac:dyDescent="0.3">
      <c r="A38">
        <v>17891</v>
      </c>
      <c r="B38" t="s">
        <v>37</v>
      </c>
      <c r="C38" t="s">
        <v>38</v>
      </c>
      <c r="D38" s="3">
        <v>10000</v>
      </c>
      <c r="E38">
        <v>2</v>
      </c>
      <c r="F38" t="s">
        <v>21</v>
      </c>
      <c r="G38" t="s">
        <v>28</v>
      </c>
      <c r="H38" t="s">
        <v>17</v>
      </c>
      <c r="I38">
        <v>1</v>
      </c>
      <c r="J38" t="s">
        <v>18</v>
      </c>
      <c r="K38" t="s">
        <v>19</v>
      </c>
      <c r="L38">
        <v>50</v>
      </c>
      <c r="M38" t="str" cm="1">
        <f t="array" ref="M38">_xlfn.IFS(
L38&lt;=12,"Children",
L38&lt;=19,"Teens",
L38&lt;=29,"Young Adults",
L38&lt;=39,"Adults",
L38&lt;=59,"Middle-Aged",
L38&gt;=60,"Seniors"
)</f>
        <v>Middle-Aged</v>
      </c>
      <c r="N38" t="s">
        <v>17</v>
      </c>
    </row>
    <row r="39" spans="1:14" x14ac:dyDescent="0.3">
      <c r="A39">
        <v>27832</v>
      </c>
      <c r="B39" t="s">
        <v>40</v>
      </c>
      <c r="C39" t="s">
        <v>38</v>
      </c>
      <c r="D39" s="3">
        <v>30000</v>
      </c>
      <c r="E39">
        <v>0</v>
      </c>
      <c r="F39" t="s">
        <v>21</v>
      </c>
      <c r="G39" t="s">
        <v>22</v>
      </c>
      <c r="H39" t="s">
        <v>20</v>
      </c>
      <c r="I39">
        <v>1</v>
      </c>
      <c r="J39" t="s">
        <v>24</v>
      </c>
      <c r="K39" t="s">
        <v>19</v>
      </c>
      <c r="L39">
        <v>30</v>
      </c>
      <c r="M39" t="str" cm="1">
        <f t="array" ref="M39">_xlfn.IFS(
L39&lt;=12,"Children",
L39&lt;=19,"Teens",
L39&lt;=29,"Young Adults",
L39&lt;=39,"Adults",
L39&lt;=59,"Middle-Aged",
L39&gt;=60,"Seniors"
)</f>
        <v>Adults</v>
      </c>
      <c r="N39" t="s">
        <v>20</v>
      </c>
    </row>
    <row r="40" spans="1:14" x14ac:dyDescent="0.3">
      <c r="A40">
        <v>26863</v>
      </c>
      <c r="B40" t="s">
        <v>40</v>
      </c>
      <c r="C40" t="s">
        <v>39</v>
      </c>
      <c r="D40" s="3">
        <v>20000</v>
      </c>
      <c r="E40">
        <v>0</v>
      </c>
      <c r="F40" t="s">
        <v>30</v>
      </c>
      <c r="G40" t="s">
        <v>28</v>
      </c>
      <c r="H40" t="s">
        <v>20</v>
      </c>
      <c r="I40">
        <v>1</v>
      </c>
      <c r="J40" t="s">
        <v>24</v>
      </c>
      <c r="K40" t="s">
        <v>19</v>
      </c>
      <c r="L40">
        <v>28</v>
      </c>
      <c r="M40" t="str" cm="1">
        <f t="array" ref="M40">_xlfn.IFS(
L40&lt;=12,"Children",
L40&lt;=19,"Teens",
L40&lt;=29,"Young Adults",
L40&lt;=39,"Adults",
L40&lt;=59,"Middle-Aged",
L40&gt;=60,"Seniors"
)</f>
        <v>Young Adults</v>
      </c>
      <c r="N40" t="s">
        <v>20</v>
      </c>
    </row>
    <row r="41" spans="1:14" x14ac:dyDescent="0.3">
      <c r="A41">
        <v>16259</v>
      </c>
      <c r="B41" t="s">
        <v>40</v>
      </c>
      <c r="C41" t="s">
        <v>38</v>
      </c>
      <c r="D41" s="3">
        <v>10000</v>
      </c>
      <c r="E41">
        <v>4</v>
      </c>
      <c r="F41" t="s">
        <v>32</v>
      </c>
      <c r="G41" t="s">
        <v>28</v>
      </c>
      <c r="H41" t="s">
        <v>17</v>
      </c>
      <c r="I41">
        <v>2</v>
      </c>
      <c r="J41" t="s">
        <v>18</v>
      </c>
      <c r="K41" t="s">
        <v>19</v>
      </c>
      <c r="L41">
        <v>40</v>
      </c>
      <c r="M41" t="str" cm="1">
        <f t="array" ref="M41">_xlfn.IFS(
L41&lt;=12,"Children",
L41&lt;=19,"Teens",
L41&lt;=29,"Young Adults",
L41&lt;=39,"Adults",
L41&lt;=59,"Middle-Aged",
L41&gt;=60,"Seniors"
)</f>
        <v>Middle-Aged</v>
      </c>
      <c r="N41" t="s">
        <v>17</v>
      </c>
    </row>
    <row r="42" spans="1:14" x14ac:dyDescent="0.3">
      <c r="A42">
        <v>27803</v>
      </c>
      <c r="B42" t="s">
        <v>40</v>
      </c>
      <c r="C42" t="s">
        <v>38</v>
      </c>
      <c r="D42" s="3">
        <v>30000</v>
      </c>
      <c r="E42">
        <v>2</v>
      </c>
      <c r="F42" t="s">
        <v>21</v>
      </c>
      <c r="G42" t="s">
        <v>22</v>
      </c>
      <c r="H42" t="s">
        <v>20</v>
      </c>
      <c r="I42">
        <v>0</v>
      </c>
      <c r="J42" t="s">
        <v>18</v>
      </c>
      <c r="K42" t="s">
        <v>19</v>
      </c>
      <c r="L42">
        <v>43</v>
      </c>
      <c r="M42" t="str" cm="1">
        <f t="array" ref="M42">_xlfn.IFS(
L42&lt;=12,"Children",
L42&lt;=19,"Teens",
L42&lt;=29,"Young Adults",
L42&lt;=39,"Adults",
L42&lt;=59,"Middle-Aged",
L42&gt;=60,"Seniors"
)</f>
        <v>Middle-Aged</v>
      </c>
      <c r="N42" t="s">
        <v>20</v>
      </c>
    </row>
    <row r="43" spans="1:14" x14ac:dyDescent="0.3">
      <c r="A43">
        <v>14347</v>
      </c>
      <c r="B43" t="s">
        <v>40</v>
      </c>
      <c r="C43" t="s">
        <v>38</v>
      </c>
      <c r="D43" s="3">
        <v>40000</v>
      </c>
      <c r="E43">
        <v>2</v>
      </c>
      <c r="F43" t="s">
        <v>15</v>
      </c>
      <c r="G43" t="s">
        <v>31</v>
      </c>
      <c r="H43" t="s">
        <v>17</v>
      </c>
      <c r="I43">
        <v>2</v>
      </c>
      <c r="J43" t="s">
        <v>26</v>
      </c>
      <c r="K43" t="s">
        <v>27</v>
      </c>
      <c r="L43">
        <v>65</v>
      </c>
      <c r="M43" t="str" cm="1">
        <f t="array" ref="M43">_xlfn.IFS(
L43&lt;=12,"Children",
L43&lt;=19,"Teens",
L43&lt;=29,"Young Adults",
L43&lt;=39,"Adults",
L43&lt;=59,"Middle-Aged",
L43&gt;=60,"Seniors"
)</f>
        <v>Seniors</v>
      </c>
      <c r="N43" t="s">
        <v>17</v>
      </c>
    </row>
    <row r="44" spans="1:14" x14ac:dyDescent="0.3">
      <c r="A44">
        <v>17703</v>
      </c>
      <c r="B44" t="s">
        <v>37</v>
      </c>
      <c r="C44" t="s">
        <v>38</v>
      </c>
      <c r="D44" s="3">
        <v>10000</v>
      </c>
      <c r="E44">
        <v>1</v>
      </c>
      <c r="F44" t="s">
        <v>34</v>
      </c>
      <c r="G44" t="s">
        <v>28</v>
      </c>
      <c r="H44" t="s">
        <v>17</v>
      </c>
      <c r="I44">
        <v>0</v>
      </c>
      <c r="J44" t="s">
        <v>18</v>
      </c>
      <c r="K44" t="s">
        <v>19</v>
      </c>
      <c r="L44">
        <v>40</v>
      </c>
      <c r="M44" t="str" cm="1">
        <f t="array" ref="M44">_xlfn.IFS(
L44&lt;=12,"Children",
L44&lt;=19,"Teens",
L44&lt;=29,"Young Adults",
L44&lt;=39,"Adults",
L44&lt;=59,"Middle-Aged",
L44&gt;=60,"Seniors"
)</f>
        <v>Middle-Aged</v>
      </c>
      <c r="N44" t="s">
        <v>20</v>
      </c>
    </row>
    <row r="45" spans="1:14" x14ac:dyDescent="0.3">
      <c r="A45">
        <v>17185</v>
      </c>
      <c r="B45" t="s">
        <v>37</v>
      </c>
      <c r="C45" t="s">
        <v>38</v>
      </c>
      <c r="D45" s="3">
        <v>170000</v>
      </c>
      <c r="E45">
        <v>4</v>
      </c>
      <c r="F45" t="s">
        <v>21</v>
      </c>
      <c r="G45" t="s">
        <v>23</v>
      </c>
      <c r="H45" t="s">
        <v>20</v>
      </c>
      <c r="I45">
        <v>3</v>
      </c>
      <c r="J45" t="s">
        <v>26</v>
      </c>
      <c r="K45" t="s">
        <v>19</v>
      </c>
      <c r="L45">
        <v>48</v>
      </c>
      <c r="M45" t="str" cm="1">
        <f t="array" ref="M45">_xlfn.IFS(
L45&lt;=12,"Children",
L45&lt;=19,"Teens",
L45&lt;=29,"Young Adults",
L45&lt;=39,"Adults",
L45&lt;=59,"Middle-Aged",
L45&gt;=60,"Seniors"
)</f>
        <v>Middle-Aged</v>
      </c>
      <c r="N45" t="s">
        <v>17</v>
      </c>
    </row>
    <row r="46" spans="1:14" x14ac:dyDescent="0.3">
      <c r="A46">
        <v>29380</v>
      </c>
      <c r="B46" t="s">
        <v>37</v>
      </c>
      <c r="C46" t="s">
        <v>38</v>
      </c>
      <c r="D46" s="3">
        <v>20000</v>
      </c>
      <c r="E46">
        <v>3</v>
      </c>
      <c r="F46" t="s">
        <v>30</v>
      </c>
      <c r="G46" t="s">
        <v>28</v>
      </c>
      <c r="H46" t="s">
        <v>17</v>
      </c>
      <c r="I46">
        <v>0</v>
      </c>
      <c r="J46" t="s">
        <v>18</v>
      </c>
      <c r="K46" t="s">
        <v>19</v>
      </c>
      <c r="L46">
        <v>41</v>
      </c>
      <c r="M46" t="str" cm="1">
        <f t="array" ref="M46">_xlfn.IFS(
L46&lt;=12,"Children",
L46&lt;=19,"Teens",
L46&lt;=29,"Young Adults",
L46&lt;=39,"Adults",
L46&lt;=59,"Middle-Aged",
L46&gt;=60,"Seniors"
)</f>
        <v>Middle-Aged</v>
      </c>
      <c r="N46" t="s">
        <v>17</v>
      </c>
    </row>
    <row r="47" spans="1:14" x14ac:dyDescent="0.3">
      <c r="A47">
        <v>23986</v>
      </c>
      <c r="B47" t="s">
        <v>37</v>
      </c>
      <c r="C47" t="s">
        <v>38</v>
      </c>
      <c r="D47" s="3">
        <v>20000</v>
      </c>
      <c r="E47">
        <v>1</v>
      </c>
      <c r="F47" t="s">
        <v>15</v>
      </c>
      <c r="G47" t="s">
        <v>22</v>
      </c>
      <c r="H47" t="s">
        <v>17</v>
      </c>
      <c r="I47">
        <v>0</v>
      </c>
      <c r="J47" t="s">
        <v>18</v>
      </c>
      <c r="K47" t="s">
        <v>19</v>
      </c>
      <c r="L47">
        <v>66</v>
      </c>
      <c r="M47" t="str" cm="1">
        <f t="array" ref="M47">_xlfn.IFS(
L47&lt;=12,"Children",
L47&lt;=19,"Teens",
L47&lt;=29,"Young Adults",
L47&lt;=39,"Adults",
L47&lt;=59,"Middle-Aged",
L47&gt;=60,"Seniors"
)</f>
        <v>Seniors</v>
      </c>
      <c r="N47" t="s">
        <v>17</v>
      </c>
    </row>
    <row r="48" spans="1:14" x14ac:dyDescent="0.3">
      <c r="A48">
        <v>24466</v>
      </c>
      <c r="B48" t="s">
        <v>37</v>
      </c>
      <c r="C48" t="s">
        <v>38</v>
      </c>
      <c r="D48" s="3">
        <v>60000</v>
      </c>
      <c r="E48">
        <v>1</v>
      </c>
      <c r="F48" t="s">
        <v>21</v>
      </c>
      <c r="G48" t="s">
        <v>16</v>
      </c>
      <c r="H48" t="s">
        <v>17</v>
      </c>
      <c r="I48">
        <v>1</v>
      </c>
      <c r="J48" t="s">
        <v>26</v>
      </c>
      <c r="K48" t="s">
        <v>27</v>
      </c>
      <c r="L48">
        <v>46</v>
      </c>
      <c r="M48" t="str" cm="1">
        <f t="array" ref="M48">_xlfn.IFS(
L48&lt;=12,"Children",
L48&lt;=19,"Teens",
L48&lt;=29,"Young Adults",
L48&lt;=39,"Adults",
L48&lt;=59,"Middle-Aged",
L48&gt;=60,"Seniors"
)</f>
        <v>Middle-Aged</v>
      </c>
      <c r="N48" t="s">
        <v>17</v>
      </c>
    </row>
    <row r="49" spans="1:14" x14ac:dyDescent="0.3">
      <c r="A49">
        <v>29097</v>
      </c>
      <c r="B49" t="s">
        <v>40</v>
      </c>
      <c r="C49" t="s">
        <v>38</v>
      </c>
      <c r="D49" s="3">
        <v>40000</v>
      </c>
      <c r="E49">
        <v>2</v>
      </c>
      <c r="F49" t="s">
        <v>21</v>
      </c>
      <c r="G49" t="s">
        <v>16</v>
      </c>
      <c r="H49" t="s">
        <v>17</v>
      </c>
      <c r="I49">
        <v>2</v>
      </c>
      <c r="J49" t="s">
        <v>26</v>
      </c>
      <c r="K49" t="s">
        <v>27</v>
      </c>
      <c r="L49">
        <v>52</v>
      </c>
      <c r="M49" t="str" cm="1">
        <f t="array" ref="M49">_xlfn.IFS(
L49&lt;=12,"Children",
L49&lt;=19,"Teens",
L49&lt;=29,"Young Adults",
L49&lt;=39,"Adults",
L49&lt;=59,"Middle-Aged",
L49&gt;=60,"Seniors"
)</f>
        <v>Middle-Aged</v>
      </c>
      <c r="N49" t="s">
        <v>17</v>
      </c>
    </row>
    <row r="50" spans="1:14" x14ac:dyDescent="0.3">
      <c r="A50">
        <v>19487</v>
      </c>
      <c r="B50" t="s">
        <v>37</v>
      </c>
      <c r="C50" t="s">
        <v>39</v>
      </c>
      <c r="D50" s="3">
        <v>30000</v>
      </c>
      <c r="E50">
        <v>2</v>
      </c>
      <c r="F50" t="s">
        <v>21</v>
      </c>
      <c r="G50" t="s">
        <v>22</v>
      </c>
      <c r="H50" t="s">
        <v>20</v>
      </c>
      <c r="I50">
        <v>2</v>
      </c>
      <c r="J50" t="s">
        <v>18</v>
      </c>
      <c r="K50" t="s">
        <v>19</v>
      </c>
      <c r="L50">
        <v>42</v>
      </c>
      <c r="M50" t="str" cm="1">
        <f t="array" ref="M50">_xlfn.IFS(
L50&lt;=12,"Children",
L50&lt;=19,"Teens",
L50&lt;=29,"Young Adults",
L50&lt;=39,"Adults",
L50&lt;=59,"Middle-Aged",
L50&gt;=60,"Seniors"
)</f>
        <v>Middle-Aged</v>
      </c>
      <c r="N50" t="s">
        <v>20</v>
      </c>
    </row>
    <row r="51" spans="1:14" x14ac:dyDescent="0.3">
      <c r="A51">
        <v>14939</v>
      </c>
      <c r="B51" t="s">
        <v>40</v>
      </c>
      <c r="C51" t="s">
        <v>39</v>
      </c>
      <c r="D51" s="3">
        <v>40000</v>
      </c>
      <c r="E51">
        <v>0</v>
      </c>
      <c r="F51" t="s">
        <v>15</v>
      </c>
      <c r="G51" t="s">
        <v>22</v>
      </c>
      <c r="H51" t="s">
        <v>17</v>
      </c>
      <c r="I51">
        <v>0</v>
      </c>
      <c r="J51" t="s">
        <v>18</v>
      </c>
      <c r="K51" t="s">
        <v>19</v>
      </c>
      <c r="L51">
        <v>39</v>
      </c>
      <c r="M51" t="str" cm="1">
        <f t="array" ref="M51">_xlfn.IFS(
L51&lt;=12,"Children",
L51&lt;=19,"Teens",
L51&lt;=29,"Young Adults",
L51&lt;=39,"Adults",
L51&lt;=59,"Middle-Aged",
L51&gt;=60,"Seniors"
)</f>
        <v>Adults</v>
      </c>
      <c r="N51" t="s">
        <v>17</v>
      </c>
    </row>
    <row r="52" spans="1:14" x14ac:dyDescent="0.3">
      <c r="A52">
        <v>13826</v>
      </c>
      <c r="B52" t="s">
        <v>40</v>
      </c>
      <c r="C52" t="s">
        <v>38</v>
      </c>
      <c r="D52" s="3">
        <v>30000</v>
      </c>
      <c r="E52">
        <v>0</v>
      </c>
      <c r="F52" t="s">
        <v>21</v>
      </c>
      <c r="G52" t="s">
        <v>22</v>
      </c>
      <c r="H52" t="s">
        <v>20</v>
      </c>
      <c r="I52">
        <v>1</v>
      </c>
      <c r="J52" t="s">
        <v>18</v>
      </c>
      <c r="K52" t="s">
        <v>19</v>
      </c>
      <c r="L52">
        <v>28</v>
      </c>
      <c r="M52" t="str" cm="1">
        <f t="array" ref="M52">_xlfn.IFS(
L52&lt;=12,"Children",
L52&lt;=19,"Teens",
L52&lt;=29,"Young Adults",
L52&lt;=39,"Adults",
L52&lt;=59,"Middle-Aged",
L52&gt;=60,"Seniors"
)</f>
        <v>Young Adults</v>
      </c>
      <c r="N52" t="s">
        <v>20</v>
      </c>
    </row>
    <row r="53" spans="1:14" x14ac:dyDescent="0.3">
      <c r="A53">
        <v>20619</v>
      </c>
      <c r="B53" t="s">
        <v>40</v>
      </c>
      <c r="C53" t="s">
        <v>39</v>
      </c>
      <c r="D53" s="3">
        <v>80000</v>
      </c>
      <c r="E53">
        <v>0</v>
      </c>
      <c r="F53" t="s">
        <v>15</v>
      </c>
      <c r="G53" t="s">
        <v>23</v>
      </c>
      <c r="H53" t="s">
        <v>20</v>
      </c>
      <c r="I53">
        <v>4</v>
      </c>
      <c r="J53" t="s">
        <v>41</v>
      </c>
      <c r="K53" t="s">
        <v>27</v>
      </c>
      <c r="L53">
        <v>35</v>
      </c>
      <c r="M53" t="str" cm="1">
        <f t="array" ref="M53">_xlfn.IFS(
L53&lt;=12,"Children",
L53&lt;=19,"Teens",
L53&lt;=29,"Young Adults",
L53&lt;=39,"Adults",
L53&lt;=59,"Middle-Aged",
L53&gt;=60,"Seniors"
)</f>
        <v>Adults</v>
      </c>
      <c r="N53" t="s">
        <v>20</v>
      </c>
    </row>
    <row r="54" spans="1:14" x14ac:dyDescent="0.3">
      <c r="A54">
        <v>12558</v>
      </c>
      <c r="B54" t="s">
        <v>37</v>
      </c>
      <c r="C54" t="s">
        <v>38</v>
      </c>
      <c r="D54" s="3">
        <v>20000</v>
      </c>
      <c r="E54">
        <v>1</v>
      </c>
      <c r="F54" t="s">
        <v>15</v>
      </c>
      <c r="G54" t="s">
        <v>22</v>
      </c>
      <c r="H54" t="s">
        <v>17</v>
      </c>
      <c r="I54">
        <v>0</v>
      </c>
      <c r="J54" t="s">
        <v>18</v>
      </c>
      <c r="K54" t="s">
        <v>19</v>
      </c>
      <c r="L54">
        <v>65</v>
      </c>
      <c r="M54" t="str" cm="1">
        <f t="array" ref="M54">_xlfn.IFS(
L54&lt;=12,"Children",
L54&lt;=19,"Teens",
L54&lt;=29,"Young Adults",
L54&lt;=39,"Adults",
L54&lt;=59,"Middle-Aged",
L54&gt;=60,"Seniors"
)</f>
        <v>Seniors</v>
      </c>
      <c r="N54" t="s">
        <v>20</v>
      </c>
    </row>
    <row r="55" spans="1:14" x14ac:dyDescent="0.3">
      <c r="A55">
        <v>24871</v>
      </c>
      <c r="B55" t="s">
        <v>40</v>
      </c>
      <c r="C55" t="s">
        <v>38</v>
      </c>
      <c r="D55" s="3">
        <v>90000</v>
      </c>
      <c r="E55">
        <v>4</v>
      </c>
      <c r="F55" t="s">
        <v>30</v>
      </c>
      <c r="G55" t="s">
        <v>31</v>
      </c>
      <c r="H55" t="s">
        <v>20</v>
      </c>
      <c r="I55">
        <v>3</v>
      </c>
      <c r="J55" t="s">
        <v>26</v>
      </c>
      <c r="K55" t="s">
        <v>19</v>
      </c>
      <c r="L55">
        <v>56</v>
      </c>
      <c r="M55" t="str" cm="1">
        <f t="array" ref="M55">_xlfn.IFS(
L55&lt;=12,"Children",
L55&lt;=19,"Teens",
L55&lt;=29,"Young Adults",
L55&lt;=39,"Adults",
L55&lt;=59,"Middle-Aged",
L55&gt;=60,"Seniors"
)</f>
        <v>Middle-Aged</v>
      </c>
      <c r="N55" t="s">
        <v>20</v>
      </c>
    </row>
    <row r="56" spans="1:14" x14ac:dyDescent="0.3">
      <c r="A56">
        <v>17319</v>
      </c>
      <c r="B56" t="s">
        <v>40</v>
      </c>
      <c r="C56" t="s">
        <v>38</v>
      </c>
      <c r="D56" s="3">
        <v>70000</v>
      </c>
      <c r="E56">
        <v>0</v>
      </c>
      <c r="F56" t="s">
        <v>15</v>
      </c>
      <c r="G56" t="s">
        <v>23</v>
      </c>
      <c r="H56" t="s">
        <v>20</v>
      </c>
      <c r="I56">
        <v>1</v>
      </c>
      <c r="J56" t="s">
        <v>26</v>
      </c>
      <c r="K56" t="s">
        <v>27</v>
      </c>
      <c r="L56">
        <v>42</v>
      </c>
      <c r="M56" t="str" cm="1">
        <f t="array" ref="M56">_xlfn.IFS(
L56&lt;=12,"Children",
L56&lt;=19,"Teens",
L56&lt;=29,"Young Adults",
L56&lt;=39,"Adults",
L56&lt;=59,"Middle-Aged",
L56&gt;=60,"Seniors"
)</f>
        <v>Middle-Aged</v>
      </c>
      <c r="N56" t="s">
        <v>20</v>
      </c>
    </row>
    <row r="57" spans="1:14" x14ac:dyDescent="0.3">
      <c r="A57">
        <v>28906</v>
      </c>
      <c r="B57" t="s">
        <v>37</v>
      </c>
      <c r="C57" t="s">
        <v>39</v>
      </c>
      <c r="D57" s="3">
        <v>80000</v>
      </c>
      <c r="E57">
        <v>4</v>
      </c>
      <c r="F57" t="s">
        <v>30</v>
      </c>
      <c r="G57" t="s">
        <v>23</v>
      </c>
      <c r="H57" t="s">
        <v>17</v>
      </c>
      <c r="I57">
        <v>2</v>
      </c>
      <c r="J57" t="s">
        <v>41</v>
      </c>
      <c r="K57" t="s">
        <v>19</v>
      </c>
      <c r="L57">
        <v>54</v>
      </c>
      <c r="M57" t="str" cm="1">
        <f t="array" ref="M57">_xlfn.IFS(
L57&lt;=12,"Children",
L57&lt;=19,"Teens",
L57&lt;=29,"Young Adults",
L57&lt;=39,"Adults",
L57&lt;=59,"Middle-Aged",
L57&gt;=60,"Seniors"
)</f>
        <v>Middle-Aged</v>
      </c>
      <c r="N57" t="s">
        <v>20</v>
      </c>
    </row>
    <row r="58" spans="1:14" x14ac:dyDescent="0.3">
      <c r="A58">
        <v>12808</v>
      </c>
      <c r="B58" t="s">
        <v>37</v>
      </c>
      <c r="C58" t="s">
        <v>39</v>
      </c>
      <c r="D58" s="3">
        <v>40000</v>
      </c>
      <c r="E58">
        <v>0</v>
      </c>
      <c r="F58" t="s">
        <v>15</v>
      </c>
      <c r="G58" t="s">
        <v>22</v>
      </c>
      <c r="H58" t="s">
        <v>17</v>
      </c>
      <c r="I58">
        <v>0</v>
      </c>
      <c r="J58" t="s">
        <v>18</v>
      </c>
      <c r="K58" t="s">
        <v>19</v>
      </c>
      <c r="L58">
        <v>38</v>
      </c>
      <c r="M58" t="str" cm="1">
        <f t="array" ref="M58">_xlfn.IFS(
L58&lt;=12,"Children",
L58&lt;=19,"Teens",
L58&lt;=29,"Young Adults",
L58&lt;=39,"Adults",
L58&lt;=59,"Middle-Aged",
L58&gt;=60,"Seniors"
)</f>
        <v>Adults</v>
      </c>
      <c r="N58" t="s">
        <v>17</v>
      </c>
    </row>
    <row r="59" spans="1:14" x14ac:dyDescent="0.3">
      <c r="A59">
        <v>20567</v>
      </c>
      <c r="B59" t="s">
        <v>37</v>
      </c>
      <c r="C59" t="s">
        <v>39</v>
      </c>
      <c r="D59" s="3">
        <v>130000</v>
      </c>
      <c r="E59">
        <v>4</v>
      </c>
      <c r="F59" t="s">
        <v>21</v>
      </c>
      <c r="G59" t="s">
        <v>23</v>
      </c>
      <c r="H59" t="s">
        <v>20</v>
      </c>
      <c r="I59">
        <v>4</v>
      </c>
      <c r="J59" t="s">
        <v>26</v>
      </c>
      <c r="K59" t="s">
        <v>19</v>
      </c>
      <c r="L59">
        <v>61</v>
      </c>
      <c r="M59" t="str" cm="1">
        <f t="array" ref="M59">_xlfn.IFS(
L59&lt;=12,"Children",
L59&lt;=19,"Teens",
L59&lt;=29,"Young Adults",
L59&lt;=39,"Adults",
L59&lt;=59,"Middle-Aged",
L59&gt;=60,"Seniors"
)</f>
        <v>Seniors</v>
      </c>
      <c r="N59" t="s">
        <v>17</v>
      </c>
    </row>
    <row r="60" spans="1:14" x14ac:dyDescent="0.3">
      <c r="A60">
        <v>25502</v>
      </c>
      <c r="B60" t="s">
        <v>37</v>
      </c>
      <c r="C60" t="s">
        <v>38</v>
      </c>
      <c r="D60" s="3">
        <v>40000</v>
      </c>
      <c r="E60">
        <v>1</v>
      </c>
      <c r="F60" t="s">
        <v>15</v>
      </c>
      <c r="G60" t="s">
        <v>16</v>
      </c>
      <c r="H60" t="s">
        <v>17</v>
      </c>
      <c r="I60">
        <v>0</v>
      </c>
      <c r="J60" t="s">
        <v>18</v>
      </c>
      <c r="K60" t="s">
        <v>19</v>
      </c>
      <c r="L60">
        <v>43</v>
      </c>
      <c r="M60" t="str" cm="1">
        <f t="array" ref="M60">_xlfn.IFS(
L60&lt;=12,"Children",
L60&lt;=19,"Teens",
L60&lt;=29,"Young Adults",
L60&lt;=39,"Adults",
L60&lt;=59,"Middle-Aged",
L60&gt;=60,"Seniors"
)</f>
        <v>Middle-Aged</v>
      </c>
      <c r="N60" t="s">
        <v>17</v>
      </c>
    </row>
    <row r="61" spans="1:14" x14ac:dyDescent="0.3">
      <c r="A61">
        <v>15580</v>
      </c>
      <c r="B61" t="s">
        <v>37</v>
      </c>
      <c r="C61" t="s">
        <v>39</v>
      </c>
      <c r="D61" s="3">
        <v>60000</v>
      </c>
      <c r="E61">
        <v>2</v>
      </c>
      <c r="F61" t="s">
        <v>15</v>
      </c>
      <c r="G61" t="s">
        <v>23</v>
      </c>
      <c r="H61" t="s">
        <v>17</v>
      </c>
      <c r="I61">
        <v>1</v>
      </c>
      <c r="J61" t="s">
        <v>24</v>
      </c>
      <c r="K61" t="s">
        <v>27</v>
      </c>
      <c r="L61">
        <v>38</v>
      </c>
      <c r="M61" t="str" cm="1">
        <f t="array" ref="M61">_xlfn.IFS(
L61&lt;=12,"Children",
L61&lt;=19,"Teens",
L61&lt;=29,"Young Adults",
L61&lt;=39,"Adults",
L61&lt;=59,"Middle-Aged",
L61&gt;=60,"Seniors"
)</f>
        <v>Adults</v>
      </c>
      <c r="N61" t="s">
        <v>17</v>
      </c>
    </row>
    <row r="62" spans="1:14" x14ac:dyDescent="0.3">
      <c r="A62">
        <v>24185</v>
      </c>
      <c r="B62" t="s">
        <v>40</v>
      </c>
      <c r="C62" t="s">
        <v>38</v>
      </c>
      <c r="D62" s="3">
        <v>10000</v>
      </c>
      <c r="E62">
        <v>1</v>
      </c>
      <c r="F62" t="s">
        <v>30</v>
      </c>
      <c r="G62" t="s">
        <v>28</v>
      </c>
      <c r="H62" t="s">
        <v>20</v>
      </c>
      <c r="I62">
        <v>1</v>
      </c>
      <c r="J62" t="s">
        <v>29</v>
      </c>
      <c r="K62" t="s">
        <v>19</v>
      </c>
      <c r="L62">
        <v>45</v>
      </c>
      <c r="M62" t="str" cm="1">
        <f t="array" ref="M62">_xlfn.IFS(
L62&lt;=12,"Children",
L62&lt;=19,"Teens",
L62&lt;=29,"Young Adults",
L62&lt;=39,"Adults",
L62&lt;=59,"Middle-Aged",
L62&gt;=60,"Seniors"
)</f>
        <v>Middle-Aged</v>
      </c>
      <c r="N62" t="s">
        <v>20</v>
      </c>
    </row>
    <row r="63" spans="1:14" x14ac:dyDescent="0.3">
      <c r="A63">
        <v>19291</v>
      </c>
      <c r="B63" t="s">
        <v>40</v>
      </c>
      <c r="C63" t="s">
        <v>38</v>
      </c>
      <c r="D63" s="3">
        <v>10000</v>
      </c>
      <c r="E63">
        <v>2</v>
      </c>
      <c r="F63" t="s">
        <v>30</v>
      </c>
      <c r="G63" t="s">
        <v>28</v>
      </c>
      <c r="H63" t="s">
        <v>17</v>
      </c>
      <c r="I63">
        <v>0</v>
      </c>
      <c r="J63" t="s">
        <v>18</v>
      </c>
      <c r="K63" t="s">
        <v>19</v>
      </c>
      <c r="L63">
        <v>35</v>
      </c>
      <c r="M63" t="str" cm="1">
        <f t="array" ref="M63">_xlfn.IFS(
L63&lt;=12,"Children",
L63&lt;=19,"Teens",
L63&lt;=29,"Young Adults",
L63&lt;=39,"Adults",
L63&lt;=59,"Middle-Aged",
L63&gt;=60,"Seniors"
)</f>
        <v>Adults</v>
      </c>
      <c r="N63" t="s">
        <v>20</v>
      </c>
    </row>
    <row r="64" spans="1:14" x14ac:dyDescent="0.3">
      <c r="A64">
        <v>16713</v>
      </c>
      <c r="B64" t="s">
        <v>37</v>
      </c>
      <c r="C64" t="s">
        <v>39</v>
      </c>
      <c r="D64" s="3">
        <v>40000</v>
      </c>
      <c r="E64">
        <v>2</v>
      </c>
      <c r="F64" t="s">
        <v>15</v>
      </c>
      <c r="G64" t="s">
        <v>31</v>
      </c>
      <c r="H64" t="s">
        <v>17</v>
      </c>
      <c r="I64">
        <v>1</v>
      </c>
      <c r="J64" t="s">
        <v>18</v>
      </c>
      <c r="K64" t="s">
        <v>27</v>
      </c>
      <c r="L64">
        <v>52</v>
      </c>
      <c r="M64" t="str" cm="1">
        <f t="array" ref="M64">_xlfn.IFS(
L64&lt;=12,"Children",
L64&lt;=19,"Teens",
L64&lt;=29,"Young Adults",
L64&lt;=39,"Adults",
L64&lt;=59,"Middle-Aged",
L64&gt;=60,"Seniors"
)</f>
        <v>Middle-Aged</v>
      </c>
      <c r="N64" t="s">
        <v>17</v>
      </c>
    </row>
    <row r="65" spans="1:14" x14ac:dyDescent="0.3">
      <c r="A65">
        <v>16185</v>
      </c>
      <c r="B65" t="s">
        <v>40</v>
      </c>
      <c r="C65" t="s">
        <v>39</v>
      </c>
      <c r="D65" s="3">
        <v>60000</v>
      </c>
      <c r="E65">
        <v>4</v>
      </c>
      <c r="F65" t="s">
        <v>15</v>
      </c>
      <c r="G65" t="s">
        <v>23</v>
      </c>
      <c r="H65" t="s">
        <v>17</v>
      </c>
      <c r="I65">
        <v>3</v>
      </c>
      <c r="J65" t="s">
        <v>41</v>
      </c>
      <c r="K65" t="s">
        <v>27</v>
      </c>
      <c r="L65">
        <v>41</v>
      </c>
      <c r="M65" t="str" cm="1">
        <f t="array" ref="M65">_xlfn.IFS(
L65&lt;=12,"Children",
L65&lt;=19,"Teens",
L65&lt;=29,"Young Adults",
L65&lt;=39,"Adults",
L65&lt;=59,"Middle-Aged",
L65&gt;=60,"Seniors"
)</f>
        <v>Middle-Aged</v>
      </c>
      <c r="N65" t="s">
        <v>20</v>
      </c>
    </row>
    <row r="66" spans="1:14" x14ac:dyDescent="0.3">
      <c r="A66">
        <v>14927</v>
      </c>
      <c r="B66" t="s">
        <v>37</v>
      </c>
      <c r="C66" t="s">
        <v>38</v>
      </c>
      <c r="D66" s="3">
        <v>30000</v>
      </c>
      <c r="E66">
        <v>1</v>
      </c>
      <c r="F66" t="s">
        <v>15</v>
      </c>
      <c r="G66" t="s">
        <v>22</v>
      </c>
      <c r="H66" t="s">
        <v>17</v>
      </c>
      <c r="I66">
        <v>0</v>
      </c>
      <c r="J66" t="s">
        <v>18</v>
      </c>
      <c r="K66" t="s">
        <v>19</v>
      </c>
      <c r="L66">
        <v>37</v>
      </c>
      <c r="M66" t="str" cm="1">
        <f t="array" ref="M66">_xlfn.IFS(
L66&lt;=12,"Children",
L66&lt;=19,"Teens",
L66&lt;=29,"Young Adults",
L66&lt;=39,"Adults",
L66&lt;=59,"Middle-Aged",
L66&gt;=60,"Seniors"
)</f>
        <v>Adults</v>
      </c>
      <c r="N66" t="s">
        <v>17</v>
      </c>
    </row>
    <row r="67" spans="1:14" x14ac:dyDescent="0.3">
      <c r="A67">
        <v>29337</v>
      </c>
      <c r="B67" t="s">
        <v>40</v>
      </c>
      <c r="C67" t="s">
        <v>39</v>
      </c>
      <c r="D67" s="3">
        <v>30000</v>
      </c>
      <c r="E67">
        <v>2</v>
      </c>
      <c r="F67" t="s">
        <v>21</v>
      </c>
      <c r="G67" t="s">
        <v>22</v>
      </c>
      <c r="H67" t="s">
        <v>17</v>
      </c>
      <c r="I67">
        <v>2</v>
      </c>
      <c r="J67" t="s">
        <v>26</v>
      </c>
      <c r="K67" t="s">
        <v>27</v>
      </c>
      <c r="L67">
        <v>68</v>
      </c>
      <c r="M67" t="str" cm="1">
        <f t="array" ref="M67">_xlfn.IFS(
L67&lt;=12,"Children",
L67&lt;=19,"Teens",
L67&lt;=29,"Young Adults",
L67&lt;=39,"Adults",
L67&lt;=59,"Middle-Aged",
L67&gt;=60,"Seniors"
)</f>
        <v>Seniors</v>
      </c>
      <c r="N67" t="s">
        <v>20</v>
      </c>
    </row>
    <row r="68" spans="1:14" x14ac:dyDescent="0.3">
      <c r="A68">
        <v>29355</v>
      </c>
      <c r="B68" t="s">
        <v>37</v>
      </c>
      <c r="C68" t="s">
        <v>38</v>
      </c>
      <c r="D68" s="3">
        <v>40000</v>
      </c>
      <c r="E68">
        <v>0</v>
      </c>
      <c r="F68" t="s">
        <v>34</v>
      </c>
      <c r="G68" t="s">
        <v>22</v>
      </c>
      <c r="H68" t="s">
        <v>17</v>
      </c>
      <c r="I68">
        <v>0</v>
      </c>
      <c r="J68" t="s">
        <v>18</v>
      </c>
      <c r="K68" t="s">
        <v>19</v>
      </c>
      <c r="L68">
        <v>37</v>
      </c>
      <c r="M68" t="str" cm="1">
        <f t="array" ref="M68">_xlfn.IFS(
L68&lt;=12,"Children",
L68&lt;=19,"Teens",
L68&lt;=29,"Young Adults",
L68&lt;=39,"Adults",
L68&lt;=59,"Middle-Aged",
L68&gt;=60,"Seniors"
)</f>
        <v>Adults</v>
      </c>
      <c r="N68" t="s">
        <v>17</v>
      </c>
    </row>
    <row r="69" spans="1:14" x14ac:dyDescent="0.3">
      <c r="A69">
        <v>25303</v>
      </c>
      <c r="B69" t="s">
        <v>40</v>
      </c>
      <c r="C69" t="s">
        <v>39</v>
      </c>
      <c r="D69" s="3">
        <v>30000</v>
      </c>
      <c r="E69">
        <v>0</v>
      </c>
      <c r="F69" t="s">
        <v>30</v>
      </c>
      <c r="G69" t="s">
        <v>28</v>
      </c>
      <c r="H69" t="s">
        <v>17</v>
      </c>
      <c r="I69">
        <v>1</v>
      </c>
      <c r="J69" t="s">
        <v>24</v>
      </c>
      <c r="K69" t="s">
        <v>19</v>
      </c>
      <c r="L69">
        <v>33</v>
      </c>
      <c r="M69" t="str" cm="1">
        <f t="array" ref="M69">_xlfn.IFS(
L69&lt;=12,"Children",
L69&lt;=19,"Teens",
L69&lt;=29,"Young Adults",
L69&lt;=39,"Adults",
L69&lt;=59,"Middle-Aged",
L69&gt;=60,"Seniors"
)</f>
        <v>Adults</v>
      </c>
      <c r="N69" t="s">
        <v>17</v>
      </c>
    </row>
    <row r="70" spans="1:14" x14ac:dyDescent="0.3">
      <c r="A70">
        <v>14813</v>
      </c>
      <c r="B70" t="s">
        <v>40</v>
      </c>
      <c r="C70" t="s">
        <v>38</v>
      </c>
      <c r="D70" s="3">
        <v>20000</v>
      </c>
      <c r="E70">
        <v>4</v>
      </c>
      <c r="F70" t="s">
        <v>30</v>
      </c>
      <c r="G70" t="s">
        <v>28</v>
      </c>
      <c r="H70" t="s">
        <v>17</v>
      </c>
      <c r="I70">
        <v>1</v>
      </c>
      <c r="J70" t="s">
        <v>18</v>
      </c>
      <c r="K70" t="s">
        <v>19</v>
      </c>
      <c r="L70">
        <v>43</v>
      </c>
      <c r="M70" t="str" cm="1">
        <f t="array" ref="M70">_xlfn.IFS(
L70&lt;=12,"Children",
L70&lt;=19,"Teens",
L70&lt;=29,"Young Adults",
L70&lt;=39,"Adults",
L70&lt;=59,"Middle-Aged",
L70&gt;=60,"Seniors"
)</f>
        <v>Middle-Aged</v>
      </c>
      <c r="N70" t="s">
        <v>17</v>
      </c>
    </row>
    <row r="71" spans="1:14" x14ac:dyDescent="0.3">
      <c r="A71">
        <v>16438</v>
      </c>
      <c r="B71" t="s">
        <v>37</v>
      </c>
      <c r="C71" t="s">
        <v>38</v>
      </c>
      <c r="D71" s="3">
        <v>10000</v>
      </c>
      <c r="E71">
        <v>0</v>
      </c>
      <c r="F71" t="s">
        <v>32</v>
      </c>
      <c r="G71" t="s">
        <v>28</v>
      </c>
      <c r="H71" t="s">
        <v>20</v>
      </c>
      <c r="I71">
        <v>2</v>
      </c>
      <c r="J71" t="s">
        <v>18</v>
      </c>
      <c r="K71" t="s">
        <v>19</v>
      </c>
      <c r="L71">
        <v>30</v>
      </c>
      <c r="M71" t="str" cm="1">
        <f t="array" ref="M71">_xlfn.IFS(
L71&lt;=12,"Children",
L71&lt;=19,"Teens",
L71&lt;=29,"Young Adults",
L71&lt;=39,"Adults",
L71&lt;=59,"Middle-Aged",
L71&gt;=60,"Seniors"
)</f>
        <v>Adults</v>
      </c>
      <c r="N71" t="s">
        <v>20</v>
      </c>
    </row>
    <row r="72" spans="1:14" x14ac:dyDescent="0.3">
      <c r="A72">
        <v>14238</v>
      </c>
      <c r="B72" t="s">
        <v>37</v>
      </c>
      <c r="C72" t="s">
        <v>39</v>
      </c>
      <c r="D72" s="3">
        <v>120000</v>
      </c>
      <c r="E72">
        <v>0</v>
      </c>
      <c r="F72" t="s">
        <v>32</v>
      </c>
      <c r="G72" t="s">
        <v>23</v>
      </c>
      <c r="H72" t="s">
        <v>17</v>
      </c>
      <c r="I72">
        <v>4</v>
      </c>
      <c r="J72" t="s">
        <v>41</v>
      </c>
      <c r="K72" t="s">
        <v>27</v>
      </c>
      <c r="L72">
        <v>36</v>
      </c>
      <c r="M72" t="str" cm="1">
        <f t="array" ref="M72">_xlfn.IFS(
L72&lt;=12,"Children",
L72&lt;=19,"Teens",
L72&lt;=29,"Young Adults",
L72&lt;=39,"Adults",
L72&lt;=59,"Middle-Aged",
L72&gt;=60,"Seniors"
)</f>
        <v>Adults</v>
      </c>
      <c r="N72" t="s">
        <v>17</v>
      </c>
    </row>
    <row r="73" spans="1:14" x14ac:dyDescent="0.3">
      <c r="A73">
        <v>16200</v>
      </c>
      <c r="B73" t="s">
        <v>40</v>
      </c>
      <c r="C73" t="s">
        <v>38</v>
      </c>
      <c r="D73" s="3">
        <v>10000</v>
      </c>
      <c r="E73">
        <v>0</v>
      </c>
      <c r="F73" t="s">
        <v>32</v>
      </c>
      <c r="G73" t="s">
        <v>28</v>
      </c>
      <c r="H73" t="s">
        <v>20</v>
      </c>
      <c r="I73">
        <v>2</v>
      </c>
      <c r="J73" t="s">
        <v>18</v>
      </c>
      <c r="K73" t="s">
        <v>19</v>
      </c>
      <c r="L73">
        <v>35</v>
      </c>
      <c r="M73" t="str" cm="1">
        <f t="array" ref="M73">_xlfn.IFS(
L73&lt;=12,"Children",
L73&lt;=19,"Teens",
L73&lt;=29,"Young Adults",
L73&lt;=39,"Adults",
L73&lt;=59,"Middle-Aged",
L73&gt;=60,"Seniors"
)</f>
        <v>Adults</v>
      </c>
      <c r="N73" t="s">
        <v>20</v>
      </c>
    </row>
    <row r="74" spans="1:14" x14ac:dyDescent="0.3">
      <c r="A74">
        <v>24857</v>
      </c>
      <c r="B74" t="s">
        <v>37</v>
      </c>
      <c r="C74" t="s">
        <v>38</v>
      </c>
      <c r="D74" s="3">
        <v>130000</v>
      </c>
      <c r="E74">
        <v>3</v>
      </c>
      <c r="F74" t="s">
        <v>30</v>
      </c>
      <c r="G74" t="s">
        <v>23</v>
      </c>
      <c r="H74" t="s">
        <v>17</v>
      </c>
      <c r="I74">
        <v>4</v>
      </c>
      <c r="J74" t="s">
        <v>18</v>
      </c>
      <c r="K74" t="s">
        <v>19</v>
      </c>
      <c r="L74">
        <v>52</v>
      </c>
      <c r="M74" t="str" cm="1">
        <f t="array" ref="M74">_xlfn.IFS(
L74&lt;=12,"Children",
L74&lt;=19,"Teens",
L74&lt;=29,"Young Adults",
L74&lt;=39,"Adults",
L74&lt;=59,"Middle-Aged",
L74&gt;=60,"Seniors"
)</f>
        <v>Middle-Aged</v>
      </c>
      <c r="N74" t="s">
        <v>20</v>
      </c>
    </row>
    <row r="75" spans="1:14" x14ac:dyDescent="0.3">
      <c r="A75">
        <v>26956</v>
      </c>
      <c r="B75" t="s">
        <v>40</v>
      </c>
      <c r="C75" t="s">
        <v>38</v>
      </c>
      <c r="D75" s="3">
        <v>20000</v>
      </c>
      <c r="E75">
        <v>0</v>
      </c>
      <c r="F75" t="s">
        <v>21</v>
      </c>
      <c r="G75" t="s">
        <v>28</v>
      </c>
      <c r="H75" t="s">
        <v>20</v>
      </c>
      <c r="I75">
        <v>1</v>
      </c>
      <c r="J75" t="s">
        <v>24</v>
      </c>
      <c r="K75" t="s">
        <v>19</v>
      </c>
      <c r="L75">
        <v>36</v>
      </c>
      <c r="M75" t="str" cm="1">
        <f t="array" ref="M75">_xlfn.IFS(
L75&lt;=12,"Children",
L75&lt;=19,"Teens",
L75&lt;=29,"Young Adults",
L75&lt;=39,"Adults",
L75&lt;=59,"Middle-Aged",
L75&gt;=60,"Seniors"
)</f>
        <v>Adults</v>
      </c>
      <c r="N75" t="s">
        <v>17</v>
      </c>
    </row>
    <row r="76" spans="1:14" x14ac:dyDescent="0.3">
      <c r="A76">
        <v>14517</v>
      </c>
      <c r="B76" t="s">
        <v>37</v>
      </c>
      <c r="C76" t="s">
        <v>38</v>
      </c>
      <c r="D76" s="3">
        <v>20000</v>
      </c>
      <c r="E76">
        <v>3</v>
      </c>
      <c r="F76" t="s">
        <v>30</v>
      </c>
      <c r="G76" t="s">
        <v>16</v>
      </c>
      <c r="H76" t="s">
        <v>20</v>
      </c>
      <c r="I76">
        <v>2</v>
      </c>
      <c r="J76" t="s">
        <v>29</v>
      </c>
      <c r="K76" t="s">
        <v>27</v>
      </c>
      <c r="L76">
        <v>62</v>
      </c>
      <c r="M76" t="str" cm="1">
        <f t="array" ref="M76">_xlfn.IFS(
L76&lt;=12,"Children",
L76&lt;=19,"Teens",
L76&lt;=29,"Young Adults",
L76&lt;=39,"Adults",
L76&lt;=59,"Middle-Aged",
L76&gt;=60,"Seniors"
)</f>
        <v>Seniors</v>
      </c>
      <c r="N76" t="s">
        <v>20</v>
      </c>
    </row>
    <row r="77" spans="1:14" x14ac:dyDescent="0.3">
      <c r="A77">
        <v>12678</v>
      </c>
      <c r="B77" t="s">
        <v>40</v>
      </c>
      <c r="C77" t="s">
        <v>38</v>
      </c>
      <c r="D77" s="3">
        <v>130000</v>
      </c>
      <c r="E77">
        <v>4</v>
      </c>
      <c r="F77" t="s">
        <v>30</v>
      </c>
      <c r="G77" t="s">
        <v>31</v>
      </c>
      <c r="H77" t="s">
        <v>17</v>
      </c>
      <c r="I77">
        <v>4</v>
      </c>
      <c r="J77" t="s">
        <v>18</v>
      </c>
      <c r="K77" t="s">
        <v>27</v>
      </c>
      <c r="L77">
        <v>31</v>
      </c>
      <c r="M77" t="str" cm="1">
        <f t="array" ref="M77">_xlfn.IFS(
L77&lt;=12,"Children",
L77&lt;=19,"Teens",
L77&lt;=29,"Young Adults",
L77&lt;=39,"Adults",
L77&lt;=59,"Middle-Aged",
L77&gt;=60,"Seniors"
)</f>
        <v>Adults</v>
      </c>
      <c r="N77" t="s">
        <v>20</v>
      </c>
    </row>
    <row r="78" spans="1:14" x14ac:dyDescent="0.3">
      <c r="A78">
        <v>16188</v>
      </c>
      <c r="B78" t="s">
        <v>40</v>
      </c>
      <c r="C78" t="s">
        <v>38</v>
      </c>
      <c r="D78" s="3">
        <v>20000</v>
      </c>
      <c r="E78">
        <v>0</v>
      </c>
      <c r="F78" t="s">
        <v>32</v>
      </c>
      <c r="G78" t="s">
        <v>28</v>
      </c>
      <c r="H78" t="s">
        <v>20</v>
      </c>
      <c r="I78">
        <v>2</v>
      </c>
      <c r="J78" t="s">
        <v>29</v>
      </c>
      <c r="K78" t="s">
        <v>19</v>
      </c>
      <c r="L78">
        <v>26</v>
      </c>
      <c r="M78" t="str" cm="1">
        <f t="array" ref="M78">_xlfn.IFS(
L78&lt;=12,"Children",
L78&lt;=19,"Teens",
L78&lt;=29,"Young Adults",
L78&lt;=39,"Adults",
L78&lt;=59,"Middle-Aged",
L78&gt;=60,"Seniors"
)</f>
        <v>Young Adults</v>
      </c>
      <c r="N78" t="s">
        <v>20</v>
      </c>
    </row>
    <row r="79" spans="1:14" x14ac:dyDescent="0.3">
      <c r="A79">
        <v>27969</v>
      </c>
      <c r="B79" t="s">
        <v>37</v>
      </c>
      <c r="C79" t="s">
        <v>39</v>
      </c>
      <c r="D79" s="3">
        <v>80000</v>
      </c>
      <c r="E79">
        <v>0</v>
      </c>
      <c r="F79" t="s">
        <v>15</v>
      </c>
      <c r="G79" t="s">
        <v>23</v>
      </c>
      <c r="H79" t="s">
        <v>17</v>
      </c>
      <c r="I79">
        <v>2</v>
      </c>
      <c r="J79" t="s">
        <v>41</v>
      </c>
      <c r="K79" t="s">
        <v>27</v>
      </c>
      <c r="L79">
        <v>29</v>
      </c>
      <c r="M79" t="str" cm="1">
        <f t="array" ref="M79">_xlfn.IFS(
L79&lt;=12,"Children",
L79&lt;=19,"Teens",
L79&lt;=29,"Young Adults",
L79&lt;=39,"Adults",
L79&lt;=59,"Middle-Aged",
L79&gt;=60,"Seniors"
)</f>
        <v>Young Adults</v>
      </c>
      <c r="N79" t="s">
        <v>17</v>
      </c>
    </row>
    <row r="80" spans="1:14" x14ac:dyDescent="0.3">
      <c r="A80">
        <v>15752</v>
      </c>
      <c r="B80" t="s">
        <v>37</v>
      </c>
      <c r="C80" t="s">
        <v>39</v>
      </c>
      <c r="D80" s="3">
        <v>80000</v>
      </c>
      <c r="E80">
        <v>2</v>
      </c>
      <c r="F80" t="s">
        <v>30</v>
      </c>
      <c r="G80" t="s">
        <v>16</v>
      </c>
      <c r="H80" t="s">
        <v>20</v>
      </c>
      <c r="I80">
        <v>2</v>
      </c>
      <c r="J80" t="s">
        <v>29</v>
      </c>
      <c r="K80" t="s">
        <v>27</v>
      </c>
      <c r="L80">
        <v>50</v>
      </c>
      <c r="M80" t="str" cm="1">
        <f t="array" ref="M80">_xlfn.IFS(
L80&lt;=12,"Children",
L80&lt;=19,"Teens",
L80&lt;=29,"Young Adults",
L80&lt;=39,"Adults",
L80&lt;=59,"Middle-Aged",
L80&gt;=60,"Seniors"
)</f>
        <v>Middle-Aged</v>
      </c>
      <c r="N80" t="s">
        <v>17</v>
      </c>
    </row>
    <row r="81" spans="1:14" x14ac:dyDescent="0.3">
      <c r="A81">
        <v>27745</v>
      </c>
      <c r="B81" t="s">
        <v>40</v>
      </c>
      <c r="C81" t="s">
        <v>39</v>
      </c>
      <c r="D81" s="3">
        <v>40000</v>
      </c>
      <c r="E81">
        <v>2</v>
      </c>
      <c r="F81" t="s">
        <v>15</v>
      </c>
      <c r="G81" t="s">
        <v>31</v>
      </c>
      <c r="H81" t="s">
        <v>17</v>
      </c>
      <c r="I81">
        <v>2</v>
      </c>
      <c r="J81" t="s">
        <v>26</v>
      </c>
      <c r="K81" t="s">
        <v>27</v>
      </c>
      <c r="L81">
        <v>63</v>
      </c>
      <c r="M81" t="str" cm="1">
        <f t="array" ref="M81">_xlfn.IFS(
L81&lt;=12,"Children",
L81&lt;=19,"Teens",
L81&lt;=29,"Young Adults",
L81&lt;=39,"Adults",
L81&lt;=59,"Middle-Aged",
L81&gt;=60,"Seniors"
)</f>
        <v>Seniors</v>
      </c>
      <c r="N81" t="s">
        <v>17</v>
      </c>
    </row>
    <row r="82" spans="1:14" x14ac:dyDescent="0.3">
      <c r="A82">
        <v>20828</v>
      </c>
      <c r="B82" t="s">
        <v>37</v>
      </c>
      <c r="C82" t="s">
        <v>38</v>
      </c>
      <c r="D82" s="3">
        <v>30000</v>
      </c>
      <c r="E82">
        <v>4</v>
      </c>
      <c r="F82" t="s">
        <v>34</v>
      </c>
      <c r="G82" t="s">
        <v>22</v>
      </c>
      <c r="H82" t="s">
        <v>17</v>
      </c>
      <c r="I82">
        <v>0</v>
      </c>
      <c r="J82" t="s">
        <v>18</v>
      </c>
      <c r="K82" t="s">
        <v>19</v>
      </c>
      <c r="L82">
        <v>45</v>
      </c>
      <c r="M82" t="str" cm="1">
        <f t="array" ref="M82">_xlfn.IFS(
L82&lt;=12,"Children",
L82&lt;=19,"Teens",
L82&lt;=29,"Young Adults",
L82&lt;=39,"Adults",
L82&lt;=59,"Middle-Aged",
L82&gt;=60,"Seniors"
)</f>
        <v>Middle-Aged</v>
      </c>
      <c r="N82" t="s">
        <v>17</v>
      </c>
    </row>
    <row r="83" spans="1:14" x14ac:dyDescent="0.3">
      <c r="A83">
        <v>19461</v>
      </c>
      <c r="B83" t="s">
        <v>40</v>
      </c>
      <c r="C83" t="s">
        <v>38</v>
      </c>
      <c r="D83" s="3">
        <v>10000</v>
      </c>
      <c r="E83">
        <v>4</v>
      </c>
      <c r="F83" t="s">
        <v>32</v>
      </c>
      <c r="G83" t="s">
        <v>28</v>
      </c>
      <c r="H83" t="s">
        <v>17</v>
      </c>
      <c r="I83">
        <v>2</v>
      </c>
      <c r="J83" t="s">
        <v>18</v>
      </c>
      <c r="K83" t="s">
        <v>19</v>
      </c>
      <c r="L83">
        <v>40</v>
      </c>
      <c r="M83" t="str" cm="1">
        <f t="array" ref="M83">_xlfn.IFS(
L83&lt;=12,"Children",
L83&lt;=19,"Teens",
L83&lt;=29,"Young Adults",
L83&lt;=39,"Adults",
L83&lt;=59,"Middle-Aged",
L83&gt;=60,"Seniors"
)</f>
        <v>Middle-Aged</v>
      </c>
      <c r="N83" t="s">
        <v>20</v>
      </c>
    </row>
    <row r="84" spans="1:14" x14ac:dyDescent="0.3">
      <c r="A84">
        <v>26941</v>
      </c>
      <c r="B84" t="s">
        <v>37</v>
      </c>
      <c r="C84" t="s">
        <v>39</v>
      </c>
      <c r="D84" s="3">
        <v>30000</v>
      </c>
      <c r="E84">
        <v>0</v>
      </c>
      <c r="F84" t="s">
        <v>15</v>
      </c>
      <c r="G84" t="s">
        <v>22</v>
      </c>
      <c r="H84" t="s">
        <v>17</v>
      </c>
      <c r="I84">
        <v>0</v>
      </c>
      <c r="J84" t="s">
        <v>18</v>
      </c>
      <c r="K84" t="s">
        <v>19</v>
      </c>
      <c r="L84">
        <v>47</v>
      </c>
      <c r="M84" t="str" cm="1">
        <f t="array" ref="M84">_xlfn.IFS(
L84&lt;=12,"Children",
L84&lt;=19,"Teens",
L84&lt;=29,"Young Adults",
L84&lt;=39,"Adults",
L84&lt;=59,"Middle-Aged",
L84&gt;=60,"Seniors"
)</f>
        <v>Middle-Aged</v>
      </c>
      <c r="N84" t="s">
        <v>17</v>
      </c>
    </row>
    <row r="85" spans="1:14" x14ac:dyDescent="0.3">
      <c r="A85">
        <v>28412</v>
      </c>
      <c r="B85" t="s">
        <v>40</v>
      </c>
      <c r="C85" t="s">
        <v>39</v>
      </c>
      <c r="D85" s="3">
        <v>20000</v>
      </c>
      <c r="E85">
        <v>0</v>
      </c>
      <c r="F85" t="s">
        <v>30</v>
      </c>
      <c r="G85" t="s">
        <v>28</v>
      </c>
      <c r="H85" t="s">
        <v>20</v>
      </c>
      <c r="I85">
        <v>1</v>
      </c>
      <c r="J85" t="s">
        <v>24</v>
      </c>
      <c r="K85" t="s">
        <v>19</v>
      </c>
      <c r="L85">
        <v>29</v>
      </c>
      <c r="M85" t="str" cm="1">
        <f t="array" ref="M85">_xlfn.IFS(
L85&lt;=12,"Children",
L85&lt;=19,"Teens",
L85&lt;=29,"Young Adults",
L85&lt;=39,"Adults",
L85&lt;=59,"Middle-Aged",
L85&gt;=60,"Seniors"
)</f>
        <v>Young Adults</v>
      </c>
      <c r="N85" t="s">
        <v>20</v>
      </c>
    </row>
    <row r="86" spans="1:14" x14ac:dyDescent="0.3">
      <c r="A86">
        <v>24485</v>
      </c>
      <c r="B86" t="s">
        <v>40</v>
      </c>
      <c r="C86" t="s">
        <v>39</v>
      </c>
      <c r="D86" s="3">
        <v>40000</v>
      </c>
      <c r="E86">
        <v>2</v>
      </c>
      <c r="F86" t="s">
        <v>15</v>
      </c>
      <c r="G86" t="s">
        <v>31</v>
      </c>
      <c r="H86" t="s">
        <v>20</v>
      </c>
      <c r="I86">
        <v>1</v>
      </c>
      <c r="J86" t="s">
        <v>26</v>
      </c>
      <c r="K86" t="s">
        <v>27</v>
      </c>
      <c r="L86">
        <v>52</v>
      </c>
      <c r="M86" t="str" cm="1">
        <f t="array" ref="M86">_xlfn.IFS(
L86&lt;=12,"Children",
L86&lt;=19,"Teens",
L86&lt;=29,"Young Adults",
L86&lt;=39,"Adults",
L86&lt;=59,"Middle-Aged",
L86&gt;=60,"Seniors"
)</f>
        <v>Middle-Aged</v>
      </c>
      <c r="N86" t="s">
        <v>17</v>
      </c>
    </row>
    <row r="87" spans="1:14" x14ac:dyDescent="0.3">
      <c r="A87">
        <v>16514</v>
      </c>
      <c r="B87" t="s">
        <v>40</v>
      </c>
      <c r="C87" t="s">
        <v>39</v>
      </c>
      <c r="D87" s="3">
        <v>10000</v>
      </c>
      <c r="E87">
        <v>0</v>
      </c>
      <c r="F87" t="s">
        <v>21</v>
      </c>
      <c r="G87" t="s">
        <v>28</v>
      </c>
      <c r="H87" t="s">
        <v>17</v>
      </c>
      <c r="I87">
        <v>1</v>
      </c>
      <c r="J87" t="s">
        <v>29</v>
      </c>
      <c r="K87" t="s">
        <v>27</v>
      </c>
      <c r="L87">
        <v>26</v>
      </c>
      <c r="M87" t="str" cm="1">
        <f t="array" ref="M87">_xlfn.IFS(
L87&lt;=12,"Children",
L87&lt;=19,"Teens",
L87&lt;=29,"Young Adults",
L87&lt;=39,"Adults",
L87&lt;=59,"Middle-Aged",
L87&gt;=60,"Seniors"
)</f>
        <v>Young Adults</v>
      </c>
      <c r="N87" t="s">
        <v>17</v>
      </c>
    </row>
    <row r="88" spans="1:14" x14ac:dyDescent="0.3">
      <c r="A88">
        <v>17191</v>
      </c>
      <c r="B88" t="s">
        <v>40</v>
      </c>
      <c r="C88" t="s">
        <v>39</v>
      </c>
      <c r="D88" s="3">
        <v>130000</v>
      </c>
      <c r="E88">
        <v>3</v>
      </c>
      <c r="F88" t="s">
        <v>21</v>
      </c>
      <c r="G88" t="s">
        <v>23</v>
      </c>
      <c r="H88" t="s">
        <v>20</v>
      </c>
      <c r="I88">
        <v>3</v>
      </c>
      <c r="J88" t="s">
        <v>18</v>
      </c>
      <c r="K88" t="s">
        <v>19</v>
      </c>
      <c r="L88">
        <v>51</v>
      </c>
      <c r="M88" t="str" cm="1">
        <f t="array" ref="M88">_xlfn.IFS(
L88&lt;=12,"Children",
L88&lt;=19,"Teens",
L88&lt;=29,"Young Adults",
L88&lt;=39,"Adults",
L88&lt;=59,"Middle-Aged",
L88&gt;=60,"Seniors"
)</f>
        <v>Middle-Aged</v>
      </c>
      <c r="N88" t="s">
        <v>17</v>
      </c>
    </row>
    <row r="89" spans="1:14" x14ac:dyDescent="0.3">
      <c r="A89">
        <v>19608</v>
      </c>
      <c r="B89" t="s">
        <v>37</v>
      </c>
      <c r="C89" t="s">
        <v>39</v>
      </c>
      <c r="D89" s="3">
        <v>80000</v>
      </c>
      <c r="E89">
        <v>5</v>
      </c>
      <c r="F89" t="s">
        <v>15</v>
      </c>
      <c r="G89" t="s">
        <v>23</v>
      </c>
      <c r="H89" t="s">
        <v>17</v>
      </c>
      <c r="I89">
        <v>4</v>
      </c>
      <c r="J89" t="s">
        <v>29</v>
      </c>
      <c r="K89" t="s">
        <v>27</v>
      </c>
      <c r="L89">
        <v>40</v>
      </c>
      <c r="M89" t="str" cm="1">
        <f t="array" ref="M89">_xlfn.IFS(
L89&lt;=12,"Children",
L89&lt;=19,"Teens",
L89&lt;=29,"Young Adults",
L89&lt;=39,"Adults",
L89&lt;=59,"Middle-Aged",
L89&gt;=60,"Seniors"
)</f>
        <v>Middle-Aged</v>
      </c>
      <c r="N89" t="s">
        <v>20</v>
      </c>
    </row>
    <row r="90" spans="1:14" x14ac:dyDescent="0.3">
      <c r="A90">
        <v>24119</v>
      </c>
      <c r="B90" t="s">
        <v>40</v>
      </c>
      <c r="C90" t="s">
        <v>39</v>
      </c>
      <c r="D90" s="3">
        <v>30000</v>
      </c>
      <c r="E90">
        <v>0</v>
      </c>
      <c r="F90" t="s">
        <v>21</v>
      </c>
      <c r="G90" t="s">
        <v>22</v>
      </c>
      <c r="H90" t="s">
        <v>20</v>
      </c>
      <c r="I90">
        <v>1</v>
      </c>
      <c r="J90" t="s">
        <v>24</v>
      </c>
      <c r="K90" t="s">
        <v>19</v>
      </c>
      <c r="L90">
        <v>29</v>
      </c>
      <c r="M90" t="str" cm="1">
        <f t="array" ref="M90">_xlfn.IFS(
L90&lt;=12,"Children",
L90&lt;=19,"Teens",
L90&lt;=29,"Young Adults",
L90&lt;=39,"Adults",
L90&lt;=59,"Middle-Aged",
L90&gt;=60,"Seniors"
)</f>
        <v>Young Adults</v>
      </c>
      <c r="N90" t="s">
        <v>20</v>
      </c>
    </row>
    <row r="91" spans="1:14" x14ac:dyDescent="0.3">
      <c r="A91">
        <v>25458</v>
      </c>
      <c r="B91" t="s">
        <v>37</v>
      </c>
      <c r="C91" t="s">
        <v>39</v>
      </c>
      <c r="D91" s="3">
        <v>20000</v>
      </c>
      <c r="E91">
        <v>1</v>
      </c>
      <c r="F91" t="s">
        <v>30</v>
      </c>
      <c r="G91" t="s">
        <v>28</v>
      </c>
      <c r="H91" t="s">
        <v>20</v>
      </c>
      <c r="I91">
        <v>1</v>
      </c>
      <c r="J91" t="s">
        <v>29</v>
      </c>
      <c r="K91" t="s">
        <v>19</v>
      </c>
      <c r="L91">
        <v>40</v>
      </c>
      <c r="M91" t="str" cm="1">
        <f t="array" ref="M91">_xlfn.IFS(
L91&lt;=12,"Children",
L91&lt;=19,"Teens",
L91&lt;=29,"Young Adults",
L91&lt;=39,"Adults",
L91&lt;=59,"Middle-Aged",
L91&gt;=60,"Seniors"
)</f>
        <v>Middle-Aged</v>
      </c>
      <c r="N91" t="s">
        <v>17</v>
      </c>
    </row>
    <row r="92" spans="1:14" x14ac:dyDescent="0.3">
      <c r="A92">
        <v>26886</v>
      </c>
      <c r="B92" t="s">
        <v>40</v>
      </c>
      <c r="C92" t="s">
        <v>38</v>
      </c>
      <c r="D92" s="3">
        <v>30000</v>
      </c>
      <c r="E92">
        <v>0</v>
      </c>
      <c r="F92" t="s">
        <v>21</v>
      </c>
      <c r="G92" t="s">
        <v>22</v>
      </c>
      <c r="H92" t="s">
        <v>20</v>
      </c>
      <c r="I92">
        <v>1</v>
      </c>
      <c r="J92" t="s">
        <v>18</v>
      </c>
      <c r="K92" t="s">
        <v>19</v>
      </c>
      <c r="L92">
        <v>29</v>
      </c>
      <c r="M92" t="str" cm="1">
        <f t="array" ref="M92">_xlfn.IFS(
L92&lt;=12,"Children",
L92&lt;=19,"Teens",
L92&lt;=29,"Young Adults",
L92&lt;=39,"Adults",
L92&lt;=59,"Middle-Aged",
L92&gt;=60,"Seniors"
)</f>
        <v>Young Adults</v>
      </c>
      <c r="N92" t="s">
        <v>17</v>
      </c>
    </row>
    <row r="93" spans="1:14" x14ac:dyDescent="0.3">
      <c r="A93">
        <v>28436</v>
      </c>
      <c r="B93" t="s">
        <v>40</v>
      </c>
      <c r="C93" t="s">
        <v>39</v>
      </c>
      <c r="D93" s="3">
        <v>30000</v>
      </c>
      <c r="E93">
        <v>0</v>
      </c>
      <c r="F93" t="s">
        <v>21</v>
      </c>
      <c r="G93" t="s">
        <v>22</v>
      </c>
      <c r="H93" t="s">
        <v>20</v>
      </c>
      <c r="I93">
        <v>1</v>
      </c>
      <c r="J93" t="s">
        <v>18</v>
      </c>
      <c r="K93" t="s">
        <v>19</v>
      </c>
      <c r="L93">
        <v>30</v>
      </c>
      <c r="M93" t="str" cm="1">
        <f t="array" ref="M93">_xlfn.IFS(
L93&lt;=12,"Children",
L93&lt;=19,"Teens",
L93&lt;=29,"Young Adults",
L93&lt;=39,"Adults",
L93&lt;=59,"Middle-Aged",
L93&gt;=60,"Seniors"
)</f>
        <v>Adults</v>
      </c>
      <c r="N93" t="s">
        <v>17</v>
      </c>
    </row>
    <row r="94" spans="1:14" x14ac:dyDescent="0.3">
      <c r="A94">
        <v>19562</v>
      </c>
      <c r="B94" t="s">
        <v>40</v>
      </c>
      <c r="C94" t="s">
        <v>38</v>
      </c>
      <c r="D94" s="3">
        <v>60000</v>
      </c>
      <c r="E94">
        <v>2</v>
      </c>
      <c r="F94" t="s">
        <v>15</v>
      </c>
      <c r="G94" t="s">
        <v>23</v>
      </c>
      <c r="H94" t="s">
        <v>17</v>
      </c>
      <c r="I94">
        <v>1</v>
      </c>
      <c r="J94" t="s">
        <v>24</v>
      </c>
      <c r="K94" t="s">
        <v>27</v>
      </c>
      <c r="L94">
        <v>37</v>
      </c>
      <c r="M94" t="str" cm="1">
        <f t="array" ref="M94">_xlfn.IFS(
L94&lt;=12,"Children",
L94&lt;=19,"Teens",
L94&lt;=29,"Young Adults",
L94&lt;=39,"Adults",
L94&lt;=59,"Middle-Aged",
L94&gt;=60,"Seniors"
)</f>
        <v>Adults</v>
      </c>
      <c r="N94" t="s">
        <v>17</v>
      </c>
    </row>
    <row r="95" spans="1:14" x14ac:dyDescent="0.3">
      <c r="A95">
        <v>15608</v>
      </c>
      <c r="B95" t="s">
        <v>40</v>
      </c>
      <c r="C95" t="s">
        <v>38</v>
      </c>
      <c r="D95" s="3">
        <v>30000</v>
      </c>
      <c r="E95">
        <v>0</v>
      </c>
      <c r="F95" t="s">
        <v>21</v>
      </c>
      <c r="G95" t="s">
        <v>22</v>
      </c>
      <c r="H95" t="s">
        <v>20</v>
      </c>
      <c r="I95">
        <v>1</v>
      </c>
      <c r="J95" t="s">
        <v>24</v>
      </c>
      <c r="K95" t="s">
        <v>19</v>
      </c>
      <c r="L95">
        <v>33</v>
      </c>
      <c r="M95" t="str" cm="1">
        <f t="array" ref="M95">_xlfn.IFS(
L95&lt;=12,"Children",
L95&lt;=19,"Teens",
L95&lt;=29,"Young Adults",
L95&lt;=39,"Adults",
L95&lt;=59,"Middle-Aged",
L95&gt;=60,"Seniors"
)</f>
        <v>Adults</v>
      </c>
      <c r="N95" t="s">
        <v>20</v>
      </c>
    </row>
    <row r="96" spans="1:14" x14ac:dyDescent="0.3">
      <c r="A96">
        <v>16487</v>
      </c>
      <c r="B96" t="s">
        <v>40</v>
      </c>
      <c r="C96" t="s">
        <v>38</v>
      </c>
      <c r="D96" s="3">
        <v>30000</v>
      </c>
      <c r="E96">
        <v>3</v>
      </c>
      <c r="F96" t="s">
        <v>30</v>
      </c>
      <c r="G96" t="s">
        <v>16</v>
      </c>
      <c r="H96" t="s">
        <v>17</v>
      </c>
      <c r="I96">
        <v>2</v>
      </c>
      <c r="J96" t="s">
        <v>26</v>
      </c>
      <c r="K96" t="s">
        <v>27</v>
      </c>
      <c r="L96">
        <v>55</v>
      </c>
      <c r="M96" t="str" cm="1">
        <f t="array" ref="M96">_xlfn.IFS(
L96&lt;=12,"Children",
L96&lt;=19,"Teens",
L96&lt;=29,"Young Adults",
L96&lt;=39,"Adults",
L96&lt;=59,"Middle-Aged",
L96&gt;=60,"Seniors"
)</f>
        <v>Middle-Aged</v>
      </c>
      <c r="N96" t="s">
        <v>20</v>
      </c>
    </row>
    <row r="97" spans="1:14" x14ac:dyDescent="0.3">
      <c r="A97">
        <v>17197</v>
      </c>
      <c r="B97" t="s">
        <v>40</v>
      </c>
      <c r="C97" t="s">
        <v>38</v>
      </c>
      <c r="D97" s="3">
        <v>90000</v>
      </c>
      <c r="E97">
        <v>5</v>
      </c>
      <c r="F97" t="s">
        <v>21</v>
      </c>
      <c r="G97" t="s">
        <v>23</v>
      </c>
      <c r="H97" t="s">
        <v>17</v>
      </c>
      <c r="I97">
        <v>2</v>
      </c>
      <c r="J97" t="s">
        <v>41</v>
      </c>
      <c r="K97" t="s">
        <v>19</v>
      </c>
      <c r="L97">
        <v>62</v>
      </c>
      <c r="M97" t="str" cm="1">
        <f t="array" ref="M97">_xlfn.IFS(
L97&lt;=12,"Children",
L97&lt;=19,"Teens",
L97&lt;=29,"Young Adults",
L97&lt;=39,"Adults",
L97&lt;=59,"Middle-Aged",
L97&gt;=60,"Seniors"
)</f>
        <v>Seniors</v>
      </c>
      <c r="N97" t="s">
        <v>20</v>
      </c>
    </row>
    <row r="98" spans="1:14" x14ac:dyDescent="0.3">
      <c r="A98">
        <v>12507</v>
      </c>
      <c r="B98" t="s">
        <v>37</v>
      </c>
      <c r="C98" t="s">
        <v>39</v>
      </c>
      <c r="D98" s="3">
        <v>30000</v>
      </c>
      <c r="E98">
        <v>1</v>
      </c>
      <c r="F98" t="s">
        <v>21</v>
      </c>
      <c r="G98" t="s">
        <v>22</v>
      </c>
      <c r="H98" t="s">
        <v>17</v>
      </c>
      <c r="I98">
        <v>1</v>
      </c>
      <c r="J98" t="s">
        <v>18</v>
      </c>
      <c r="K98" t="s">
        <v>19</v>
      </c>
      <c r="L98">
        <v>43</v>
      </c>
      <c r="M98" t="str" cm="1">
        <f t="array" ref="M98">_xlfn.IFS(
L98&lt;=12,"Children",
L98&lt;=19,"Teens",
L98&lt;=29,"Young Adults",
L98&lt;=39,"Adults",
L98&lt;=59,"Middle-Aged",
L98&gt;=60,"Seniors"
)</f>
        <v>Middle-Aged</v>
      </c>
      <c r="N98" t="s">
        <v>20</v>
      </c>
    </row>
    <row r="99" spans="1:14" x14ac:dyDescent="0.3">
      <c r="A99">
        <v>23940</v>
      </c>
      <c r="B99" t="s">
        <v>37</v>
      </c>
      <c r="C99" t="s">
        <v>39</v>
      </c>
      <c r="D99" s="3">
        <v>40000</v>
      </c>
      <c r="E99">
        <v>1</v>
      </c>
      <c r="F99" t="s">
        <v>15</v>
      </c>
      <c r="G99" t="s">
        <v>16</v>
      </c>
      <c r="H99" t="s">
        <v>17</v>
      </c>
      <c r="I99">
        <v>1</v>
      </c>
      <c r="J99" t="s">
        <v>18</v>
      </c>
      <c r="K99" t="s">
        <v>19</v>
      </c>
      <c r="L99">
        <v>44</v>
      </c>
      <c r="M99" t="str" cm="1">
        <f t="array" ref="M99">_xlfn.IFS(
L99&lt;=12,"Children",
L99&lt;=19,"Teens",
L99&lt;=29,"Young Adults",
L99&lt;=39,"Adults",
L99&lt;=59,"Middle-Aged",
L99&gt;=60,"Seniors"
)</f>
        <v>Middle-Aged</v>
      </c>
      <c r="N99" t="s">
        <v>17</v>
      </c>
    </row>
    <row r="100" spans="1:14" x14ac:dyDescent="0.3">
      <c r="A100">
        <v>19441</v>
      </c>
      <c r="B100" t="s">
        <v>37</v>
      </c>
      <c r="C100" t="s">
        <v>39</v>
      </c>
      <c r="D100" s="3">
        <v>40000</v>
      </c>
      <c r="E100">
        <v>0</v>
      </c>
      <c r="F100" t="s">
        <v>34</v>
      </c>
      <c r="G100" t="s">
        <v>22</v>
      </c>
      <c r="H100" t="s">
        <v>17</v>
      </c>
      <c r="I100">
        <v>0</v>
      </c>
      <c r="J100" t="s">
        <v>18</v>
      </c>
      <c r="K100" t="s">
        <v>19</v>
      </c>
      <c r="L100">
        <v>25</v>
      </c>
      <c r="M100" t="str" cm="1">
        <f t="array" ref="M100">_xlfn.IFS(
L100&lt;=12,"Children",
L100&lt;=19,"Teens",
L100&lt;=29,"Young Adults",
L100&lt;=39,"Adults",
L100&lt;=59,"Middle-Aged",
L100&gt;=60,"Seniors"
)</f>
        <v>Young Adults</v>
      </c>
      <c r="N100" t="s">
        <v>17</v>
      </c>
    </row>
    <row r="101" spans="1:14" x14ac:dyDescent="0.3">
      <c r="A101">
        <v>26852</v>
      </c>
      <c r="B101" t="s">
        <v>37</v>
      </c>
      <c r="C101" t="s">
        <v>38</v>
      </c>
      <c r="D101" s="3">
        <v>20000</v>
      </c>
      <c r="E101">
        <v>3</v>
      </c>
      <c r="F101" t="s">
        <v>30</v>
      </c>
      <c r="G101" t="s">
        <v>28</v>
      </c>
      <c r="H101" t="s">
        <v>17</v>
      </c>
      <c r="I101">
        <v>2</v>
      </c>
      <c r="J101" t="s">
        <v>18</v>
      </c>
      <c r="K101" t="s">
        <v>19</v>
      </c>
      <c r="L101">
        <v>43</v>
      </c>
      <c r="M101" t="str" cm="1">
        <f t="array" ref="M101">_xlfn.IFS(
L101&lt;=12,"Children",
L101&lt;=19,"Teens",
L101&lt;=29,"Young Adults",
L101&lt;=39,"Adults",
L101&lt;=59,"Middle-Aged",
L101&gt;=60,"Seniors"
)</f>
        <v>Middle-Aged</v>
      </c>
      <c r="N101" t="s">
        <v>20</v>
      </c>
    </row>
    <row r="102" spans="1:14" x14ac:dyDescent="0.3">
      <c r="A102">
        <v>12274</v>
      </c>
      <c r="B102" t="s">
        <v>40</v>
      </c>
      <c r="C102" t="s">
        <v>39</v>
      </c>
      <c r="D102" s="3">
        <v>10000</v>
      </c>
      <c r="E102">
        <v>2</v>
      </c>
      <c r="F102" t="s">
        <v>30</v>
      </c>
      <c r="G102" t="s">
        <v>28</v>
      </c>
      <c r="H102" t="s">
        <v>17</v>
      </c>
      <c r="I102">
        <v>0</v>
      </c>
      <c r="J102" t="s">
        <v>18</v>
      </c>
      <c r="K102" t="s">
        <v>19</v>
      </c>
      <c r="L102">
        <v>35</v>
      </c>
      <c r="M102" t="str" cm="1">
        <f t="array" ref="M102">_xlfn.IFS(
L102&lt;=12,"Children",
L102&lt;=19,"Teens",
L102&lt;=29,"Young Adults",
L102&lt;=39,"Adults",
L102&lt;=59,"Middle-Aged",
L102&gt;=60,"Seniors"
)</f>
        <v>Adults</v>
      </c>
      <c r="N102" t="s">
        <v>20</v>
      </c>
    </row>
    <row r="103" spans="1:14" x14ac:dyDescent="0.3">
      <c r="A103">
        <v>20236</v>
      </c>
      <c r="B103" t="s">
        <v>40</v>
      </c>
      <c r="C103" t="s">
        <v>39</v>
      </c>
      <c r="D103" s="3">
        <v>60000</v>
      </c>
      <c r="E103">
        <v>3</v>
      </c>
      <c r="F103" t="s">
        <v>15</v>
      </c>
      <c r="G103" t="s">
        <v>23</v>
      </c>
      <c r="H103" t="s">
        <v>20</v>
      </c>
      <c r="I103">
        <v>2</v>
      </c>
      <c r="J103" t="s">
        <v>18</v>
      </c>
      <c r="K103" t="s">
        <v>27</v>
      </c>
      <c r="L103">
        <v>43</v>
      </c>
      <c r="M103" t="str" cm="1">
        <f t="array" ref="M103">_xlfn.IFS(
L103&lt;=12,"Children",
L103&lt;=19,"Teens",
L103&lt;=29,"Young Adults",
L103&lt;=39,"Adults",
L103&lt;=59,"Middle-Aged",
L103&gt;=60,"Seniors"
)</f>
        <v>Middle-Aged</v>
      </c>
      <c r="N103" t="s">
        <v>17</v>
      </c>
    </row>
    <row r="104" spans="1:14" x14ac:dyDescent="0.3">
      <c r="A104">
        <v>24149</v>
      </c>
      <c r="B104" t="s">
        <v>37</v>
      </c>
      <c r="C104" t="s">
        <v>39</v>
      </c>
      <c r="D104" s="3">
        <v>10000</v>
      </c>
      <c r="E104">
        <v>2</v>
      </c>
      <c r="F104" t="s">
        <v>21</v>
      </c>
      <c r="G104" t="s">
        <v>28</v>
      </c>
      <c r="H104" t="s">
        <v>17</v>
      </c>
      <c r="I104">
        <v>0</v>
      </c>
      <c r="J104" t="s">
        <v>29</v>
      </c>
      <c r="K104" t="s">
        <v>19</v>
      </c>
      <c r="L104">
        <v>49</v>
      </c>
      <c r="M104" t="str" cm="1">
        <f t="array" ref="M104">_xlfn.IFS(
L104&lt;=12,"Children",
L104&lt;=19,"Teens",
L104&lt;=29,"Young Adults",
L104&lt;=39,"Adults",
L104&lt;=59,"Middle-Aged",
L104&gt;=60,"Seniors"
)</f>
        <v>Middle-Aged</v>
      </c>
      <c r="N104" t="s">
        <v>20</v>
      </c>
    </row>
    <row r="105" spans="1:14" x14ac:dyDescent="0.3">
      <c r="A105">
        <v>26139</v>
      </c>
      <c r="B105" t="s">
        <v>40</v>
      </c>
      <c r="C105" t="s">
        <v>39</v>
      </c>
      <c r="D105" s="3">
        <v>60000</v>
      </c>
      <c r="E105">
        <v>1</v>
      </c>
      <c r="F105" t="s">
        <v>21</v>
      </c>
      <c r="G105" t="s">
        <v>16</v>
      </c>
      <c r="H105" t="s">
        <v>17</v>
      </c>
      <c r="I105">
        <v>1</v>
      </c>
      <c r="J105" t="s">
        <v>26</v>
      </c>
      <c r="K105" t="s">
        <v>27</v>
      </c>
      <c r="L105">
        <v>45</v>
      </c>
      <c r="M105" t="str" cm="1">
        <f t="array" ref="M105">_xlfn.IFS(
L105&lt;=12,"Children",
L105&lt;=19,"Teens",
L105&lt;=29,"Young Adults",
L105&lt;=39,"Adults",
L105&lt;=59,"Middle-Aged",
L105&gt;=60,"Seniors"
)</f>
        <v>Middle-Aged</v>
      </c>
      <c r="N105" t="s">
        <v>20</v>
      </c>
    </row>
    <row r="106" spans="1:14" x14ac:dyDescent="0.3">
      <c r="A106">
        <v>18491</v>
      </c>
      <c r="B106" t="s">
        <v>40</v>
      </c>
      <c r="C106" t="s">
        <v>38</v>
      </c>
      <c r="D106" s="3">
        <v>70000</v>
      </c>
      <c r="E106">
        <v>2</v>
      </c>
      <c r="F106" t="s">
        <v>30</v>
      </c>
      <c r="G106" t="s">
        <v>23</v>
      </c>
      <c r="H106" t="s">
        <v>17</v>
      </c>
      <c r="I106">
        <v>2</v>
      </c>
      <c r="J106" t="s">
        <v>26</v>
      </c>
      <c r="K106" t="s">
        <v>27</v>
      </c>
      <c r="L106">
        <v>49</v>
      </c>
      <c r="M106" t="str" cm="1">
        <f t="array" ref="M106">_xlfn.IFS(
L106&lt;=12,"Children",
L106&lt;=19,"Teens",
L106&lt;=29,"Young Adults",
L106&lt;=39,"Adults",
L106&lt;=59,"Middle-Aged",
L106&gt;=60,"Seniors"
)</f>
        <v>Middle-Aged</v>
      </c>
      <c r="N106" t="s">
        <v>17</v>
      </c>
    </row>
    <row r="107" spans="1:14" x14ac:dyDescent="0.3">
      <c r="A107">
        <v>22707</v>
      </c>
      <c r="B107" t="s">
        <v>40</v>
      </c>
      <c r="C107" t="s">
        <v>38</v>
      </c>
      <c r="D107" s="3">
        <v>30000</v>
      </c>
      <c r="E107">
        <v>0</v>
      </c>
      <c r="F107" t="s">
        <v>21</v>
      </c>
      <c r="G107" t="s">
        <v>22</v>
      </c>
      <c r="H107" t="s">
        <v>20</v>
      </c>
      <c r="I107">
        <v>1</v>
      </c>
      <c r="J107" t="s">
        <v>24</v>
      </c>
      <c r="K107" t="s">
        <v>19</v>
      </c>
      <c r="L107">
        <v>30</v>
      </c>
      <c r="M107" t="str" cm="1">
        <f t="array" ref="M107">_xlfn.IFS(
L107&lt;=12,"Children",
L107&lt;=19,"Teens",
L107&lt;=29,"Young Adults",
L107&lt;=39,"Adults",
L107&lt;=59,"Middle-Aged",
L107&gt;=60,"Seniors"
)</f>
        <v>Adults</v>
      </c>
      <c r="N107" t="s">
        <v>20</v>
      </c>
    </row>
    <row r="108" spans="1:14" x14ac:dyDescent="0.3">
      <c r="A108">
        <v>20430</v>
      </c>
      <c r="B108" t="s">
        <v>37</v>
      </c>
      <c r="C108" t="s">
        <v>39</v>
      </c>
      <c r="D108" s="3">
        <v>70000</v>
      </c>
      <c r="E108">
        <v>2</v>
      </c>
      <c r="F108" t="s">
        <v>21</v>
      </c>
      <c r="G108" t="s">
        <v>16</v>
      </c>
      <c r="H108" t="s">
        <v>17</v>
      </c>
      <c r="I108">
        <v>2</v>
      </c>
      <c r="J108" t="s">
        <v>26</v>
      </c>
      <c r="K108" t="s">
        <v>27</v>
      </c>
      <c r="L108">
        <v>52</v>
      </c>
      <c r="M108" t="str" cm="1">
        <f t="array" ref="M108">_xlfn.IFS(
L108&lt;=12,"Children",
L108&lt;=19,"Teens",
L108&lt;=29,"Young Adults",
L108&lt;=39,"Adults",
L108&lt;=59,"Middle-Aged",
L108&gt;=60,"Seniors"
)</f>
        <v>Middle-Aged</v>
      </c>
      <c r="N108" t="s">
        <v>17</v>
      </c>
    </row>
    <row r="109" spans="1:14" x14ac:dyDescent="0.3">
      <c r="A109">
        <v>27494</v>
      </c>
      <c r="B109" t="s">
        <v>40</v>
      </c>
      <c r="C109" t="s">
        <v>38</v>
      </c>
      <c r="D109" s="3">
        <v>40000</v>
      </c>
      <c r="E109">
        <v>2</v>
      </c>
      <c r="F109" t="s">
        <v>21</v>
      </c>
      <c r="G109" t="s">
        <v>16</v>
      </c>
      <c r="H109" t="s">
        <v>20</v>
      </c>
      <c r="I109">
        <v>2</v>
      </c>
      <c r="J109" t="s">
        <v>29</v>
      </c>
      <c r="K109" t="s">
        <v>27</v>
      </c>
      <c r="L109">
        <v>53</v>
      </c>
      <c r="M109" t="str" cm="1">
        <f t="array" ref="M109">_xlfn.IFS(
L109&lt;=12,"Children",
L109&lt;=19,"Teens",
L109&lt;=29,"Young Adults",
L109&lt;=39,"Adults",
L109&lt;=59,"Middle-Aged",
L109&gt;=60,"Seniors"
)</f>
        <v>Middle-Aged</v>
      </c>
      <c r="N109" t="s">
        <v>17</v>
      </c>
    </row>
    <row r="110" spans="1:14" x14ac:dyDescent="0.3">
      <c r="A110">
        <v>26829</v>
      </c>
      <c r="B110" t="s">
        <v>37</v>
      </c>
      <c r="C110" t="s">
        <v>38</v>
      </c>
      <c r="D110" s="3">
        <v>40000</v>
      </c>
      <c r="E110">
        <v>0</v>
      </c>
      <c r="F110" t="s">
        <v>15</v>
      </c>
      <c r="G110" t="s">
        <v>22</v>
      </c>
      <c r="H110" t="s">
        <v>17</v>
      </c>
      <c r="I110">
        <v>0</v>
      </c>
      <c r="J110" t="s">
        <v>18</v>
      </c>
      <c r="K110" t="s">
        <v>19</v>
      </c>
      <c r="L110">
        <v>38</v>
      </c>
      <c r="M110" t="str" cm="1">
        <f t="array" ref="M110">_xlfn.IFS(
L110&lt;=12,"Children",
L110&lt;=19,"Teens",
L110&lt;=29,"Young Adults",
L110&lt;=39,"Adults",
L110&lt;=59,"Middle-Aged",
L110&gt;=60,"Seniors"
)</f>
        <v>Adults</v>
      </c>
      <c r="N110" t="s">
        <v>17</v>
      </c>
    </row>
    <row r="111" spans="1:14" x14ac:dyDescent="0.3">
      <c r="A111">
        <v>28395</v>
      </c>
      <c r="B111" t="s">
        <v>40</v>
      </c>
      <c r="C111" t="s">
        <v>39</v>
      </c>
      <c r="D111" s="3">
        <v>40000</v>
      </c>
      <c r="E111">
        <v>0</v>
      </c>
      <c r="F111" t="s">
        <v>15</v>
      </c>
      <c r="G111" t="s">
        <v>23</v>
      </c>
      <c r="H111" t="s">
        <v>20</v>
      </c>
      <c r="I111">
        <v>0</v>
      </c>
      <c r="J111" t="s">
        <v>18</v>
      </c>
      <c r="K111" t="s">
        <v>19</v>
      </c>
      <c r="L111">
        <v>39</v>
      </c>
      <c r="M111" t="str" cm="1">
        <f t="array" ref="M111">_xlfn.IFS(
L111&lt;=12,"Children",
L111&lt;=19,"Teens",
L111&lt;=29,"Young Adults",
L111&lt;=39,"Adults",
L111&lt;=59,"Middle-Aged",
L111&gt;=60,"Seniors"
)</f>
        <v>Adults</v>
      </c>
      <c r="N111" t="s">
        <v>17</v>
      </c>
    </row>
    <row r="112" spans="1:14" x14ac:dyDescent="0.3">
      <c r="A112">
        <v>21006</v>
      </c>
      <c r="B112" t="s">
        <v>40</v>
      </c>
      <c r="C112" t="s">
        <v>38</v>
      </c>
      <c r="D112" s="3">
        <v>30000</v>
      </c>
      <c r="E112">
        <v>1</v>
      </c>
      <c r="F112" t="s">
        <v>21</v>
      </c>
      <c r="G112" t="s">
        <v>28</v>
      </c>
      <c r="H112" t="s">
        <v>20</v>
      </c>
      <c r="I112">
        <v>0</v>
      </c>
      <c r="J112" t="s">
        <v>18</v>
      </c>
      <c r="K112" t="s">
        <v>19</v>
      </c>
      <c r="L112">
        <v>46</v>
      </c>
      <c r="M112" t="str" cm="1">
        <f t="array" ref="M112">_xlfn.IFS(
L112&lt;=12,"Children",
L112&lt;=19,"Teens",
L112&lt;=29,"Young Adults",
L112&lt;=39,"Adults",
L112&lt;=59,"Middle-Aged",
L112&gt;=60,"Seniors"
)</f>
        <v>Middle-Aged</v>
      </c>
      <c r="N112" t="s">
        <v>17</v>
      </c>
    </row>
    <row r="113" spans="1:14" x14ac:dyDescent="0.3">
      <c r="A113">
        <v>14682</v>
      </c>
      <c r="B113" t="s">
        <v>40</v>
      </c>
      <c r="C113" t="s">
        <v>38</v>
      </c>
      <c r="D113" s="3">
        <v>70000</v>
      </c>
      <c r="E113">
        <v>0</v>
      </c>
      <c r="F113" t="s">
        <v>15</v>
      </c>
      <c r="G113" t="s">
        <v>23</v>
      </c>
      <c r="H113" t="s">
        <v>20</v>
      </c>
      <c r="I113">
        <v>1</v>
      </c>
      <c r="J113" t="s">
        <v>26</v>
      </c>
      <c r="K113" t="s">
        <v>27</v>
      </c>
      <c r="L113">
        <v>38</v>
      </c>
      <c r="M113" t="str" cm="1">
        <f t="array" ref="M113">_xlfn.IFS(
L113&lt;=12,"Children",
L113&lt;=19,"Teens",
L113&lt;=29,"Young Adults",
L113&lt;=39,"Adults",
L113&lt;=59,"Middle-Aged",
L113&gt;=60,"Seniors"
)</f>
        <v>Adults</v>
      </c>
      <c r="N113" t="s">
        <v>20</v>
      </c>
    </row>
    <row r="114" spans="1:14" x14ac:dyDescent="0.3">
      <c r="A114">
        <v>17650</v>
      </c>
      <c r="B114" t="s">
        <v>40</v>
      </c>
      <c r="C114" t="s">
        <v>38</v>
      </c>
      <c r="D114" s="3">
        <v>40000</v>
      </c>
      <c r="E114">
        <v>2</v>
      </c>
      <c r="F114" t="s">
        <v>21</v>
      </c>
      <c r="G114" t="s">
        <v>22</v>
      </c>
      <c r="H114" t="s">
        <v>17</v>
      </c>
      <c r="I114">
        <v>2</v>
      </c>
      <c r="J114" t="s">
        <v>29</v>
      </c>
      <c r="K114" t="s">
        <v>19</v>
      </c>
      <c r="L114">
        <v>35</v>
      </c>
      <c r="M114" t="str" cm="1">
        <f t="array" ref="M114">_xlfn.IFS(
L114&lt;=12,"Children",
L114&lt;=19,"Teens",
L114&lt;=29,"Young Adults",
L114&lt;=39,"Adults",
L114&lt;=59,"Middle-Aged",
L114&gt;=60,"Seniors"
)</f>
        <v>Adults</v>
      </c>
      <c r="N114" t="s">
        <v>20</v>
      </c>
    </row>
    <row r="115" spans="1:14" x14ac:dyDescent="0.3">
      <c r="A115">
        <v>29191</v>
      </c>
      <c r="B115" t="s">
        <v>40</v>
      </c>
      <c r="C115" t="s">
        <v>38</v>
      </c>
      <c r="D115" s="3">
        <v>130000</v>
      </c>
      <c r="E115">
        <v>1</v>
      </c>
      <c r="F115" t="s">
        <v>34</v>
      </c>
      <c r="G115" t="s">
        <v>31</v>
      </c>
      <c r="H115" t="s">
        <v>20</v>
      </c>
      <c r="I115">
        <v>1</v>
      </c>
      <c r="J115" t="s">
        <v>18</v>
      </c>
      <c r="K115" t="s">
        <v>27</v>
      </c>
      <c r="L115">
        <v>36</v>
      </c>
      <c r="M115" t="str" cm="1">
        <f t="array" ref="M115">_xlfn.IFS(
L115&lt;=12,"Children",
L115&lt;=19,"Teens",
L115&lt;=29,"Young Adults",
L115&lt;=39,"Adults",
L115&lt;=59,"Middle-Aged",
L115&gt;=60,"Seniors"
)</f>
        <v>Adults</v>
      </c>
      <c r="N115" t="s">
        <v>17</v>
      </c>
    </row>
    <row r="116" spans="1:14" x14ac:dyDescent="0.3">
      <c r="A116">
        <v>15030</v>
      </c>
      <c r="B116" t="s">
        <v>37</v>
      </c>
      <c r="C116" t="s">
        <v>39</v>
      </c>
      <c r="D116" s="3">
        <v>20000</v>
      </c>
      <c r="E116">
        <v>0</v>
      </c>
      <c r="F116" t="s">
        <v>15</v>
      </c>
      <c r="G116" t="s">
        <v>22</v>
      </c>
      <c r="H116" t="s">
        <v>17</v>
      </c>
      <c r="I116">
        <v>0</v>
      </c>
      <c r="J116" t="s">
        <v>18</v>
      </c>
      <c r="K116" t="s">
        <v>27</v>
      </c>
      <c r="L116">
        <v>26</v>
      </c>
      <c r="M116" t="str" cm="1">
        <f t="array" ref="M116">_xlfn.IFS(
L116&lt;=12,"Children",
L116&lt;=19,"Teens",
L116&lt;=29,"Young Adults",
L116&lt;=39,"Adults",
L116&lt;=59,"Middle-Aged",
L116&gt;=60,"Seniors"
)</f>
        <v>Young Adults</v>
      </c>
      <c r="N116" t="s">
        <v>17</v>
      </c>
    </row>
    <row r="117" spans="1:14" x14ac:dyDescent="0.3">
      <c r="A117">
        <v>24140</v>
      </c>
      <c r="B117" t="s">
        <v>40</v>
      </c>
      <c r="C117" t="s">
        <v>39</v>
      </c>
      <c r="D117" s="3">
        <v>10000</v>
      </c>
      <c r="E117">
        <v>0</v>
      </c>
      <c r="F117" t="s">
        <v>34</v>
      </c>
      <c r="G117" t="s">
        <v>28</v>
      </c>
      <c r="H117" t="s">
        <v>20</v>
      </c>
      <c r="I117">
        <v>0</v>
      </c>
      <c r="J117" t="s">
        <v>18</v>
      </c>
      <c r="K117" t="s">
        <v>19</v>
      </c>
      <c r="L117">
        <v>30</v>
      </c>
      <c r="M117" t="str" cm="1">
        <f t="array" ref="M117">_xlfn.IFS(
L117&lt;=12,"Children",
L117&lt;=19,"Teens",
L117&lt;=29,"Young Adults",
L117&lt;=39,"Adults",
L117&lt;=59,"Middle-Aged",
L117&gt;=60,"Seniors"
)</f>
        <v>Adults</v>
      </c>
      <c r="N117" t="s">
        <v>17</v>
      </c>
    </row>
    <row r="118" spans="1:14" x14ac:dyDescent="0.3">
      <c r="A118">
        <v>22496</v>
      </c>
      <c r="B118" t="s">
        <v>37</v>
      </c>
      <c r="C118" t="s">
        <v>38</v>
      </c>
      <c r="D118" s="3">
        <v>30000</v>
      </c>
      <c r="E118">
        <v>1</v>
      </c>
      <c r="F118" t="s">
        <v>15</v>
      </c>
      <c r="G118" t="s">
        <v>16</v>
      </c>
      <c r="H118" t="s">
        <v>17</v>
      </c>
      <c r="I118">
        <v>2</v>
      </c>
      <c r="J118" t="s">
        <v>18</v>
      </c>
      <c r="K118" t="s">
        <v>19</v>
      </c>
      <c r="L118">
        <v>42</v>
      </c>
      <c r="M118" t="str" cm="1">
        <f t="array" ref="M118">_xlfn.IFS(
L118&lt;=12,"Children",
L118&lt;=19,"Teens",
L118&lt;=29,"Young Adults",
L118&lt;=39,"Adults",
L118&lt;=59,"Middle-Aged",
L118&gt;=60,"Seniors"
)</f>
        <v>Middle-Aged</v>
      </c>
      <c r="N118" t="s">
        <v>20</v>
      </c>
    </row>
    <row r="119" spans="1:14" x14ac:dyDescent="0.3">
      <c r="A119">
        <v>24065</v>
      </c>
      <c r="B119" t="s">
        <v>40</v>
      </c>
      <c r="C119" t="s">
        <v>38</v>
      </c>
      <c r="D119" s="3">
        <v>20000</v>
      </c>
      <c r="E119">
        <v>0</v>
      </c>
      <c r="F119" t="s">
        <v>30</v>
      </c>
      <c r="G119" t="s">
        <v>28</v>
      </c>
      <c r="H119" t="s">
        <v>17</v>
      </c>
      <c r="I119">
        <v>0</v>
      </c>
      <c r="J119" t="s">
        <v>18</v>
      </c>
      <c r="K119" t="s">
        <v>19</v>
      </c>
      <c r="L119">
        <v>40</v>
      </c>
      <c r="M119" t="str" cm="1">
        <f t="array" ref="M119">_xlfn.IFS(
L119&lt;=12,"Children",
L119&lt;=19,"Teens",
L119&lt;=29,"Young Adults",
L119&lt;=39,"Adults",
L119&lt;=59,"Middle-Aged",
L119&gt;=60,"Seniors"
)</f>
        <v>Middle-Aged</v>
      </c>
      <c r="N119" t="s">
        <v>17</v>
      </c>
    </row>
    <row r="120" spans="1:14" x14ac:dyDescent="0.3">
      <c r="A120">
        <v>19914</v>
      </c>
      <c r="B120" t="s">
        <v>37</v>
      </c>
      <c r="C120" t="s">
        <v>39</v>
      </c>
      <c r="D120" s="3">
        <v>80000</v>
      </c>
      <c r="E120">
        <v>5</v>
      </c>
      <c r="F120" t="s">
        <v>15</v>
      </c>
      <c r="G120" t="s">
        <v>31</v>
      </c>
      <c r="H120" t="s">
        <v>17</v>
      </c>
      <c r="I120">
        <v>2</v>
      </c>
      <c r="J120" t="s">
        <v>24</v>
      </c>
      <c r="K120" t="s">
        <v>19</v>
      </c>
      <c r="L120">
        <v>62</v>
      </c>
      <c r="M120" t="str" cm="1">
        <f t="array" ref="M120">_xlfn.IFS(
L120&lt;=12,"Children",
L120&lt;=19,"Teens",
L120&lt;=29,"Young Adults",
L120&lt;=39,"Adults",
L120&lt;=59,"Middle-Aged",
L120&gt;=60,"Seniors"
)</f>
        <v>Seniors</v>
      </c>
      <c r="N120" t="s">
        <v>20</v>
      </c>
    </row>
    <row r="121" spans="1:14" x14ac:dyDescent="0.3">
      <c r="A121">
        <v>12871</v>
      </c>
      <c r="B121" t="s">
        <v>40</v>
      </c>
      <c r="C121" t="s">
        <v>38</v>
      </c>
      <c r="D121" s="3">
        <v>30000</v>
      </c>
      <c r="E121">
        <v>0</v>
      </c>
      <c r="F121" t="s">
        <v>21</v>
      </c>
      <c r="G121" t="s">
        <v>22</v>
      </c>
      <c r="H121" t="s">
        <v>20</v>
      </c>
      <c r="I121">
        <v>1</v>
      </c>
      <c r="J121" t="s">
        <v>24</v>
      </c>
      <c r="K121" t="s">
        <v>19</v>
      </c>
      <c r="L121">
        <v>29</v>
      </c>
      <c r="M121" t="str" cm="1">
        <f t="array" ref="M121">_xlfn.IFS(
L121&lt;=12,"Children",
L121&lt;=19,"Teens",
L121&lt;=29,"Young Adults",
L121&lt;=39,"Adults",
L121&lt;=59,"Middle-Aged",
L121&gt;=60,"Seniors"
)</f>
        <v>Young Adults</v>
      </c>
      <c r="N121" t="s">
        <v>20</v>
      </c>
    </row>
    <row r="122" spans="1:14" x14ac:dyDescent="0.3">
      <c r="A122">
        <v>22988</v>
      </c>
      <c r="B122" t="s">
        <v>37</v>
      </c>
      <c r="C122" t="s">
        <v>38</v>
      </c>
      <c r="D122" s="3">
        <v>40000</v>
      </c>
      <c r="E122">
        <v>2</v>
      </c>
      <c r="F122" t="s">
        <v>15</v>
      </c>
      <c r="G122" t="s">
        <v>31</v>
      </c>
      <c r="H122" t="s">
        <v>17</v>
      </c>
      <c r="I122">
        <v>2</v>
      </c>
      <c r="J122" t="s">
        <v>26</v>
      </c>
      <c r="K122" t="s">
        <v>27</v>
      </c>
      <c r="L122">
        <v>66</v>
      </c>
      <c r="M122" t="str" cm="1">
        <f t="array" ref="M122">_xlfn.IFS(
L122&lt;=12,"Children",
L122&lt;=19,"Teens",
L122&lt;=29,"Young Adults",
L122&lt;=39,"Adults",
L122&lt;=59,"Middle-Aged",
L122&gt;=60,"Seniors"
)</f>
        <v>Seniors</v>
      </c>
      <c r="N122" t="s">
        <v>17</v>
      </c>
    </row>
    <row r="123" spans="1:14" x14ac:dyDescent="0.3">
      <c r="A123">
        <v>15922</v>
      </c>
      <c r="B123" t="s">
        <v>37</v>
      </c>
      <c r="C123" t="s">
        <v>39</v>
      </c>
      <c r="D123" s="3">
        <v>150000</v>
      </c>
      <c r="E123">
        <v>2</v>
      </c>
      <c r="F123" t="s">
        <v>30</v>
      </c>
      <c r="G123" t="s">
        <v>23</v>
      </c>
      <c r="H123" t="s">
        <v>17</v>
      </c>
      <c r="I123">
        <v>4</v>
      </c>
      <c r="J123" t="s">
        <v>18</v>
      </c>
      <c r="K123" t="s">
        <v>19</v>
      </c>
      <c r="L123">
        <v>48</v>
      </c>
      <c r="M123" t="str" cm="1">
        <f t="array" ref="M123">_xlfn.IFS(
L123&lt;=12,"Children",
L123&lt;=19,"Teens",
L123&lt;=29,"Young Adults",
L123&lt;=39,"Adults",
L123&lt;=59,"Middle-Aged",
L123&gt;=60,"Seniors"
)</f>
        <v>Middle-Aged</v>
      </c>
      <c r="N123" t="s">
        <v>20</v>
      </c>
    </row>
    <row r="124" spans="1:14" x14ac:dyDescent="0.3">
      <c r="A124">
        <v>12344</v>
      </c>
      <c r="B124" t="s">
        <v>40</v>
      </c>
      <c r="C124" t="s">
        <v>38</v>
      </c>
      <c r="D124" s="3">
        <v>80000</v>
      </c>
      <c r="E124">
        <v>0</v>
      </c>
      <c r="F124" t="s">
        <v>15</v>
      </c>
      <c r="G124" t="s">
        <v>23</v>
      </c>
      <c r="H124" t="s">
        <v>20</v>
      </c>
      <c r="I124">
        <v>3</v>
      </c>
      <c r="J124" t="s">
        <v>41</v>
      </c>
      <c r="K124" t="s">
        <v>27</v>
      </c>
      <c r="L124">
        <v>31</v>
      </c>
      <c r="M124" t="str" cm="1">
        <f t="array" ref="M124">_xlfn.IFS(
L124&lt;=12,"Children",
L124&lt;=19,"Teens",
L124&lt;=29,"Young Adults",
L124&lt;=39,"Adults",
L124&lt;=59,"Middle-Aged",
L124&gt;=60,"Seniors"
)</f>
        <v>Adults</v>
      </c>
      <c r="N124" t="s">
        <v>20</v>
      </c>
    </row>
    <row r="125" spans="1:14" x14ac:dyDescent="0.3">
      <c r="A125">
        <v>23627</v>
      </c>
      <c r="B125" t="s">
        <v>40</v>
      </c>
      <c r="C125" t="s">
        <v>38</v>
      </c>
      <c r="D125" s="3">
        <v>100000</v>
      </c>
      <c r="E125">
        <v>3</v>
      </c>
      <c r="F125" t="s">
        <v>21</v>
      </c>
      <c r="G125" t="s">
        <v>31</v>
      </c>
      <c r="H125" t="s">
        <v>20</v>
      </c>
      <c r="I125">
        <v>4</v>
      </c>
      <c r="J125" t="s">
        <v>26</v>
      </c>
      <c r="K125" t="s">
        <v>19</v>
      </c>
      <c r="L125">
        <v>56</v>
      </c>
      <c r="M125" t="str" cm="1">
        <f t="array" ref="M125">_xlfn.IFS(
L125&lt;=12,"Children",
L125&lt;=19,"Teens",
L125&lt;=29,"Young Adults",
L125&lt;=39,"Adults",
L125&lt;=59,"Middle-Aged",
L125&gt;=60,"Seniors"
)</f>
        <v>Middle-Aged</v>
      </c>
      <c r="N125" t="s">
        <v>20</v>
      </c>
    </row>
    <row r="126" spans="1:14" x14ac:dyDescent="0.3">
      <c r="A126">
        <v>27775</v>
      </c>
      <c r="B126" t="s">
        <v>40</v>
      </c>
      <c r="C126" t="s">
        <v>38</v>
      </c>
      <c r="D126" s="3">
        <v>40000</v>
      </c>
      <c r="E126">
        <v>0</v>
      </c>
      <c r="F126" t="s">
        <v>15</v>
      </c>
      <c r="G126" t="s">
        <v>22</v>
      </c>
      <c r="H126" t="s">
        <v>20</v>
      </c>
      <c r="I126">
        <v>0</v>
      </c>
      <c r="J126" t="s">
        <v>18</v>
      </c>
      <c r="K126" t="s">
        <v>19</v>
      </c>
      <c r="L126">
        <v>38</v>
      </c>
      <c r="M126" t="str" cm="1">
        <f t="array" ref="M126">_xlfn.IFS(
L126&lt;=12,"Children",
L126&lt;=19,"Teens",
L126&lt;=29,"Young Adults",
L126&lt;=39,"Adults",
L126&lt;=59,"Middle-Aged",
L126&gt;=60,"Seniors"
)</f>
        <v>Adults</v>
      </c>
      <c r="N126" t="s">
        <v>17</v>
      </c>
    </row>
    <row r="127" spans="1:14" x14ac:dyDescent="0.3">
      <c r="A127">
        <v>29301</v>
      </c>
      <c r="B127" t="s">
        <v>37</v>
      </c>
      <c r="C127" t="s">
        <v>39</v>
      </c>
      <c r="D127" s="3">
        <v>80000</v>
      </c>
      <c r="E127">
        <v>5</v>
      </c>
      <c r="F127" t="s">
        <v>15</v>
      </c>
      <c r="G127" t="s">
        <v>23</v>
      </c>
      <c r="H127" t="s">
        <v>17</v>
      </c>
      <c r="I127">
        <v>4</v>
      </c>
      <c r="J127" t="s">
        <v>29</v>
      </c>
      <c r="K127" t="s">
        <v>27</v>
      </c>
      <c r="L127">
        <v>40</v>
      </c>
      <c r="M127" t="str" cm="1">
        <f t="array" ref="M127">_xlfn.IFS(
L127&lt;=12,"Children",
L127&lt;=19,"Teens",
L127&lt;=29,"Young Adults",
L127&lt;=39,"Adults",
L127&lt;=59,"Middle-Aged",
L127&gt;=60,"Seniors"
)</f>
        <v>Middle-Aged</v>
      </c>
      <c r="N127" t="s">
        <v>20</v>
      </c>
    </row>
    <row r="128" spans="1:14" x14ac:dyDescent="0.3">
      <c r="A128">
        <v>12716</v>
      </c>
      <c r="B128" t="s">
        <v>40</v>
      </c>
      <c r="C128" t="s">
        <v>39</v>
      </c>
      <c r="D128" s="3">
        <v>30000</v>
      </c>
      <c r="E128">
        <v>0</v>
      </c>
      <c r="F128" t="s">
        <v>21</v>
      </c>
      <c r="G128" t="s">
        <v>22</v>
      </c>
      <c r="H128" t="s">
        <v>17</v>
      </c>
      <c r="I128">
        <v>1</v>
      </c>
      <c r="J128" t="s">
        <v>24</v>
      </c>
      <c r="K128" t="s">
        <v>19</v>
      </c>
      <c r="L128">
        <v>32</v>
      </c>
      <c r="M128" t="str" cm="1">
        <f t="array" ref="M128">_xlfn.IFS(
L128&lt;=12,"Children",
L128&lt;=19,"Teens",
L128&lt;=29,"Young Adults",
L128&lt;=39,"Adults",
L128&lt;=59,"Middle-Aged",
L128&gt;=60,"Seniors"
)</f>
        <v>Adults</v>
      </c>
      <c r="N128" t="s">
        <v>20</v>
      </c>
    </row>
    <row r="129" spans="1:14" x14ac:dyDescent="0.3">
      <c r="A129">
        <v>12472</v>
      </c>
      <c r="B129" t="s">
        <v>37</v>
      </c>
      <c r="C129" t="s">
        <v>39</v>
      </c>
      <c r="D129" s="3">
        <v>30000</v>
      </c>
      <c r="E129">
        <v>1</v>
      </c>
      <c r="F129" t="s">
        <v>15</v>
      </c>
      <c r="G129" t="s">
        <v>22</v>
      </c>
      <c r="H129" t="s">
        <v>17</v>
      </c>
      <c r="I129">
        <v>1</v>
      </c>
      <c r="J129" t="s">
        <v>24</v>
      </c>
      <c r="K129" t="s">
        <v>19</v>
      </c>
      <c r="L129">
        <v>39</v>
      </c>
      <c r="M129" t="str" cm="1">
        <f t="array" ref="M129">_xlfn.IFS(
L129&lt;=12,"Children",
L129&lt;=19,"Teens",
L129&lt;=29,"Young Adults",
L129&lt;=39,"Adults",
L129&lt;=59,"Middle-Aged",
L129&gt;=60,"Seniors"
)</f>
        <v>Adults</v>
      </c>
      <c r="N129" t="s">
        <v>20</v>
      </c>
    </row>
    <row r="130" spans="1:14" x14ac:dyDescent="0.3">
      <c r="A130">
        <v>20970</v>
      </c>
      <c r="B130" t="s">
        <v>40</v>
      </c>
      <c r="C130" t="s">
        <v>39</v>
      </c>
      <c r="D130" s="3">
        <v>10000</v>
      </c>
      <c r="E130">
        <v>2</v>
      </c>
      <c r="F130" t="s">
        <v>21</v>
      </c>
      <c r="G130" t="s">
        <v>28</v>
      </c>
      <c r="H130" t="s">
        <v>17</v>
      </c>
      <c r="I130">
        <v>1</v>
      </c>
      <c r="J130" t="s">
        <v>18</v>
      </c>
      <c r="K130" t="s">
        <v>19</v>
      </c>
      <c r="L130">
        <v>52</v>
      </c>
      <c r="M130" t="str" cm="1">
        <f t="array" ref="M130">_xlfn.IFS(
L130&lt;=12,"Children",
L130&lt;=19,"Teens",
L130&lt;=29,"Young Adults",
L130&lt;=39,"Adults",
L130&lt;=59,"Middle-Aged",
L130&gt;=60,"Seniors"
)</f>
        <v>Middle-Aged</v>
      </c>
      <c r="N130" t="s">
        <v>17</v>
      </c>
    </row>
    <row r="131" spans="1:14" x14ac:dyDescent="0.3">
      <c r="A131">
        <v>26818</v>
      </c>
      <c r="B131" t="s">
        <v>40</v>
      </c>
      <c r="C131" t="s">
        <v>39</v>
      </c>
      <c r="D131" s="3">
        <v>10000</v>
      </c>
      <c r="E131">
        <v>3</v>
      </c>
      <c r="F131" t="s">
        <v>30</v>
      </c>
      <c r="G131" t="s">
        <v>28</v>
      </c>
      <c r="H131" t="s">
        <v>17</v>
      </c>
      <c r="I131">
        <v>1</v>
      </c>
      <c r="J131" t="s">
        <v>18</v>
      </c>
      <c r="K131" t="s">
        <v>19</v>
      </c>
      <c r="L131">
        <v>39</v>
      </c>
      <c r="M131" t="str" cm="1">
        <f t="array" ref="M131">_xlfn.IFS(
L131&lt;=12,"Children",
L131&lt;=19,"Teens",
L131&lt;=29,"Young Adults",
L131&lt;=39,"Adults",
L131&lt;=59,"Middle-Aged",
L131&gt;=60,"Seniors"
)</f>
        <v>Adults</v>
      </c>
      <c r="N131" t="s">
        <v>17</v>
      </c>
    </row>
    <row r="132" spans="1:14" x14ac:dyDescent="0.3">
      <c r="A132">
        <v>12993</v>
      </c>
      <c r="B132" t="s">
        <v>37</v>
      </c>
      <c r="C132" t="s">
        <v>39</v>
      </c>
      <c r="D132" s="3">
        <v>60000</v>
      </c>
      <c r="E132">
        <v>2</v>
      </c>
      <c r="F132" t="s">
        <v>15</v>
      </c>
      <c r="G132" t="s">
        <v>23</v>
      </c>
      <c r="H132" t="s">
        <v>17</v>
      </c>
      <c r="I132">
        <v>1</v>
      </c>
      <c r="J132" t="s">
        <v>24</v>
      </c>
      <c r="K132" t="s">
        <v>27</v>
      </c>
      <c r="L132">
        <v>37</v>
      </c>
      <c r="M132" t="str" cm="1">
        <f t="array" ref="M132">_xlfn.IFS(
L132&lt;=12,"Children",
L132&lt;=19,"Teens",
L132&lt;=29,"Young Adults",
L132&lt;=39,"Adults",
L132&lt;=59,"Middle-Aged",
L132&gt;=60,"Seniors"
)</f>
        <v>Adults</v>
      </c>
      <c r="N132" t="s">
        <v>20</v>
      </c>
    </row>
    <row r="133" spans="1:14" x14ac:dyDescent="0.3">
      <c r="A133">
        <v>14192</v>
      </c>
      <c r="B133" t="s">
        <v>37</v>
      </c>
      <c r="C133" t="s">
        <v>39</v>
      </c>
      <c r="D133" s="3">
        <v>90000</v>
      </c>
      <c r="E133">
        <v>4</v>
      </c>
      <c r="F133" t="s">
        <v>30</v>
      </c>
      <c r="G133" t="s">
        <v>31</v>
      </c>
      <c r="H133" t="s">
        <v>17</v>
      </c>
      <c r="I133">
        <v>3</v>
      </c>
      <c r="J133" t="s">
        <v>26</v>
      </c>
      <c r="K133" t="s">
        <v>19</v>
      </c>
      <c r="L133">
        <v>56</v>
      </c>
      <c r="M133" t="str" cm="1">
        <f t="array" ref="M133">_xlfn.IFS(
L133&lt;=12,"Children",
L133&lt;=19,"Teens",
L133&lt;=29,"Young Adults",
L133&lt;=39,"Adults",
L133&lt;=59,"Middle-Aged",
L133&gt;=60,"Seniors"
)</f>
        <v>Middle-Aged</v>
      </c>
      <c r="N133" t="s">
        <v>17</v>
      </c>
    </row>
    <row r="134" spans="1:14" x14ac:dyDescent="0.3">
      <c r="A134">
        <v>19477</v>
      </c>
      <c r="B134" t="s">
        <v>37</v>
      </c>
      <c r="C134" t="s">
        <v>39</v>
      </c>
      <c r="D134" s="3">
        <v>40000</v>
      </c>
      <c r="E134">
        <v>0</v>
      </c>
      <c r="F134" t="s">
        <v>15</v>
      </c>
      <c r="G134" t="s">
        <v>23</v>
      </c>
      <c r="H134" t="s">
        <v>17</v>
      </c>
      <c r="I134">
        <v>0</v>
      </c>
      <c r="J134" t="s">
        <v>18</v>
      </c>
      <c r="K134" t="s">
        <v>19</v>
      </c>
      <c r="L134">
        <v>40</v>
      </c>
      <c r="M134" t="str" cm="1">
        <f t="array" ref="M134">_xlfn.IFS(
L134&lt;=12,"Children",
L134&lt;=19,"Teens",
L134&lt;=29,"Young Adults",
L134&lt;=39,"Adults",
L134&lt;=59,"Middle-Aged",
L134&gt;=60,"Seniors"
)</f>
        <v>Middle-Aged</v>
      </c>
      <c r="N134" t="s">
        <v>17</v>
      </c>
    </row>
    <row r="135" spans="1:14" x14ac:dyDescent="0.3">
      <c r="A135">
        <v>26796</v>
      </c>
      <c r="B135" t="s">
        <v>40</v>
      </c>
      <c r="C135" t="s">
        <v>39</v>
      </c>
      <c r="D135" s="3">
        <v>40000</v>
      </c>
      <c r="E135">
        <v>2</v>
      </c>
      <c r="F135" t="s">
        <v>15</v>
      </c>
      <c r="G135" t="s">
        <v>31</v>
      </c>
      <c r="H135" t="s">
        <v>17</v>
      </c>
      <c r="I135">
        <v>2</v>
      </c>
      <c r="J135" t="s">
        <v>26</v>
      </c>
      <c r="K135" t="s">
        <v>27</v>
      </c>
      <c r="L135">
        <v>65</v>
      </c>
      <c r="M135" t="str" cm="1">
        <f t="array" ref="M135">_xlfn.IFS(
L135&lt;=12,"Children",
L135&lt;=19,"Teens",
L135&lt;=29,"Young Adults",
L135&lt;=39,"Adults",
L135&lt;=59,"Middle-Aged",
L135&gt;=60,"Seniors"
)</f>
        <v>Seniors</v>
      </c>
      <c r="N135" t="s">
        <v>17</v>
      </c>
    </row>
    <row r="136" spans="1:14" x14ac:dyDescent="0.3">
      <c r="A136">
        <v>21094</v>
      </c>
      <c r="B136" t="s">
        <v>40</v>
      </c>
      <c r="C136" t="s">
        <v>38</v>
      </c>
      <c r="D136" s="3">
        <v>30000</v>
      </c>
      <c r="E136">
        <v>2</v>
      </c>
      <c r="F136" t="s">
        <v>21</v>
      </c>
      <c r="G136" t="s">
        <v>22</v>
      </c>
      <c r="H136" t="s">
        <v>17</v>
      </c>
      <c r="I136">
        <v>2</v>
      </c>
      <c r="J136" t="s">
        <v>18</v>
      </c>
      <c r="K136" t="s">
        <v>19</v>
      </c>
      <c r="L136">
        <v>42</v>
      </c>
      <c r="M136" t="str" cm="1">
        <f t="array" ref="M136">_xlfn.IFS(
L136&lt;=12,"Children",
L136&lt;=19,"Teens",
L136&lt;=29,"Young Adults",
L136&lt;=39,"Adults",
L136&lt;=59,"Middle-Aged",
L136&gt;=60,"Seniors"
)</f>
        <v>Middle-Aged</v>
      </c>
      <c r="N136" t="s">
        <v>20</v>
      </c>
    </row>
    <row r="137" spans="1:14" x14ac:dyDescent="0.3">
      <c r="A137">
        <v>12234</v>
      </c>
      <c r="B137" t="s">
        <v>37</v>
      </c>
      <c r="C137" t="s">
        <v>39</v>
      </c>
      <c r="D137" s="3">
        <v>10000</v>
      </c>
      <c r="E137">
        <v>2</v>
      </c>
      <c r="F137" t="s">
        <v>21</v>
      </c>
      <c r="G137" t="s">
        <v>28</v>
      </c>
      <c r="H137" t="s">
        <v>17</v>
      </c>
      <c r="I137">
        <v>1</v>
      </c>
      <c r="J137" t="s">
        <v>24</v>
      </c>
      <c r="K137" t="s">
        <v>19</v>
      </c>
      <c r="L137">
        <v>52</v>
      </c>
      <c r="M137" t="str" cm="1">
        <f t="array" ref="M137">_xlfn.IFS(
L137&lt;=12,"Children",
L137&lt;=19,"Teens",
L137&lt;=29,"Young Adults",
L137&lt;=39,"Adults",
L137&lt;=59,"Middle-Aged",
L137&gt;=60,"Seniors"
)</f>
        <v>Middle-Aged</v>
      </c>
      <c r="N137" t="s">
        <v>20</v>
      </c>
    </row>
    <row r="138" spans="1:14" x14ac:dyDescent="0.3">
      <c r="A138">
        <v>28683</v>
      </c>
      <c r="B138" t="s">
        <v>40</v>
      </c>
      <c r="C138" t="s">
        <v>38</v>
      </c>
      <c r="D138" s="3">
        <v>10000</v>
      </c>
      <c r="E138">
        <v>1</v>
      </c>
      <c r="F138" t="s">
        <v>30</v>
      </c>
      <c r="G138" t="s">
        <v>28</v>
      </c>
      <c r="H138" t="s">
        <v>20</v>
      </c>
      <c r="I138">
        <v>1</v>
      </c>
      <c r="J138" t="s">
        <v>26</v>
      </c>
      <c r="K138" t="s">
        <v>19</v>
      </c>
      <c r="L138">
        <v>35</v>
      </c>
      <c r="M138" t="str" cm="1">
        <f t="array" ref="M138">_xlfn.IFS(
L138&lt;=12,"Children",
L138&lt;=19,"Teens",
L138&lt;=29,"Young Adults",
L138&lt;=39,"Adults",
L138&lt;=59,"Middle-Aged",
L138&gt;=60,"Seniors"
)</f>
        <v>Adults</v>
      </c>
      <c r="N138" t="s">
        <v>17</v>
      </c>
    </row>
    <row r="139" spans="1:14" x14ac:dyDescent="0.3">
      <c r="A139">
        <v>17994</v>
      </c>
      <c r="B139" t="s">
        <v>40</v>
      </c>
      <c r="C139" t="s">
        <v>39</v>
      </c>
      <c r="D139" s="3">
        <v>20000</v>
      </c>
      <c r="E139">
        <v>2</v>
      </c>
      <c r="F139" t="s">
        <v>30</v>
      </c>
      <c r="G139" t="s">
        <v>28</v>
      </c>
      <c r="H139" t="s">
        <v>17</v>
      </c>
      <c r="I139">
        <v>2</v>
      </c>
      <c r="J139" t="s">
        <v>18</v>
      </c>
      <c r="K139" t="s">
        <v>19</v>
      </c>
      <c r="L139">
        <v>42</v>
      </c>
      <c r="M139" t="str" cm="1">
        <f t="array" ref="M139">_xlfn.IFS(
L139&lt;=12,"Children",
L139&lt;=19,"Teens",
L139&lt;=29,"Young Adults",
L139&lt;=39,"Adults",
L139&lt;=59,"Middle-Aged",
L139&gt;=60,"Seniors"
)</f>
        <v>Middle-Aged</v>
      </c>
      <c r="N139" t="s">
        <v>20</v>
      </c>
    </row>
    <row r="140" spans="1:14" x14ac:dyDescent="0.3">
      <c r="A140">
        <v>24273</v>
      </c>
      <c r="B140" t="s">
        <v>37</v>
      </c>
      <c r="C140" t="s">
        <v>38</v>
      </c>
      <c r="D140" s="3">
        <v>20000</v>
      </c>
      <c r="E140">
        <v>2</v>
      </c>
      <c r="F140" t="s">
        <v>32</v>
      </c>
      <c r="G140" t="s">
        <v>22</v>
      </c>
      <c r="H140" t="s">
        <v>17</v>
      </c>
      <c r="I140">
        <v>2</v>
      </c>
      <c r="J140" t="s">
        <v>26</v>
      </c>
      <c r="K140" t="s">
        <v>27</v>
      </c>
      <c r="L140">
        <v>55</v>
      </c>
      <c r="M140" t="str" cm="1">
        <f t="array" ref="M140">_xlfn.IFS(
L140&lt;=12,"Children",
L140&lt;=19,"Teens",
L140&lt;=29,"Young Adults",
L140&lt;=39,"Adults",
L140&lt;=59,"Middle-Aged",
L140&gt;=60,"Seniors"
)</f>
        <v>Middle-Aged</v>
      </c>
      <c r="N140" t="s">
        <v>17</v>
      </c>
    </row>
    <row r="141" spans="1:14" x14ac:dyDescent="0.3">
      <c r="A141">
        <v>26547</v>
      </c>
      <c r="B141" t="s">
        <v>40</v>
      </c>
      <c r="C141" t="s">
        <v>38</v>
      </c>
      <c r="D141" s="3">
        <v>30000</v>
      </c>
      <c r="E141">
        <v>2</v>
      </c>
      <c r="F141" t="s">
        <v>21</v>
      </c>
      <c r="G141" t="s">
        <v>22</v>
      </c>
      <c r="H141" t="s">
        <v>20</v>
      </c>
      <c r="I141">
        <v>2</v>
      </c>
      <c r="J141" t="s">
        <v>26</v>
      </c>
      <c r="K141" t="s">
        <v>27</v>
      </c>
      <c r="L141">
        <v>60</v>
      </c>
      <c r="M141" t="str" cm="1">
        <f t="array" ref="M141">_xlfn.IFS(
L141&lt;=12,"Children",
L141&lt;=19,"Teens",
L141&lt;=29,"Young Adults",
L141&lt;=39,"Adults",
L141&lt;=59,"Middle-Aged",
L141&gt;=60,"Seniors"
)</f>
        <v>Seniors</v>
      </c>
      <c r="N141" t="s">
        <v>17</v>
      </c>
    </row>
    <row r="142" spans="1:14" x14ac:dyDescent="0.3">
      <c r="A142">
        <v>22500</v>
      </c>
      <c r="B142" t="s">
        <v>40</v>
      </c>
      <c r="C142" t="s">
        <v>39</v>
      </c>
      <c r="D142" s="3">
        <v>40000</v>
      </c>
      <c r="E142">
        <v>0</v>
      </c>
      <c r="F142" t="s">
        <v>15</v>
      </c>
      <c r="G142" t="s">
        <v>23</v>
      </c>
      <c r="H142" t="s">
        <v>20</v>
      </c>
      <c r="I142">
        <v>0</v>
      </c>
      <c r="J142" t="s">
        <v>18</v>
      </c>
      <c r="K142" t="s">
        <v>19</v>
      </c>
      <c r="L142">
        <v>40</v>
      </c>
      <c r="M142" t="str" cm="1">
        <f t="array" ref="M142">_xlfn.IFS(
L142&lt;=12,"Children",
L142&lt;=19,"Teens",
L142&lt;=29,"Young Adults",
L142&lt;=39,"Adults",
L142&lt;=59,"Middle-Aged",
L142&gt;=60,"Seniors"
)</f>
        <v>Middle-Aged</v>
      </c>
      <c r="N142" t="s">
        <v>17</v>
      </c>
    </row>
    <row r="143" spans="1:14" x14ac:dyDescent="0.3">
      <c r="A143">
        <v>23993</v>
      </c>
      <c r="B143" t="s">
        <v>40</v>
      </c>
      <c r="C143" t="s">
        <v>38</v>
      </c>
      <c r="D143" s="3">
        <v>10000</v>
      </c>
      <c r="E143">
        <v>0</v>
      </c>
      <c r="F143" t="s">
        <v>21</v>
      </c>
      <c r="G143" t="s">
        <v>28</v>
      </c>
      <c r="H143" t="s">
        <v>20</v>
      </c>
      <c r="I143">
        <v>1</v>
      </c>
      <c r="J143" t="s">
        <v>18</v>
      </c>
      <c r="K143" t="s">
        <v>27</v>
      </c>
      <c r="L143">
        <v>26</v>
      </c>
      <c r="M143" t="str" cm="1">
        <f t="array" ref="M143">_xlfn.IFS(
L143&lt;=12,"Children",
L143&lt;=19,"Teens",
L143&lt;=29,"Young Adults",
L143&lt;=39,"Adults",
L143&lt;=59,"Middle-Aged",
L143&gt;=60,"Seniors"
)</f>
        <v>Young Adults</v>
      </c>
      <c r="N143" t="s">
        <v>17</v>
      </c>
    </row>
    <row r="144" spans="1:14" x14ac:dyDescent="0.3">
      <c r="A144">
        <v>14832</v>
      </c>
      <c r="B144" t="s">
        <v>37</v>
      </c>
      <c r="C144" t="s">
        <v>39</v>
      </c>
      <c r="D144" s="3">
        <v>40000</v>
      </c>
      <c r="E144">
        <v>1</v>
      </c>
      <c r="F144" t="s">
        <v>15</v>
      </c>
      <c r="G144" t="s">
        <v>16</v>
      </c>
      <c r="H144" t="s">
        <v>17</v>
      </c>
      <c r="I144">
        <v>0</v>
      </c>
      <c r="J144" t="s">
        <v>18</v>
      </c>
      <c r="K144" t="s">
        <v>19</v>
      </c>
      <c r="L144">
        <v>42</v>
      </c>
      <c r="M144" t="str" cm="1">
        <f t="array" ref="M144">_xlfn.IFS(
L144&lt;=12,"Children",
L144&lt;=19,"Teens",
L144&lt;=29,"Young Adults",
L144&lt;=39,"Adults",
L144&lt;=59,"Middle-Aged",
L144&gt;=60,"Seniors"
)</f>
        <v>Middle-Aged</v>
      </c>
      <c r="N144" t="s">
        <v>17</v>
      </c>
    </row>
    <row r="145" spans="1:14" x14ac:dyDescent="0.3">
      <c r="A145">
        <v>16614</v>
      </c>
      <c r="B145" t="s">
        <v>37</v>
      </c>
      <c r="C145" t="s">
        <v>38</v>
      </c>
      <c r="D145" s="3">
        <v>80000</v>
      </c>
      <c r="E145">
        <v>0</v>
      </c>
      <c r="F145" t="s">
        <v>15</v>
      </c>
      <c r="G145" t="s">
        <v>23</v>
      </c>
      <c r="H145" t="s">
        <v>17</v>
      </c>
      <c r="I145">
        <v>3</v>
      </c>
      <c r="J145" t="s">
        <v>41</v>
      </c>
      <c r="K145" t="s">
        <v>27</v>
      </c>
      <c r="L145">
        <v>32</v>
      </c>
      <c r="M145" t="str" cm="1">
        <f t="array" ref="M145">_xlfn.IFS(
L145&lt;=12,"Children",
L145&lt;=19,"Teens",
L145&lt;=29,"Young Adults",
L145&lt;=39,"Adults",
L145&lt;=59,"Middle-Aged",
L145&gt;=60,"Seniors"
)</f>
        <v>Adults</v>
      </c>
      <c r="N145" t="s">
        <v>20</v>
      </c>
    </row>
    <row r="146" spans="1:14" x14ac:dyDescent="0.3">
      <c r="A146">
        <v>20877</v>
      </c>
      <c r="B146" t="s">
        <v>40</v>
      </c>
      <c r="C146" t="s">
        <v>39</v>
      </c>
      <c r="D146" s="3">
        <v>30000</v>
      </c>
      <c r="E146">
        <v>1</v>
      </c>
      <c r="F146" t="s">
        <v>15</v>
      </c>
      <c r="G146" t="s">
        <v>22</v>
      </c>
      <c r="H146" t="s">
        <v>17</v>
      </c>
      <c r="I146">
        <v>0</v>
      </c>
      <c r="J146" t="s">
        <v>29</v>
      </c>
      <c r="K146" t="s">
        <v>19</v>
      </c>
      <c r="L146">
        <v>37</v>
      </c>
      <c r="M146" t="str" cm="1">
        <f t="array" ref="M146">_xlfn.IFS(
L146&lt;=12,"Children",
L146&lt;=19,"Teens",
L146&lt;=29,"Young Adults",
L146&lt;=39,"Adults",
L146&lt;=59,"Middle-Aged",
L146&gt;=60,"Seniors"
)</f>
        <v>Adults</v>
      </c>
      <c r="N146" t="s">
        <v>17</v>
      </c>
    </row>
    <row r="147" spans="1:14" x14ac:dyDescent="0.3">
      <c r="A147">
        <v>20729</v>
      </c>
      <c r="B147" t="s">
        <v>37</v>
      </c>
      <c r="C147" t="s">
        <v>38</v>
      </c>
      <c r="D147" s="3">
        <v>40000</v>
      </c>
      <c r="E147">
        <v>2</v>
      </c>
      <c r="F147" t="s">
        <v>21</v>
      </c>
      <c r="G147" t="s">
        <v>22</v>
      </c>
      <c r="H147" t="s">
        <v>20</v>
      </c>
      <c r="I147">
        <v>1</v>
      </c>
      <c r="J147" t="s">
        <v>18</v>
      </c>
      <c r="K147" t="s">
        <v>19</v>
      </c>
      <c r="L147">
        <v>34</v>
      </c>
      <c r="M147" t="str" cm="1">
        <f t="array" ref="M147">_xlfn.IFS(
L147&lt;=12,"Children",
L147&lt;=19,"Teens",
L147&lt;=29,"Young Adults",
L147&lt;=39,"Adults",
L147&lt;=59,"Middle-Aged",
L147&gt;=60,"Seniors"
)</f>
        <v>Adults</v>
      </c>
      <c r="N147" t="s">
        <v>20</v>
      </c>
    </row>
    <row r="148" spans="1:14" x14ac:dyDescent="0.3">
      <c r="A148">
        <v>22464</v>
      </c>
      <c r="B148" t="s">
        <v>37</v>
      </c>
      <c r="C148" t="s">
        <v>39</v>
      </c>
      <c r="D148" s="3">
        <v>40000</v>
      </c>
      <c r="E148">
        <v>0</v>
      </c>
      <c r="F148" t="s">
        <v>34</v>
      </c>
      <c r="G148" t="s">
        <v>22</v>
      </c>
      <c r="H148" t="s">
        <v>17</v>
      </c>
      <c r="I148">
        <v>0</v>
      </c>
      <c r="J148" t="s">
        <v>18</v>
      </c>
      <c r="K148" t="s">
        <v>19</v>
      </c>
      <c r="L148">
        <v>37</v>
      </c>
      <c r="M148" t="str" cm="1">
        <f t="array" ref="M148">_xlfn.IFS(
L148&lt;=12,"Children",
L148&lt;=19,"Teens",
L148&lt;=29,"Young Adults",
L148&lt;=39,"Adults",
L148&lt;=59,"Middle-Aged",
L148&gt;=60,"Seniors"
)</f>
        <v>Adults</v>
      </c>
      <c r="N148" t="s">
        <v>17</v>
      </c>
    </row>
    <row r="149" spans="1:14" x14ac:dyDescent="0.3">
      <c r="A149">
        <v>19475</v>
      </c>
      <c r="B149" t="s">
        <v>37</v>
      </c>
      <c r="C149" t="s">
        <v>38</v>
      </c>
      <c r="D149" s="3">
        <v>40000</v>
      </c>
      <c r="E149">
        <v>0</v>
      </c>
      <c r="F149" t="s">
        <v>15</v>
      </c>
      <c r="G149" t="s">
        <v>23</v>
      </c>
      <c r="H149" t="s">
        <v>20</v>
      </c>
      <c r="I149">
        <v>0</v>
      </c>
      <c r="J149" t="s">
        <v>18</v>
      </c>
      <c r="K149" t="s">
        <v>19</v>
      </c>
      <c r="L149">
        <v>40</v>
      </c>
      <c r="M149" t="str" cm="1">
        <f t="array" ref="M149">_xlfn.IFS(
L149&lt;=12,"Children",
L149&lt;=19,"Teens",
L149&lt;=29,"Young Adults",
L149&lt;=39,"Adults",
L149&lt;=59,"Middle-Aged",
L149&gt;=60,"Seniors"
)</f>
        <v>Middle-Aged</v>
      </c>
      <c r="N149" t="s">
        <v>17</v>
      </c>
    </row>
    <row r="150" spans="1:14" x14ac:dyDescent="0.3">
      <c r="A150">
        <v>19675</v>
      </c>
      <c r="B150" t="s">
        <v>37</v>
      </c>
      <c r="C150" t="s">
        <v>39</v>
      </c>
      <c r="D150" s="3">
        <v>20000</v>
      </c>
      <c r="E150">
        <v>4</v>
      </c>
      <c r="F150" t="s">
        <v>30</v>
      </c>
      <c r="G150" t="s">
        <v>16</v>
      </c>
      <c r="H150" t="s">
        <v>17</v>
      </c>
      <c r="I150">
        <v>2</v>
      </c>
      <c r="J150" t="s">
        <v>26</v>
      </c>
      <c r="K150" t="s">
        <v>27</v>
      </c>
      <c r="L150">
        <v>60</v>
      </c>
      <c r="M150" t="str" cm="1">
        <f t="array" ref="M150">_xlfn.IFS(
L150&lt;=12,"Children",
L150&lt;=19,"Teens",
L150&lt;=29,"Young Adults",
L150&lt;=39,"Adults",
L150&lt;=59,"Middle-Aged",
L150&gt;=60,"Seniors"
)</f>
        <v>Seniors</v>
      </c>
      <c r="N150" t="s">
        <v>20</v>
      </c>
    </row>
    <row r="151" spans="1:14" x14ac:dyDescent="0.3">
      <c r="A151">
        <v>12728</v>
      </c>
      <c r="B151" t="s">
        <v>40</v>
      </c>
      <c r="C151" t="s">
        <v>39</v>
      </c>
      <c r="D151" s="3">
        <v>30000</v>
      </c>
      <c r="E151">
        <v>0</v>
      </c>
      <c r="F151" t="s">
        <v>21</v>
      </c>
      <c r="G151" t="s">
        <v>22</v>
      </c>
      <c r="H151" t="s">
        <v>20</v>
      </c>
      <c r="I151">
        <v>1</v>
      </c>
      <c r="J151" t="s">
        <v>29</v>
      </c>
      <c r="K151" t="s">
        <v>19</v>
      </c>
      <c r="L151">
        <v>27</v>
      </c>
      <c r="M151" t="str" cm="1">
        <f t="array" ref="M151">_xlfn.IFS(
L151&lt;=12,"Children",
L151&lt;=19,"Teens",
L151&lt;=29,"Young Adults",
L151&lt;=39,"Adults",
L151&lt;=59,"Middle-Aged",
L151&gt;=60,"Seniors"
)</f>
        <v>Young Adults</v>
      </c>
      <c r="N151" t="s">
        <v>20</v>
      </c>
    </row>
    <row r="152" spans="1:14" x14ac:dyDescent="0.3">
      <c r="A152">
        <v>26154</v>
      </c>
      <c r="B152" t="s">
        <v>37</v>
      </c>
      <c r="C152" t="s">
        <v>39</v>
      </c>
      <c r="D152" s="3">
        <v>60000</v>
      </c>
      <c r="E152">
        <v>1</v>
      </c>
      <c r="F152" t="s">
        <v>21</v>
      </c>
      <c r="G152" t="s">
        <v>16</v>
      </c>
      <c r="H152" t="s">
        <v>17</v>
      </c>
      <c r="I152">
        <v>1</v>
      </c>
      <c r="J152" t="s">
        <v>26</v>
      </c>
      <c r="K152" t="s">
        <v>27</v>
      </c>
      <c r="L152">
        <v>43</v>
      </c>
      <c r="M152" t="str" cm="1">
        <f t="array" ref="M152">_xlfn.IFS(
L152&lt;=12,"Children",
L152&lt;=19,"Teens",
L152&lt;=29,"Young Adults",
L152&lt;=39,"Adults",
L152&lt;=59,"Middle-Aged",
L152&gt;=60,"Seniors"
)</f>
        <v>Middle-Aged</v>
      </c>
      <c r="N152" t="s">
        <v>17</v>
      </c>
    </row>
    <row r="153" spans="1:14" x14ac:dyDescent="0.3">
      <c r="A153">
        <v>29117</v>
      </c>
      <c r="B153" t="s">
        <v>40</v>
      </c>
      <c r="C153" t="s">
        <v>39</v>
      </c>
      <c r="D153" s="3">
        <v>100000</v>
      </c>
      <c r="E153">
        <v>1</v>
      </c>
      <c r="F153" t="s">
        <v>15</v>
      </c>
      <c r="G153" t="s">
        <v>31</v>
      </c>
      <c r="H153" t="s">
        <v>20</v>
      </c>
      <c r="I153">
        <v>3</v>
      </c>
      <c r="J153" t="s">
        <v>18</v>
      </c>
      <c r="K153" t="s">
        <v>27</v>
      </c>
      <c r="L153">
        <v>48</v>
      </c>
      <c r="M153" t="str" cm="1">
        <f t="array" ref="M153">_xlfn.IFS(
L153&lt;=12,"Children",
L153&lt;=19,"Teens",
L153&lt;=29,"Young Adults",
L153&lt;=39,"Adults",
L153&lt;=59,"Middle-Aged",
L153&gt;=60,"Seniors"
)</f>
        <v>Middle-Aged</v>
      </c>
      <c r="N153" t="s">
        <v>20</v>
      </c>
    </row>
    <row r="154" spans="1:14" x14ac:dyDescent="0.3">
      <c r="A154">
        <v>17845</v>
      </c>
      <c r="B154" t="s">
        <v>40</v>
      </c>
      <c r="C154" t="s">
        <v>38</v>
      </c>
      <c r="D154" s="3">
        <v>20000</v>
      </c>
      <c r="E154">
        <v>0</v>
      </c>
      <c r="F154" t="s">
        <v>32</v>
      </c>
      <c r="G154" t="s">
        <v>28</v>
      </c>
      <c r="H154" t="s">
        <v>20</v>
      </c>
      <c r="I154">
        <v>2</v>
      </c>
      <c r="J154" t="s">
        <v>29</v>
      </c>
      <c r="K154" t="s">
        <v>19</v>
      </c>
      <c r="L154">
        <v>32</v>
      </c>
      <c r="M154" t="str" cm="1">
        <f t="array" ref="M154">_xlfn.IFS(
L154&lt;=12,"Children",
L154&lt;=19,"Teens",
L154&lt;=29,"Young Adults",
L154&lt;=39,"Adults",
L154&lt;=59,"Middle-Aged",
L154&gt;=60,"Seniors"
)</f>
        <v>Adults</v>
      </c>
      <c r="N154" t="s">
        <v>20</v>
      </c>
    </row>
    <row r="155" spans="1:14" x14ac:dyDescent="0.3">
      <c r="A155">
        <v>25058</v>
      </c>
      <c r="B155" t="s">
        <v>37</v>
      </c>
      <c r="C155" t="s">
        <v>39</v>
      </c>
      <c r="D155" s="3">
        <v>100000</v>
      </c>
      <c r="E155">
        <v>1</v>
      </c>
      <c r="F155" t="s">
        <v>15</v>
      </c>
      <c r="G155" t="s">
        <v>31</v>
      </c>
      <c r="H155" t="s">
        <v>17</v>
      </c>
      <c r="I155">
        <v>3</v>
      </c>
      <c r="J155" t="s">
        <v>24</v>
      </c>
      <c r="K155" t="s">
        <v>27</v>
      </c>
      <c r="L155">
        <v>47</v>
      </c>
      <c r="M155" t="str" cm="1">
        <f t="array" ref="M155">_xlfn.IFS(
L155&lt;=12,"Children",
L155&lt;=19,"Teens",
L155&lt;=29,"Young Adults",
L155&lt;=39,"Adults",
L155&lt;=59,"Middle-Aged",
L155&gt;=60,"Seniors"
)</f>
        <v>Middle-Aged</v>
      </c>
      <c r="N155" t="s">
        <v>20</v>
      </c>
    </row>
    <row r="156" spans="1:14" x14ac:dyDescent="0.3">
      <c r="A156">
        <v>23426</v>
      </c>
      <c r="B156" t="s">
        <v>40</v>
      </c>
      <c r="C156" t="s">
        <v>39</v>
      </c>
      <c r="D156" s="3">
        <v>80000</v>
      </c>
      <c r="E156">
        <v>5</v>
      </c>
      <c r="F156" t="s">
        <v>34</v>
      </c>
      <c r="G156" t="s">
        <v>31</v>
      </c>
      <c r="H156" t="s">
        <v>17</v>
      </c>
      <c r="I156">
        <v>3</v>
      </c>
      <c r="J156" t="s">
        <v>18</v>
      </c>
      <c r="K156" t="s">
        <v>27</v>
      </c>
      <c r="L156">
        <v>40</v>
      </c>
      <c r="M156" t="str" cm="1">
        <f t="array" ref="M156">_xlfn.IFS(
L156&lt;=12,"Children",
L156&lt;=19,"Teens",
L156&lt;=29,"Young Adults",
L156&lt;=39,"Adults",
L156&lt;=59,"Middle-Aged",
L156&gt;=60,"Seniors"
)</f>
        <v>Middle-Aged</v>
      </c>
      <c r="N156" t="s">
        <v>20</v>
      </c>
    </row>
    <row r="157" spans="1:14" x14ac:dyDescent="0.3">
      <c r="A157">
        <v>14798</v>
      </c>
      <c r="B157" t="s">
        <v>40</v>
      </c>
      <c r="C157" t="s">
        <v>38</v>
      </c>
      <c r="D157" s="3">
        <v>10000</v>
      </c>
      <c r="E157">
        <v>4</v>
      </c>
      <c r="F157" t="s">
        <v>32</v>
      </c>
      <c r="G157" t="s">
        <v>28</v>
      </c>
      <c r="H157" t="s">
        <v>17</v>
      </c>
      <c r="I157">
        <v>2</v>
      </c>
      <c r="J157" t="s">
        <v>18</v>
      </c>
      <c r="K157" t="s">
        <v>19</v>
      </c>
      <c r="L157">
        <v>41</v>
      </c>
      <c r="M157" t="str" cm="1">
        <f t="array" ref="M157">_xlfn.IFS(
L157&lt;=12,"Children",
L157&lt;=19,"Teens",
L157&lt;=29,"Young Adults",
L157&lt;=39,"Adults",
L157&lt;=59,"Middle-Aged",
L157&gt;=60,"Seniors"
)</f>
        <v>Middle-Aged</v>
      </c>
      <c r="N157" t="s">
        <v>17</v>
      </c>
    </row>
    <row r="158" spans="1:14" x14ac:dyDescent="0.3">
      <c r="A158">
        <v>12664</v>
      </c>
      <c r="B158" t="s">
        <v>37</v>
      </c>
      <c r="C158" t="s">
        <v>38</v>
      </c>
      <c r="D158" s="3">
        <v>130000</v>
      </c>
      <c r="E158">
        <v>5</v>
      </c>
      <c r="F158" t="s">
        <v>21</v>
      </c>
      <c r="G158" t="s">
        <v>23</v>
      </c>
      <c r="H158" t="s">
        <v>17</v>
      </c>
      <c r="I158">
        <v>4</v>
      </c>
      <c r="J158" t="s">
        <v>18</v>
      </c>
      <c r="K158" t="s">
        <v>19</v>
      </c>
      <c r="L158">
        <v>59</v>
      </c>
      <c r="M158" t="str" cm="1">
        <f t="array" ref="M158">_xlfn.IFS(
L158&lt;=12,"Children",
L158&lt;=19,"Teens",
L158&lt;=29,"Young Adults",
L158&lt;=39,"Adults",
L158&lt;=59,"Middle-Aged",
L158&gt;=60,"Seniors"
)</f>
        <v>Middle-Aged</v>
      </c>
      <c r="N158" t="s">
        <v>20</v>
      </c>
    </row>
    <row r="159" spans="1:14" x14ac:dyDescent="0.3">
      <c r="A159">
        <v>23979</v>
      </c>
      <c r="B159" t="s">
        <v>40</v>
      </c>
      <c r="C159" t="s">
        <v>39</v>
      </c>
      <c r="D159" s="3">
        <v>10000</v>
      </c>
      <c r="E159">
        <v>2</v>
      </c>
      <c r="F159" t="s">
        <v>21</v>
      </c>
      <c r="G159" t="s">
        <v>28</v>
      </c>
      <c r="H159" t="s">
        <v>20</v>
      </c>
      <c r="I159">
        <v>0</v>
      </c>
      <c r="J159" t="s">
        <v>18</v>
      </c>
      <c r="K159" t="s">
        <v>19</v>
      </c>
      <c r="L159">
        <v>50</v>
      </c>
      <c r="M159" t="str" cm="1">
        <f t="array" ref="M159">_xlfn.IFS(
L159&lt;=12,"Children",
L159&lt;=19,"Teens",
L159&lt;=29,"Young Adults",
L159&lt;=39,"Adults",
L159&lt;=59,"Middle-Aged",
L159&gt;=60,"Seniors"
)</f>
        <v>Middle-Aged</v>
      </c>
      <c r="N159" t="s">
        <v>20</v>
      </c>
    </row>
    <row r="160" spans="1:14" x14ac:dyDescent="0.3">
      <c r="A160">
        <v>25605</v>
      </c>
      <c r="B160" t="s">
        <v>40</v>
      </c>
      <c r="C160" t="s">
        <v>38</v>
      </c>
      <c r="D160" s="3">
        <v>20000</v>
      </c>
      <c r="E160">
        <v>2</v>
      </c>
      <c r="F160" t="s">
        <v>21</v>
      </c>
      <c r="G160" t="s">
        <v>28</v>
      </c>
      <c r="H160" t="s">
        <v>20</v>
      </c>
      <c r="I160">
        <v>1</v>
      </c>
      <c r="J160" t="s">
        <v>18</v>
      </c>
      <c r="K160" t="s">
        <v>19</v>
      </c>
      <c r="L160">
        <v>54</v>
      </c>
      <c r="M160" t="str" cm="1">
        <f t="array" ref="M160">_xlfn.IFS(
L160&lt;=12,"Children",
L160&lt;=19,"Teens",
L160&lt;=29,"Young Adults",
L160&lt;=39,"Adults",
L160&lt;=59,"Middle-Aged",
L160&gt;=60,"Seniors"
)</f>
        <v>Middle-Aged</v>
      </c>
      <c r="N160" t="s">
        <v>17</v>
      </c>
    </row>
    <row r="161" spans="1:14" x14ac:dyDescent="0.3">
      <c r="A161">
        <v>20797</v>
      </c>
      <c r="B161" t="s">
        <v>37</v>
      </c>
      <c r="C161" t="s">
        <v>38</v>
      </c>
      <c r="D161" s="3">
        <v>10000</v>
      </c>
      <c r="E161">
        <v>1</v>
      </c>
      <c r="F161" t="s">
        <v>15</v>
      </c>
      <c r="G161" t="s">
        <v>28</v>
      </c>
      <c r="H161" t="s">
        <v>17</v>
      </c>
      <c r="I161">
        <v>0</v>
      </c>
      <c r="J161" t="s">
        <v>18</v>
      </c>
      <c r="K161" t="s">
        <v>19</v>
      </c>
      <c r="L161">
        <v>48</v>
      </c>
      <c r="M161" t="str" cm="1">
        <f t="array" ref="M161">_xlfn.IFS(
L161&lt;=12,"Children",
L161&lt;=19,"Teens",
L161&lt;=29,"Young Adults",
L161&lt;=39,"Adults",
L161&lt;=59,"Middle-Aged",
L161&gt;=60,"Seniors"
)</f>
        <v>Middle-Aged</v>
      </c>
      <c r="N161" t="s">
        <v>20</v>
      </c>
    </row>
    <row r="162" spans="1:14" x14ac:dyDescent="0.3">
      <c r="A162">
        <v>21980</v>
      </c>
      <c r="B162" t="s">
        <v>40</v>
      </c>
      <c r="C162" t="s">
        <v>38</v>
      </c>
      <c r="D162" s="3">
        <v>60000</v>
      </c>
      <c r="E162">
        <v>1</v>
      </c>
      <c r="F162" t="s">
        <v>15</v>
      </c>
      <c r="G162" t="s">
        <v>23</v>
      </c>
      <c r="H162" t="s">
        <v>17</v>
      </c>
      <c r="I162">
        <v>1</v>
      </c>
      <c r="J162" t="s">
        <v>26</v>
      </c>
      <c r="K162" t="s">
        <v>27</v>
      </c>
      <c r="L162">
        <v>44</v>
      </c>
      <c r="M162" t="str" cm="1">
        <f t="array" ref="M162">_xlfn.IFS(
L162&lt;=12,"Children",
L162&lt;=19,"Teens",
L162&lt;=29,"Young Adults",
L162&lt;=39,"Adults",
L162&lt;=59,"Middle-Aged",
L162&gt;=60,"Seniors"
)</f>
        <v>Middle-Aged</v>
      </c>
      <c r="N162" t="s">
        <v>17</v>
      </c>
    </row>
    <row r="163" spans="1:14" x14ac:dyDescent="0.3">
      <c r="A163">
        <v>25460</v>
      </c>
      <c r="B163" t="s">
        <v>37</v>
      </c>
      <c r="C163" t="s">
        <v>38</v>
      </c>
      <c r="D163" s="3">
        <v>20000</v>
      </c>
      <c r="E163">
        <v>2</v>
      </c>
      <c r="F163" t="s">
        <v>30</v>
      </c>
      <c r="G163" t="s">
        <v>28</v>
      </c>
      <c r="H163" t="s">
        <v>17</v>
      </c>
      <c r="I163">
        <v>0</v>
      </c>
      <c r="J163" t="s">
        <v>18</v>
      </c>
      <c r="K163" t="s">
        <v>19</v>
      </c>
      <c r="L163">
        <v>40</v>
      </c>
      <c r="M163" t="str" cm="1">
        <f t="array" ref="M163">_xlfn.IFS(
L163&lt;=12,"Children",
L163&lt;=19,"Teens",
L163&lt;=29,"Young Adults",
L163&lt;=39,"Adults",
L163&lt;=59,"Middle-Aged",
L163&gt;=60,"Seniors"
)</f>
        <v>Middle-Aged</v>
      </c>
      <c r="N163" t="s">
        <v>17</v>
      </c>
    </row>
    <row r="164" spans="1:14" x14ac:dyDescent="0.3">
      <c r="A164">
        <v>29181</v>
      </c>
      <c r="B164" t="s">
        <v>40</v>
      </c>
      <c r="C164" t="s">
        <v>38</v>
      </c>
      <c r="D164" s="3">
        <v>60000</v>
      </c>
      <c r="E164">
        <v>2</v>
      </c>
      <c r="F164" t="s">
        <v>15</v>
      </c>
      <c r="G164" t="s">
        <v>23</v>
      </c>
      <c r="H164" t="s">
        <v>20</v>
      </c>
      <c r="I164">
        <v>1</v>
      </c>
      <c r="J164" t="s">
        <v>18</v>
      </c>
      <c r="K164" t="s">
        <v>27</v>
      </c>
      <c r="L164">
        <v>38</v>
      </c>
      <c r="M164" t="str" cm="1">
        <f t="array" ref="M164">_xlfn.IFS(
L164&lt;=12,"Children",
L164&lt;=19,"Teens",
L164&lt;=29,"Young Adults",
L164&lt;=39,"Adults",
L164&lt;=59,"Middle-Aged",
L164&gt;=60,"Seniors"
)</f>
        <v>Adults</v>
      </c>
      <c r="N164" t="s">
        <v>17</v>
      </c>
    </row>
    <row r="165" spans="1:14" x14ac:dyDescent="0.3">
      <c r="A165">
        <v>24279</v>
      </c>
      <c r="B165" t="s">
        <v>40</v>
      </c>
      <c r="C165" t="s">
        <v>39</v>
      </c>
      <c r="D165" s="3">
        <v>40000</v>
      </c>
      <c r="E165">
        <v>2</v>
      </c>
      <c r="F165" t="s">
        <v>21</v>
      </c>
      <c r="G165" t="s">
        <v>16</v>
      </c>
      <c r="H165" t="s">
        <v>20</v>
      </c>
      <c r="I165">
        <v>2</v>
      </c>
      <c r="J165" t="s">
        <v>29</v>
      </c>
      <c r="K165" t="s">
        <v>27</v>
      </c>
      <c r="L165">
        <v>52</v>
      </c>
      <c r="M165" t="str" cm="1">
        <f t="array" ref="M165">_xlfn.IFS(
L165&lt;=12,"Children",
L165&lt;=19,"Teens",
L165&lt;=29,"Young Adults",
L165&lt;=39,"Adults",
L165&lt;=59,"Middle-Aged",
L165&gt;=60,"Seniors"
)</f>
        <v>Middle-Aged</v>
      </c>
      <c r="N165" t="s">
        <v>20</v>
      </c>
    </row>
    <row r="166" spans="1:14" x14ac:dyDescent="0.3">
      <c r="A166">
        <v>22402</v>
      </c>
      <c r="B166" t="s">
        <v>37</v>
      </c>
      <c r="C166" t="s">
        <v>39</v>
      </c>
      <c r="D166" s="3">
        <v>10000</v>
      </c>
      <c r="E166">
        <v>0</v>
      </c>
      <c r="F166" t="s">
        <v>21</v>
      </c>
      <c r="G166" t="s">
        <v>28</v>
      </c>
      <c r="H166" t="s">
        <v>17</v>
      </c>
      <c r="I166">
        <v>1</v>
      </c>
      <c r="J166" t="s">
        <v>24</v>
      </c>
      <c r="K166" t="s">
        <v>27</v>
      </c>
      <c r="L166">
        <v>25</v>
      </c>
      <c r="M166" t="str" cm="1">
        <f t="array" ref="M166">_xlfn.IFS(
L166&lt;=12,"Children",
L166&lt;=19,"Teens",
L166&lt;=29,"Young Adults",
L166&lt;=39,"Adults",
L166&lt;=59,"Middle-Aged",
L166&gt;=60,"Seniors"
)</f>
        <v>Young Adults</v>
      </c>
      <c r="N166" t="s">
        <v>17</v>
      </c>
    </row>
    <row r="167" spans="1:14" x14ac:dyDescent="0.3">
      <c r="A167">
        <v>15465</v>
      </c>
      <c r="B167" t="s">
        <v>37</v>
      </c>
      <c r="C167" t="s">
        <v>38</v>
      </c>
      <c r="D167" s="3">
        <v>10000</v>
      </c>
      <c r="E167">
        <v>0</v>
      </c>
      <c r="F167" t="s">
        <v>21</v>
      </c>
      <c r="G167" t="s">
        <v>28</v>
      </c>
      <c r="H167" t="s">
        <v>20</v>
      </c>
      <c r="I167">
        <v>1</v>
      </c>
      <c r="J167" t="s">
        <v>18</v>
      </c>
      <c r="K167" t="s">
        <v>27</v>
      </c>
      <c r="L167">
        <v>25</v>
      </c>
      <c r="M167" t="str" cm="1">
        <f t="array" ref="M167">_xlfn.IFS(
L167&lt;=12,"Children",
L167&lt;=19,"Teens",
L167&lt;=29,"Young Adults",
L167&lt;=39,"Adults",
L167&lt;=59,"Middle-Aged",
L167&gt;=60,"Seniors"
)</f>
        <v>Young Adults</v>
      </c>
      <c r="N167" t="s">
        <v>20</v>
      </c>
    </row>
    <row r="168" spans="1:14" x14ac:dyDescent="0.3">
      <c r="A168">
        <v>26757</v>
      </c>
      <c r="B168" t="s">
        <v>40</v>
      </c>
      <c r="C168" t="s">
        <v>39</v>
      </c>
      <c r="D168" s="3">
        <v>90000</v>
      </c>
      <c r="E168">
        <v>1</v>
      </c>
      <c r="F168" t="s">
        <v>15</v>
      </c>
      <c r="G168" t="s">
        <v>23</v>
      </c>
      <c r="H168" t="s">
        <v>17</v>
      </c>
      <c r="I168">
        <v>1</v>
      </c>
      <c r="J168" t="s">
        <v>24</v>
      </c>
      <c r="K168" t="s">
        <v>27</v>
      </c>
      <c r="L168">
        <v>47</v>
      </c>
      <c r="M168" t="str" cm="1">
        <f t="array" ref="M168">_xlfn.IFS(
L168&lt;=12,"Children",
L168&lt;=19,"Teens",
L168&lt;=29,"Young Adults",
L168&lt;=39,"Adults",
L168&lt;=59,"Middle-Aged",
L168&gt;=60,"Seniors"
)</f>
        <v>Middle-Aged</v>
      </c>
      <c r="N168" t="s">
        <v>17</v>
      </c>
    </row>
    <row r="169" spans="1:14" x14ac:dyDescent="0.3">
      <c r="A169">
        <v>14233</v>
      </c>
      <c r="B169" t="s">
        <v>40</v>
      </c>
      <c r="C169" t="s">
        <v>39</v>
      </c>
      <c r="D169" s="3">
        <v>100000</v>
      </c>
      <c r="E169">
        <v>0</v>
      </c>
      <c r="F169" t="s">
        <v>30</v>
      </c>
      <c r="G169" t="s">
        <v>31</v>
      </c>
      <c r="H169" t="s">
        <v>17</v>
      </c>
      <c r="I169">
        <v>3</v>
      </c>
      <c r="J169" t="s">
        <v>41</v>
      </c>
      <c r="K169" t="s">
        <v>27</v>
      </c>
      <c r="L169">
        <v>35</v>
      </c>
      <c r="M169" t="str" cm="1">
        <f t="array" ref="M169">_xlfn.IFS(
L169&lt;=12,"Children",
L169&lt;=19,"Teens",
L169&lt;=29,"Young Adults",
L169&lt;=39,"Adults",
L169&lt;=59,"Middle-Aged",
L169&gt;=60,"Seniors"
)</f>
        <v>Adults</v>
      </c>
      <c r="N169" t="s">
        <v>20</v>
      </c>
    </row>
    <row r="170" spans="1:14" x14ac:dyDescent="0.3">
      <c r="A170">
        <v>14058</v>
      </c>
      <c r="B170" t="s">
        <v>40</v>
      </c>
      <c r="C170" t="s">
        <v>39</v>
      </c>
      <c r="D170" s="3">
        <v>70000</v>
      </c>
      <c r="E170">
        <v>0</v>
      </c>
      <c r="F170" t="s">
        <v>15</v>
      </c>
      <c r="G170" t="s">
        <v>23</v>
      </c>
      <c r="H170" t="s">
        <v>20</v>
      </c>
      <c r="I170">
        <v>1</v>
      </c>
      <c r="J170" t="s">
        <v>26</v>
      </c>
      <c r="K170" t="s">
        <v>27</v>
      </c>
      <c r="L170">
        <v>41</v>
      </c>
      <c r="M170" t="str" cm="1">
        <f t="array" ref="M170">_xlfn.IFS(
L170&lt;=12,"Children",
L170&lt;=19,"Teens",
L170&lt;=29,"Young Adults",
L170&lt;=39,"Adults",
L170&lt;=59,"Middle-Aged",
L170&gt;=60,"Seniors"
)</f>
        <v>Middle-Aged</v>
      </c>
      <c r="N170" t="s">
        <v>17</v>
      </c>
    </row>
    <row r="171" spans="1:14" x14ac:dyDescent="0.3">
      <c r="A171">
        <v>12273</v>
      </c>
      <c r="B171" t="s">
        <v>37</v>
      </c>
      <c r="C171" t="s">
        <v>39</v>
      </c>
      <c r="D171" s="3">
        <v>30000</v>
      </c>
      <c r="E171">
        <v>1</v>
      </c>
      <c r="F171" t="s">
        <v>15</v>
      </c>
      <c r="G171" t="s">
        <v>22</v>
      </c>
      <c r="H171" t="s">
        <v>17</v>
      </c>
      <c r="I171">
        <v>0</v>
      </c>
      <c r="J171" t="s">
        <v>18</v>
      </c>
      <c r="K171" t="s">
        <v>19</v>
      </c>
      <c r="L171">
        <v>47</v>
      </c>
      <c r="M171" t="str" cm="1">
        <f t="array" ref="M171">_xlfn.IFS(
L171&lt;=12,"Children",
L171&lt;=19,"Teens",
L171&lt;=29,"Young Adults",
L171&lt;=39,"Adults",
L171&lt;=59,"Middle-Aged",
L171&gt;=60,"Seniors"
)</f>
        <v>Middle-Aged</v>
      </c>
      <c r="N171" t="s">
        <v>20</v>
      </c>
    </row>
    <row r="172" spans="1:14" x14ac:dyDescent="0.3">
      <c r="A172">
        <v>17203</v>
      </c>
      <c r="B172" t="s">
        <v>37</v>
      </c>
      <c r="C172" t="s">
        <v>38</v>
      </c>
      <c r="D172" s="3">
        <v>130000</v>
      </c>
      <c r="E172">
        <v>4</v>
      </c>
      <c r="F172" t="s">
        <v>21</v>
      </c>
      <c r="G172" t="s">
        <v>23</v>
      </c>
      <c r="H172" t="s">
        <v>17</v>
      </c>
      <c r="I172">
        <v>4</v>
      </c>
      <c r="J172" t="s">
        <v>26</v>
      </c>
      <c r="K172" t="s">
        <v>19</v>
      </c>
      <c r="L172">
        <v>61</v>
      </c>
      <c r="M172" t="str" cm="1">
        <f t="array" ref="M172">_xlfn.IFS(
L172&lt;=12,"Children",
L172&lt;=19,"Teens",
L172&lt;=29,"Young Adults",
L172&lt;=39,"Adults",
L172&lt;=59,"Middle-Aged",
L172&gt;=60,"Seniors"
)</f>
        <v>Seniors</v>
      </c>
      <c r="N172" t="s">
        <v>17</v>
      </c>
    </row>
    <row r="173" spans="1:14" x14ac:dyDescent="0.3">
      <c r="A173">
        <v>18144</v>
      </c>
      <c r="B173" t="s">
        <v>37</v>
      </c>
      <c r="C173" t="s">
        <v>38</v>
      </c>
      <c r="D173" s="3">
        <v>80000</v>
      </c>
      <c r="E173">
        <v>5</v>
      </c>
      <c r="F173" t="s">
        <v>15</v>
      </c>
      <c r="G173" t="s">
        <v>31</v>
      </c>
      <c r="H173" t="s">
        <v>17</v>
      </c>
      <c r="I173">
        <v>2</v>
      </c>
      <c r="J173" t="s">
        <v>24</v>
      </c>
      <c r="K173" t="s">
        <v>19</v>
      </c>
      <c r="L173">
        <v>61</v>
      </c>
      <c r="M173" t="str" cm="1">
        <f t="array" ref="M173">_xlfn.IFS(
L173&lt;=12,"Children",
L173&lt;=19,"Teens",
L173&lt;=29,"Young Adults",
L173&lt;=39,"Adults",
L173&lt;=59,"Middle-Aged",
L173&gt;=60,"Seniors"
)</f>
        <v>Seniors</v>
      </c>
      <c r="N173" t="s">
        <v>20</v>
      </c>
    </row>
    <row r="174" spans="1:14" x14ac:dyDescent="0.3">
      <c r="A174">
        <v>23963</v>
      </c>
      <c r="B174" t="s">
        <v>37</v>
      </c>
      <c r="C174" t="s">
        <v>39</v>
      </c>
      <c r="D174" s="3">
        <v>10000</v>
      </c>
      <c r="E174">
        <v>0</v>
      </c>
      <c r="F174" t="s">
        <v>32</v>
      </c>
      <c r="G174" t="s">
        <v>28</v>
      </c>
      <c r="H174" t="s">
        <v>20</v>
      </c>
      <c r="I174">
        <v>2</v>
      </c>
      <c r="J174" t="s">
        <v>18</v>
      </c>
      <c r="K174" t="s">
        <v>19</v>
      </c>
      <c r="L174">
        <v>33</v>
      </c>
      <c r="M174" t="str" cm="1">
        <f t="array" ref="M174">_xlfn.IFS(
L174&lt;=12,"Children",
L174&lt;=19,"Teens",
L174&lt;=29,"Young Adults",
L174&lt;=39,"Adults",
L174&lt;=59,"Middle-Aged",
L174&gt;=60,"Seniors"
)</f>
        <v>Adults</v>
      </c>
      <c r="N174" t="s">
        <v>20</v>
      </c>
    </row>
    <row r="175" spans="1:14" x14ac:dyDescent="0.3">
      <c r="A175">
        <v>17907</v>
      </c>
      <c r="B175" t="s">
        <v>37</v>
      </c>
      <c r="C175" t="s">
        <v>38</v>
      </c>
      <c r="D175" s="3">
        <v>10000</v>
      </c>
      <c r="E175">
        <v>0</v>
      </c>
      <c r="F175" t="s">
        <v>21</v>
      </c>
      <c r="G175" t="s">
        <v>28</v>
      </c>
      <c r="H175" t="s">
        <v>17</v>
      </c>
      <c r="I175">
        <v>1</v>
      </c>
      <c r="J175" t="s">
        <v>24</v>
      </c>
      <c r="K175" t="s">
        <v>27</v>
      </c>
      <c r="L175">
        <v>27</v>
      </c>
      <c r="M175" t="str" cm="1">
        <f t="array" ref="M175">_xlfn.IFS(
L175&lt;=12,"Children",
L175&lt;=19,"Teens",
L175&lt;=29,"Young Adults",
L175&lt;=39,"Adults",
L175&lt;=59,"Middle-Aged",
L175&gt;=60,"Seniors"
)</f>
        <v>Young Adults</v>
      </c>
      <c r="N175" t="s">
        <v>20</v>
      </c>
    </row>
    <row r="176" spans="1:14" x14ac:dyDescent="0.3">
      <c r="A176">
        <v>19442</v>
      </c>
      <c r="B176" t="s">
        <v>40</v>
      </c>
      <c r="C176" t="s">
        <v>39</v>
      </c>
      <c r="D176" s="3">
        <v>50000</v>
      </c>
      <c r="E176">
        <v>0</v>
      </c>
      <c r="F176" t="s">
        <v>34</v>
      </c>
      <c r="G176" t="s">
        <v>16</v>
      </c>
      <c r="H176" t="s">
        <v>17</v>
      </c>
      <c r="I176">
        <v>0</v>
      </c>
      <c r="J176" t="s">
        <v>18</v>
      </c>
      <c r="K176" t="s">
        <v>19</v>
      </c>
      <c r="L176">
        <v>37</v>
      </c>
      <c r="M176" t="str" cm="1">
        <f t="array" ref="M176">_xlfn.IFS(
L176&lt;=12,"Children",
L176&lt;=19,"Teens",
L176&lt;=29,"Young Adults",
L176&lt;=39,"Adults",
L176&lt;=59,"Middle-Aged",
L176&gt;=60,"Seniors"
)</f>
        <v>Adults</v>
      </c>
      <c r="N176" t="s">
        <v>17</v>
      </c>
    </row>
    <row r="177" spans="1:14" x14ac:dyDescent="0.3">
      <c r="A177">
        <v>17504</v>
      </c>
      <c r="B177" t="s">
        <v>40</v>
      </c>
      <c r="C177" t="s">
        <v>38</v>
      </c>
      <c r="D177" s="3">
        <v>80000</v>
      </c>
      <c r="E177">
        <v>2</v>
      </c>
      <c r="F177" t="s">
        <v>21</v>
      </c>
      <c r="G177" t="s">
        <v>16</v>
      </c>
      <c r="H177" t="s">
        <v>17</v>
      </c>
      <c r="I177">
        <v>2</v>
      </c>
      <c r="J177" t="s">
        <v>26</v>
      </c>
      <c r="K177" t="s">
        <v>27</v>
      </c>
      <c r="L177">
        <v>52</v>
      </c>
      <c r="M177" t="str" cm="1">
        <f t="array" ref="M177">_xlfn.IFS(
L177&lt;=12,"Children",
L177&lt;=19,"Teens",
L177&lt;=29,"Young Adults",
L177&lt;=39,"Adults",
L177&lt;=59,"Middle-Aged",
L177&gt;=60,"Seniors"
)</f>
        <v>Middle-Aged</v>
      </c>
      <c r="N177" t="s">
        <v>17</v>
      </c>
    </row>
    <row r="178" spans="1:14" x14ac:dyDescent="0.3">
      <c r="A178">
        <v>12253</v>
      </c>
      <c r="B178" t="s">
        <v>40</v>
      </c>
      <c r="C178" t="s">
        <v>38</v>
      </c>
      <c r="D178" s="3">
        <v>20000</v>
      </c>
      <c r="E178">
        <v>0</v>
      </c>
      <c r="F178" t="s">
        <v>21</v>
      </c>
      <c r="G178" t="s">
        <v>28</v>
      </c>
      <c r="H178" t="s">
        <v>17</v>
      </c>
      <c r="I178">
        <v>0</v>
      </c>
      <c r="J178" t="s">
        <v>18</v>
      </c>
      <c r="K178" t="s">
        <v>27</v>
      </c>
      <c r="L178">
        <v>29</v>
      </c>
      <c r="M178" t="str" cm="1">
        <f t="array" ref="M178">_xlfn.IFS(
L178&lt;=12,"Children",
L178&lt;=19,"Teens",
L178&lt;=29,"Young Adults",
L178&lt;=39,"Adults",
L178&lt;=59,"Middle-Aged",
L178&gt;=60,"Seniors"
)</f>
        <v>Young Adults</v>
      </c>
      <c r="N178" t="s">
        <v>17</v>
      </c>
    </row>
    <row r="179" spans="1:14" x14ac:dyDescent="0.3">
      <c r="A179">
        <v>27304</v>
      </c>
      <c r="B179" t="s">
        <v>40</v>
      </c>
      <c r="C179" t="s">
        <v>38</v>
      </c>
      <c r="D179" s="3">
        <v>110000</v>
      </c>
      <c r="E179">
        <v>2</v>
      </c>
      <c r="F179" t="s">
        <v>21</v>
      </c>
      <c r="G179" t="s">
        <v>23</v>
      </c>
      <c r="H179" t="s">
        <v>20</v>
      </c>
      <c r="I179">
        <v>3</v>
      </c>
      <c r="J179" t="s">
        <v>26</v>
      </c>
      <c r="K179" t="s">
        <v>19</v>
      </c>
      <c r="L179">
        <v>48</v>
      </c>
      <c r="M179" t="str" cm="1">
        <f t="array" ref="M179">_xlfn.IFS(
L179&lt;=12,"Children",
L179&lt;=19,"Teens",
L179&lt;=29,"Young Adults",
L179&lt;=39,"Adults",
L179&lt;=59,"Middle-Aged",
L179&gt;=60,"Seniors"
)</f>
        <v>Middle-Aged</v>
      </c>
      <c r="N179" t="s">
        <v>20</v>
      </c>
    </row>
    <row r="180" spans="1:14" x14ac:dyDescent="0.3">
      <c r="A180">
        <v>14191</v>
      </c>
      <c r="B180" t="s">
        <v>37</v>
      </c>
      <c r="C180" t="s">
        <v>39</v>
      </c>
      <c r="D180" s="3">
        <v>160000</v>
      </c>
      <c r="E180">
        <v>4</v>
      </c>
      <c r="F180" t="s">
        <v>21</v>
      </c>
      <c r="G180" t="s">
        <v>23</v>
      </c>
      <c r="H180" t="s">
        <v>20</v>
      </c>
      <c r="I180">
        <v>2</v>
      </c>
      <c r="J180" t="s">
        <v>41</v>
      </c>
      <c r="K180" t="s">
        <v>19</v>
      </c>
      <c r="L180">
        <v>55</v>
      </c>
      <c r="M180" t="str" cm="1">
        <f t="array" ref="M180">_xlfn.IFS(
L180&lt;=12,"Children",
L180&lt;=19,"Teens",
L180&lt;=29,"Young Adults",
L180&lt;=39,"Adults",
L180&lt;=59,"Middle-Aged",
L180&gt;=60,"Seniors"
)</f>
        <v>Middle-Aged</v>
      </c>
      <c r="N180" t="s">
        <v>17</v>
      </c>
    </row>
    <row r="181" spans="1:14" x14ac:dyDescent="0.3">
      <c r="A181">
        <v>12212</v>
      </c>
      <c r="B181" t="s">
        <v>37</v>
      </c>
      <c r="C181" t="s">
        <v>38</v>
      </c>
      <c r="D181" s="3">
        <v>10000</v>
      </c>
      <c r="E181">
        <v>0</v>
      </c>
      <c r="F181" t="s">
        <v>34</v>
      </c>
      <c r="G181" t="s">
        <v>28</v>
      </c>
      <c r="H181" t="s">
        <v>17</v>
      </c>
      <c r="I181">
        <v>0</v>
      </c>
      <c r="J181" t="s">
        <v>18</v>
      </c>
      <c r="K181" t="s">
        <v>19</v>
      </c>
      <c r="L181">
        <v>37</v>
      </c>
      <c r="M181" t="str" cm="1">
        <f t="array" ref="M181">_xlfn.IFS(
L181&lt;=12,"Children",
L181&lt;=19,"Teens",
L181&lt;=29,"Young Adults",
L181&lt;=39,"Adults",
L181&lt;=59,"Middle-Aged",
L181&gt;=60,"Seniors"
)</f>
        <v>Adults</v>
      </c>
      <c r="N181" t="s">
        <v>17</v>
      </c>
    </row>
    <row r="182" spans="1:14" x14ac:dyDescent="0.3">
      <c r="A182">
        <v>25529</v>
      </c>
      <c r="B182" t="s">
        <v>40</v>
      </c>
      <c r="C182" t="s">
        <v>39</v>
      </c>
      <c r="D182" s="3">
        <v>10000</v>
      </c>
      <c r="E182">
        <v>1</v>
      </c>
      <c r="F182" t="s">
        <v>34</v>
      </c>
      <c r="G182" t="s">
        <v>28</v>
      </c>
      <c r="H182" t="s">
        <v>17</v>
      </c>
      <c r="I182">
        <v>0</v>
      </c>
      <c r="J182" t="s">
        <v>18</v>
      </c>
      <c r="K182" t="s">
        <v>19</v>
      </c>
      <c r="L182">
        <v>44</v>
      </c>
      <c r="M182" t="str" cm="1">
        <f t="array" ref="M182">_xlfn.IFS(
L182&lt;=12,"Children",
L182&lt;=19,"Teens",
L182&lt;=29,"Young Adults",
L182&lt;=39,"Adults",
L182&lt;=59,"Middle-Aged",
L182&gt;=60,"Seniors"
)</f>
        <v>Middle-Aged</v>
      </c>
      <c r="N182" t="s">
        <v>20</v>
      </c>
    </row>
    <row r="183" spans="1:14" x14ac:dyDescent="0.3">
      <c r="A183">
        <v>22170</v>
      </c>
      <c r="B183" t="s">
        <v>37</v>
      </c>
      <c r="C183" t="s">
        <v>38</v>
      </c>
      <c r="D183" s="3">
        <v>30000</v>
      </c>
      <c r="E183">
        <v>3</v>
      </c>
      <c r="F183" t="s">
        <v>21</v>
      </c>
      <c r="G183" t="s">
        <v>22</v>
      </c>
      <c r="H183" t="s">
        <v>20</v>
      </c>
      <c r="I183">
        <v>2</v>
      </c>
      <c r="J183" t="s">
        <v>29</v>
      </c>
      <c r="K183" t="s">
        <v>27</v>
      </c>
      <c r="L183">
        <v>55</v>
      </c>
      <c r="M183" t="str" cm="1">
        <f t="array" ref="M183">_xlfn.IFS(
L183&lt;=12,"Children",
L183&lt;=19,"Teens",
L183&lt;=29,"Young Adults",
L183&lt;=39,"Adults",
L183&lt;=59,"Middle-Aged",
L183&gt;=60,"Seniors"
)</f>
        <v>Middle-Aged</v>
      </c>
      <c r="N183" t="s">
        <v>17</v>
      </c>
    </row>
    <row r="184" spans="1:14" x14ac:dyDescent="0.3">
      <c r="A184">
        <v>19445</v>
      </c>
      <c r="B184" t="s">
        <v>37</v>
      </c>
      <c r="C184" t="s">
        <v>38</v>
      </c>
      <c r="D184" s="3">
        <v>10000</v>
      </c>
      <c r="E184">
        <v>2</v>
      </c>
      <c r="F184" t="s">
        <v>30</v>
      </c>
      <c r="G184" t="s">
        <v>28</v>
      </c>
      <c r="H184" t="s">
        <v>20</v>
      </c>
      <c r="I184">
        <v>1</v>
      </c>
      <c r="J184" t="s">
        <v>18</v>
      </c>
      <c r="K184" t="s">
        <v>19</v>
      </c>
      <c r="L184">
        <v>38</v>
      </c>
      <c r="M184" t="str" cm="1">
        <f t="array" ref="M184">_xlfn.IFS(
L184&lt;=12,"Children",
L184&lt;=19,"Teens",
L184&lt;=29,"Young Adults",
L184&lt;=39,"Adults",
L184&lt;=59,"Middle-Aged",
L184&gt;=60,"Seniors"
)</f>
        <v>Adults</v>
      </c>
      <c r="N184" t="s">
        <v>20</v>
      </c>
    </row>
    <row r="185" spans="1:14" x14ac:dyDescent="0.3">
      <c r="A185">
        <v>15265</v>
      </c>
      <c r="B185" t="s">
        <v>40</v>
      </c>
      <c r="C185" t="s">
        <v>39</v>
      </c>
      <c r="D185" s="3">
        <v>40000</v>
      </c>
      <c r="E185">
        <v>2</v>
      </c>
      <c r="F185" t="s">
        <v>15</v>
      </c>
      <c r="G185" t="s">
        <v>31</v>
      </c>
      <c r="H185" t="s">
        <v>17</v>
      </c>
      <c r="I185">
        <v>2</v>
      </c>
      <c r="J185" t="s">
        <v>26</v>
      </c>
      <c r="K185" t="s">
        <v>27</v>
      </c>
      <c r="L185">
        <v>66</v>
      </c>
      <c r="M185" t="str" cm="1">
        <f t="array" ref="M185">_xlfn.IFS(
L185&lt;=12,"Children",
L185&lt;=19,"Teens",
L185&lt;=29,"Young Adults",
L185&lt;=39,"Adults",
L185&lt;=59,"Middle-Aged",
L185&gt;=60,"Seniors"
)</f>
        <v>Seniors</v>
      </c>
      <c r="N185" t="s">
        <v>17</v>
      </c>
    </row>
    <row r="186" spans="1:14" x14ac:dyDescent="0.3">
      <c r="A186">
        <v>28918</v>
      </c>
      <c r="B186" t="s">
        <v>37</v>
      </c>
      <c r="C186" t="s">
        <v>38</v>
      </c>
      <c r="D186" s="3">
        <v>130000</v>
      </c>
      <c r="E186">
        <v>4</v>
      </c>
      <c r="F186" t="s">
        <v>30</v>
      </c>
      <c r="G186" t="s">
        <v>31</v>
      </c>
      <c r="H186" t="s">
        <v>20</v>
      </c>
      <c r="I186">
        <v>4</v>
      </c>
      <c r="J186" t="s">
        <v>41</v>
      </c>
      <c r="K186" t="s">
        <v>19</v>
      </c>
      <c r="L186">
        <v>58</v>
      </c>
      <c r="M186" t="str" cm="1">
        <f t="array" ref="M186">_xlfn.IFS(
L186&lt;=12,"Children",
L186&lt;=19,"Teens",
L186&lt;=29,"Young Adults",
L186&lt;=39,"Adults",
L186&lt;=59,"Middle-Aged",
L186&gt;=60,"Seniors"
)</f>
        <v>Middle-Aged</v>
      </c>
      <c r="N186" t="s">
        <v>20</v>
      </c>
    </row>
    <row r="187" spans="1:14" x14ac:dyDescent="0.3">
      <c r="A187">
        <v>15799</v>
      </c>
      <c r="B187" t="s">
        <v>37</v>
      </c>
      <c r="C187" t="s">
        <v>38</v>
      </c>
      <c r="D187" s="3">
        <v>90000</v>
      </c>
      <c r="E187">
        <v>1</v>
      </c>
      <c r="F187" t="s">
        <v>15</v>
      </c>
      <c r="G187" t="s">
        <v>23</v>
      </c>
      <c r="H187" t="s">
        <v>17</v>
      </c>
      <c r="I187">
        <v>1</v>
      </c>
      <c r="J187" t="s">
        <v>24</v>
      </c>
      <c r="K187" t="s">
        <v>27</v>
      </c>
      <c r="L187">
        <v>47</v>
      </c>
      <c r="M187" t="str" cm="1">
        <f t="array" ref="M187">_xlfn.IFS(
L187&lt;=12,"Children",
L187&lt;=19,"Teens",
L187&lt;=29,"Young Adults",
L187&lt;=39,"Adults",
L187&lt;=59,"Middle-Aged",
L187&gt;=60,"Seniors"
)</f>
        <v>Middle-Aged</v>
      </c>
      <c r="N187" t="s">
        <v>17</v>
      </c>
    </row>
    <row r="188" spans="1:14" x14ac:dyDescent="0.3">
      <c r="A188">
        <v>11047</v>
      </c>
      <c r="B188" t="s">
        <v>37</v>
      </c>
      <c r="C188" t="s">
        <v>38</v>
      </c>
      <c r="D188" s="3">
        <v>30000</v>
      </c>
      <c r="E188">
        <v>3</v>
      </c>
      <c r="F188" t="s">
        <v>30</v>
      </c>
      <c r="G188" t="s">
        <v>16</v>
      </c>
      <c r="H188" t="s">
        <v>20</v>
      </c>
      <c r="I188">
        <v>2</v>
      </c>
      <c r="J188" t="s">
        <v>29</v>
      </c>
      <c r="K188" t="s">
        <v>27</v>
      </c>
      <c r="L188">
        <v>56</v>
      </c>
      <c r="M188" t="str" cm="1">
        <f t="array" ref="M188">_xlfn.IFS(
L188&lt;=12,"Children",
L188&lt;=19,"Teens",
L188&lt;=29,"Young Adults",
L188&lt;=39,"Adults",
L188&lt;=59,"Middle-Aged",
L188&gt;=60,"Seniors"
)</f>
        <v>Middle-Aged</v>
      </c>
      <c r="N188" t="s">
        <v>17</v>
      </c>
    </row>
    <row r="189" spans="1:14" x14ac:dyDescent="0.3">
      <c r="A189">
        <v>18151</v>
      </c>
      <c r="B189" t="s">
        <v>40</v>
      </c>
      <c r="C189" t="s">
        <v>39</v>
      </c>
      <c r="D189" s="3">
        <v>80000</v>
      </c>
      <c r="E189">
        <v>5</v>
      </c>
      <c r="F189" t="s">
        <v>21</v>
      </c>
      <c r="G189" t="s">
        <v>23</v>
      </c>
      <c r="H189" t="s">
        <v>20</v>
      </c>
      <c r="I189">
        <v>2</v>
      </c>
      <c r="J189" t="s">
        <v>41</v>
      </c>
      <c r="K189" t="s">
        <v>19</v>
      </c>
      <c r="L189">
        <v>59</v>
      </c>
      <c r="M189" t="str" cm="1">
        <f t="array" ref="M189">_xlfn.IFS(
L189&lt;=12,"Children",
L189&lt;=19,"Teens",
L189&lt;=29,"Young Adults",
L189&lt;=39,"Adults",
L189&lt;=59,"Middle-Aged",
L189&gt;=60,"Seniors"
)</f>
        <v>Middle-Aged</v>
      </c>
      <c r="N189" t="s">
        <v>20</v>
      </c>
    </row>
    <row r="190" spans="1:14" x14ac:dyDescent="0.3">
      <c r="A190">
        <v>20606</v>
      </c>
      <c r="B190" t="s">
        <v>37</v>
      </c>
      <c r="C190" t="s">
        <v>38</v>
      </c>
      <c r="D190" s="3">
        <v>70000</v>
      </c>
      <c r="E190">
        <v>0</v>
      </c>
      <c r="F190" t="s">
        <v>15</v>
      </c>
      <c r="G190" t="s">
        <v>23</v>
      </c>
      <c r="H190" t="s">
        <v>17</v>
      </c>
      <c r="I190">
        <v>4</v>
      </c>
      <c r="J190" t="s">
        <v>41</v>
      </c>
      <c r="K190" t="s">
        <v>27</v>
      </c>
      <c r="L190">
        <v>32</v>
      </c>
      <c r="M190" t="str" cm="1">
        <f t="array" ref="M190">_xlfn.IFS(
L190&lt;=12,"Children",
L190&lt;=19,"Teens",
L190&lt;=29,"Young Adults",
L190&lt;=39,"Adults",
L190&lt;=59,"Middle-Aged",
L190&gt;=60,"Seniors"
)</f>
        <v>Adults</v>
      </c>
      <c r="N190" t="s">
        <v>17</v>
      </c>
    </row>
    <row r="191" spans="1:14" x14ac:dyDescent="0.3">
      <c r="A191">
        <v>19482</v>
      </c>
      <c r="B191" t="s">
        <v>37</v>
      </c>
      <c r="C191" t="s">
        <v>39</v>
      </c>
      <c r="D191" s="3">
        <v>30000</v>
      </c>
      <c r="E191">
        <v>1</v>
      </c>
      <c r="F191" t="s">
        <v>21</v>
      </c>
      <c r="G191" t="s">
        <v>22</v>
      </c>
      <c r="H191" t="s">
        <v>17</v>
      </c>
      <c r="I191">
        <v>1</v>
      </c>
      <c r="J191" t="s">
        <v>18</v>
      </c>
      <c r="K191" t="s">
        <v>19</v>
      </c>
      <c r="L191">
        <v>44</v>
      </c>
      <c r="M191" t="str" cm="1">
        <f t="array" ref="M191">_xlfn.IFS(
L191&lt;=12,"Children",
L191&lt;=19,"Teens",
L191&lt;=29,"Young Adults",
L191&lt;=39,"Adults",
L191&lt;=59,"Middle-Aged",
L191&gt;=60,"Seniors"
)</f>
        <v>Middle-Aged</v>
      </c>
      <c r="N191" t="s">
        <v>17</v>
      </c>
    </row>
    <row r="192" spans="1:14" x14ac:dyDescent="0.3">
      <c r="A192">
        <v>16489</v>
      </c>
      <c r="B192" t="s">
        <v>37</v>
      </c>
      <c r="C192" t="s">
        <v>39</v>
      </c>
      <c r="D192" s="3">
        <v>30000</v>
      </c>
      <c r="E192">
        <v>3</v>
      </c>
      <c r="F192" t="s">
        <v>30</v>
      </c>
      <c r="G192" t="s">
        <v>16</v>
      </c>
      <c r="H192" t="s">
        <v>17</v>
      </c>
      <c r="I192">
        <v>2</v>
      </c>
      <c r="J192" t="s">
        <v>26</v>
      </c>
      <c r="K192" t="s">
        <v>27</v>
      </c>
      <c r="L192">
        <v>55</v>
      </c>
      <c r="M192" t="str" cm="1">
        <f t="array" ref="M192">_xlfn.IFS(
L192&lt;=12,"Children",
L192&lt;=19,"Teens",
L192&lt;=29,"Young Adults",
L192&lt;=39,"Adults",
L192&lt;=59,"Middle-Aged",
L192&gt;=60,"Seniors"
)</f>
        <v>Middle-Aged</v>
      </c>
      <c r="N192" t="s">
        <v>20</v>
      </c>
    </row>
    <row r="193" spans="1:14" x14ac:dyDescent="0.3">
      <c r="A193">
        <v>26944</v>
      </c>
      <c r="B193" t="s">
        <v>40</v>
      </c>
      <c r="C193" t="s">
        <v>39</v>
      </c>
      <c r="D193" s="3">
        <v>90000</v>
      </c>
      <c r="E193">
        <v>2</v>
      </c>
      <c r="F193" t="s">
        <v>30</v>
      </c>
      <c r="G193" t="s">
        <v>28</v>
      </c>
      <c r="H193" t="s">
        <v>17</v>
      </c>
      <c r="I193">
        <v>0</v>
      </c>
      <c r="J193" t="s">
        <v>18</v>
      </c>
      <c r="K193" t="s">
        <v>19</v>
      </c>
      <c r="L193">
        <v>36</v>
      </c>
      <c r="M193" t="str" cm="1">
        <f t="array" ref="M193">_xlfn.IFS(
L193&lt;=12,"Children",
L193&lt;=19,"Teens",
L193&lt;=29,"Young Adults",
L193&lt;=39,"Adults",
L193&lt;=59,"Middle-Aged",
L193&gt;=60,"Seniors"
)</f>
        <v>Adults</v>
      </c>
      <c r="N193" t="s">
        <v>17</v>
      </c>
    </row>
    <row r="194" spans="1:14" x14ac:dyDescent="0.3">
      <c r="A194">
        <v>15682</v>
      </c>
      <c r="B194" t="s">
        <v>40</v>
      </c>
      <c r="C194" t="s">
        <v>38</v>
      </c>
      <c r="D194" s="3">
        <v>80000</v>
      </c>
      <c r="E194">
        <v>5</v>
      </c>
      <c r="F194" t="s">
        <v>15</v>
      </c>
      <c r="G194" t="s">
        <v>31</v>
      </c>
      <c r="H194" t="s">
        <v>17</v>
      </c>
      <c r="I194">
        <v>2</v>
      </c>
      <c r="J194" t="s">
        <v>41</v>
      </c>
      <c r="K194" t="s">
        <v>19</v>
      </c>
      <c r="L194">
        <v>62</v>
      </c>
      <c r="M194" t="str" cm="1">
        <f t="array" ref="M194">_xlfn.IFS(
L194&lt;=12,"Children",
L194&lt;=19,"Teens",
L194&lt;=29,"Young Adults",
L194&lt;=39,"Adults",
L194&lt;=59,"Middle-Aged",
L194&gt;=60,"Seniors"
)</f>
        <v>Seniors</v>
      </c>
      <c r="N194" t="s">
        <v>20</v>
      </c>
    </row>
    <row r="195" spans="1:14" x14ac:dyDescent="0.3">
      <c r="A195">
        <v>26032</v>
      </c>
      <c r="B195" t="s">
        <v>37</v>
      </c>
      <c r="C195" t="s">
        <v>38</v>
      </c>
      <c r="D195" s="3">
        <v>70000</v>
      </c>
      <c r="E195">
        <v>5</v>
      </c>
      <c r="F195" t="s">
        <v>15</v>
      </c>
      <c r="G195" t="s">
        <v>23</v>
      </c>
      <c r="H195" t="s">
        <v>17</v>
      </c>
      <c r="I195">
        <v>4</v>
      </c>
      <c r="J195" t="s">
        <v>41</v>
      </c>
      <c r="K195" t="s">
        <v>27</v>
      </c>
      <c r="L195">
        <v>41</v>
      </c>
      <c r="M195" t="str" cm="1">
        <f t="array" ref="M195">_xlfn.IFS(
L195&lt;=12,"Children",
L195&lt;=19,"Teens",
L195&lt;=29,"Young Adults",
L195&lt;=39,"Adults",
L195&lt;=59,"Middle-Aged",
L195&gt;=60,"Seniors"
)</f>
        <v>Middle-Aged</v>
      </c>
      <c r="N195" t="s">
        <v>20</v>
      </c>
    </row>
    <row r="196" spans="1:14" x14ac:dyDescent="0.3">
      <c r="A196">
        <v>17843</v>
      </c>
      <c r="B196" t="s">
        <v>40</v>
      </c>
      <c r="C196" t="s">
        <v>38</v>
      </c>
      <c r="D196" s="3">
        <v>10000</v>
      </c>
      <c r="E196">
        <v>0</v>
      </c>
      <c r="F196" t="s">
        <v>32</v>
      </c>
      <c r="G196" t="s">
        <v>28</v>
      </c>
      <c r="H196" t="s">
        <v>20</v>
      </c>
      <c r="I196">
        <v>2</v>
      </c>
      <c r="J196" t="s">
        <v>18</v>
      </c>
      <c r="K196" t="s">
        <v>19</v>
      </c>
      <c r="L196">
        <v>32</v>
      </c>
      <c r="M196" t="str" cm="1">
        <f t="array" ref="M196">_xlfn.IFS(
L196&lt;=12,"Children",
L196&lt;=19,"Teens",
L196&lt;=29,"Young Adults",
L196&lt;=39,"Adults",
L196&lt;=59,"Middle-Aged",
L196&gt;=60,"Seniors"
)</f>
        <v>Adults</v>
      </c>
      <c r="N196" t="s">
        <v>20</v>
      </c>
    </row>
    <row r="197" spans="1:14" x14ac:dyDescent="0.3">
      <c r="A197">
        <v>25559</v>
      </c>
      <c r="B197" t="s">
        <v>40</v>
      </c>
      <c r="C197" t="s">
        <v>39</v>
      </c>
      <c r="D197" s="3">
        <v>20000</v>
      </c>
      <c r="E197">
        <v>0</v>
      </c>
      <c r="F197" t="s">
        <v>15</v>
      </c>
      <c r="G197" t="s">
        <v>22</v>
      </c>
      <c r="H197" t="s">
        <v>17</v>
      </c>
      <c r="I197">
        <v>0</v>
      </c>
      <c r="J197" t="s">
        <v>18</v>
      </c>
      <c r="K197" t="s">
        <v>27</v>
      </c>
      <c r="L197">
        <v>25</v>
      </c>
      <c r="M197" t="str" cm="1">
        <f t="array" ref="M197">_xlfn.IFS(
L197&lt;=12,"Children",
L197&lt;=19,"Teens",
L197&lt;=29,"Young Adults",
L197&lt;=39,"Adults",
L197&lt;=59,"Middle-Aged",
L197&gt;=60,"Seniors"
)</f>
        <v>Young Adults</v>
      </c>
      <c r="N197" t="s">
        <v>17</v>
      </c>
    </row>
    <row r="198" spans="1:14" x14ac:dyDescent="0.3">
      <c r="A198">
        <v>16209</v>
      </c>
      <c r="B198" t="s">
        <v>40</v>
      </c>
      <c r="C198" t="s">
        <v>38</v>
      </c>
      <c r="D198" s="3">
        <v>50000</v>
      </c>
      <c r="E198">
        <v>0</v>
      </c>
      <c r="F198" t="s">
        <v>34</v>
      </c>
      <c r="G198" t="s">
        <v>16</v>
      </c>
      <c r="H198" t="s">
        <v>17</v>
      </c>
      <c r="I198">
        <v>0</v>
      </c>
      <c r="J198" t="s">
        <v>29</v>
      </c>
      <c r="K198" t="s">
        <v>19</v>
      </c>
      <c r="L198">
        <v>36</v>
      </c>
      <c r="M198" t="str" cm="1">
        <f t="array" ref="M198">_xlfn.IFS(
L198&lt;=12,"Children",
L198&lt;=19,"Teens",
L198&lt;=29,"Young Adults",
L198&lt;=39,"Adults",
L198&lt;=59,"Middle-Aged",
L198&gt;=60,"Seniors"
)</f>
        <v>Adults</v>
      </c>
      <c r="N198" t="s">
        <v>20</v>
      </c>
    </row>
    <row r="199" spans="1:14" x14ac:dyDescent="0.3">
      <c r="A199">
        <v>11147</v>
      </c>
      <c r="B199" t="s">
        <v>37</v>
      </c>
      <c r="C199" t="s">
        <v>39</v>
      </c>
      <c r="D199" s="3">
        <v>60000</v>
      </c>
      <c r="E199">
        <v>2</v>
      </c>
      <c r="F199" t="s">
        <v>34</v>
      </c>
      <c r="G199" t="s">
        <v>31</v>
      </c>
      <c r="H199" t="s">
        <v>17</v>
      </c>
      <c r="I199">
        <v>1</v>
      </c>
      <c r="J199" t="s">
        <v>18</v>
      </c>
      <c r="K199" t="s">
        <v>27</v>
      </c>
      <c r="L199">
        <v>67</v>
      </c>
      <c r="M199" t="str" cm="1">
        <f t="array" ref="M199">_xlfn.IFS(
L199&lt;=12,"Children",
L199&lt;=19,"Teens",
L199&lt;=29,"Young Adults",
L199&lt;=39,"Adults",
L199&lt;=59,"Middle-Aged",
L199&gt;=60,"Seniors"
)</f>
        <v>Seniors</v>
      </c>
      <c r="N199" t="s">
        <v>17</v>
      </c>
    </row>
    <row r="200" spans="1:14" x14ac:dyDescent="0.3">
      <c r="A200">
        <v>15214</v>
      </c>
      <c r="B200" t="s">
        <v>40</v>
      </c>
      <c r="C200" t="s">
        <v>38</v>
      </c>
      <c r="D200" s="3">
        <v>100000</v>
      </c>
      <c r="E200">
        <v>0</v>
      </c>
      <c r="F200" t="s">
        <v>34</v>
      </c>
      <c r="G200" t="s">
        <v>31</v>
      </c>
      <c r="H200" t="s">
        <v>20</v>
      </c>
      <c r="I200">
        <v>1</v>
      </c>
      <c r="J200" t="s">
        <v>29</v>
      </c>
      <c r="K200" t="s">
        <v>27</v>
      </c>
      <c r="L200">
        <v>39</v>
      </c>
      <c r="M200" t="str" cm="1">
        <f t="array" ref="M200">_xlfn.IFS(
L200&lt;=12,"Children",
L200&lt;=19,"Teens",
L200&lt;=29,"Young Adults",
L200&lt;=39,"Adults",
L200&lt;=59,"Middle-Aged",
L200&gt;=60,"Seniors"
)</f>
        <v>Adults</v>
      </c>
      <c r="N200" t="s">
        <v>17</v>
      </c>
    </row>
    <row r="201" spans="1:14" x14ac:dyDescent="0.3">
      <c r="A201">
        <v>11453</v>
      </c>
      <c r="B201" t="s">
        <v>40</v>
      </c>
      <c r="C201" t="s">
        <v>39</v>
      </c>
      <c r="D201" s="3">
        <v>80000</v>
      </c>
      <c r="E201">
        <v>0</v>
      </c>
      <c r="F201" t="s">
        <v>15</v>
      </c>
      <c r="G201" t="s">
        <v>23</v>
      </c>
      <c r="H201" t="s">
        <v>20</v>
      </c>
      <c r="I201">
        <v>3</v>
      </c>
      <c r="J201" t="s">
        <v>41</v>
      </c>
      <c r="K201" t="s">
        <v>27</v>
      </c>
      <c r="L201">
        <v>33</v>
      </c>
      <c r="M201" t="str" cm="1">
        <f t="array" ref="M201">_xlfn.IFS(
L201&lt;=12,"Children",
L201&lt;=19,"Teens",
L201&lt;=29,"Young Adults",
L201&lt;=39,"Adults",
L201&lt;=59,"Middle-Aged",
L201&gt;=60,"Seniors"
)</f>
        <v>Adults</v>
      </c>
      <c r="N201" t="s">
        <v>17</v>
      </c>
    </row>
    <row r="202" spans="1:14" x14ac:dyDescent="0.3">
      <c r="A202">
        <v>24584</v>
      </c>
      <c r="B202" t="s">
        <v>40</v>
      </c>
      <c r="C202" t="s">
        <v>39</v>
      </c>
      <c r="D202" s="3">
        <v>60000</v>
      </c>
      <c r="E202">
        <v>0</v>
      </c>
      <c r="F202" t="s">
        <v>15</v>
      </c>
      <c r="G202" t="s">
        <v>23</v>
      </c>
      <c r="H202" t="s">
        <v>20</v>
      </c>
      <c r="I202">
        <v>3</v>
      </c>
      <c r="J202" t="s">
        <v>24</v>
      </c>
      <c r="K202" t="s">
        <v>27</v>
      </c>
      <c r="L202">
        <v>31</v>
      </c>
      <c r="M202" t="str" cm="1">
        <f t="array" ref="M202">_xlfn.IFS(
L202&lt;=12,"Children",
L202&lt;=19,"Teens",
L202&lt;=29,"Young Adults",
L202&lt;=39,"Adults",
L202&lt;=59,"Middle-Aged",
L202&gt;=60,"Seniors"
)</f>
        <v>Adults</v>
      </c>
      <c r="N202" t="s">
        <v>20</v>
      </c>
    </row>
    <row r="203" spans="1:14" x14ac:dyDescent="0.3">
      <c r="A203">
        <v>12585</v>
      </c>
      <c r="B203" t="s">
        <v>37</v>
      </c>
      <c r="C203" t="s">
        <v>39</v>
      </c>
      <c r="D203" s="3">
        <v>10000</v>
      </c>
      <c r="E203">
        <v>1</v>
      </c>
      <c r="F203" t="s">
        <v>30</v>
      </c>
      <c r="G203" t="s">
        <v>28</v>
      </c>
      <c r="H203" t="s">
        <v>17</v>
      </c>
      <c r="I203">
        <v>0</v>
      </c>
      <c r="J203" t="s">
        <v>24</v>
      </c>
      <c r="K203" t="s">
        <v>27</v>
      </c>
      <c r="L203">
        <v>27</v>
      </c>
      <c r="M203" t="str" cm="1">
        <f t="array" ref="M203">_xlfn.IFS(
L203&lt;=12,"Children",
L203&lt;=19,"Teens",
L203&lt;=29,"Young Adults",
L203&lt;=39,"Adults",
L203&lt;=59,"Middle-Aged",
L203&gt;=60,"Seniors"
)</f>
        <v>Young Adults</v>
      </c>
      <c r="N203" t="s">
        <v>17</v>
      </c>
    </row>
    <row r="204" spans="1:14" x14ac:dyDescent="0.3">
      <c r="A204">
        <v>18626</v>
      </c>
      <c r="B204" t="s">
        <v>40</v>
      </c>
      <c r="C204" t="s">
        <v>39</v>
      </c>
      <c r="D204" s="3">
        <v>40000</v>
      </c>
      <c r="E204">
        <v>2</v>
      </c>
      <c r="F204" t="s">
        <v>21</v>
      </c>
      <c r="G204" t="s">
        <v>22</v>
      </c>
      <c r="H204" t="s">
        <v>17</v>
      </c>
      <c r="I204">
        <v>0</v>
      </c>
      <c r="J204" t="s">
        <v>29</v>
      </c>
      <c r="K204" t="s">
        <v>19</v>
      </c>
      <c r="L204">
        <v>33</v>
      </c>
      <c r="M204" t="str" cm="1">
        <f t="array" ref="M204">_xlfn.IFS(
L204&lt;=12,"Children",
L204&lt;=19,"Teens",
L204&lt;=29,"Young Adults",
L204&lt;=39,"Adults",
L204&lt;=59,"Middle-Aged",
L204&gt;=60,"Seniors"
)</f>
        <v>Adults</v>
      </c>
      <c r="N204" t="s">
        <v>17</v>
      </c>
    </row>
    <row r="205" spans="1:14" x14ac:dyDescent="0.3">
      <c r="A205">
        <v>29298</v>
      </c>
      <c r="B205" t="s">
        <v>40</v>
      </c>
      <c r="C205" t="s">
        <v>38</v>
      </c>
      <c r="D205" s="3">
        <v>60000</v>
      </c>
      <c r="E205">
        <v>1</v>
      </c>
      <c r="F205" t="s">
        <v>21</v>
      </c>
      <c r="G205" t="s">
        <v>16</v>
      </c>
      <c r="H205" t="s">
        <v>17</v>
      </c>
      <c r="I205">
        <v>1</v>
      </c>
      <c r="J205" t="s">
        <v>26</v>
      </c>
      <c r="K205" t="s">
        <v>27</v>
      </c>
      <c r="L205">
        <v>46</v>
      </c>
      <c r="M205" t="str" cm="1">
        <f t="array" ref="M205">_xlfn.IFS(
L205&lt;=12,"Children",
L205&lt;=19,"Teens",
L205&lt;=29,"Young Adults",
L205&lt;=39,"Adults",
L205&lt;=59,"Middle-Aged",
L205&gt;=60,"Seniors"
)</f>
        <v>Middle-Aged</v>
      </c>
      <c r="N205" t="s">
        <v>17</v>
      </c>
    </row>
    <row r="206" spans="1:14" x14ac:dyDescent="0.3">
      <c r="A206">
        <v>24842</v>
      </c>
      <c r="B206" t="s">
        <v>40</v>
      </c>
      <c r="C206" t="s">
        <v>38</v>
      </c>
      <c r="D206" s="3">
        <v>90000</v>
      </c>
      <c r="E206">
        <v>3</v>
      </c>
      <c r="F206" t="s">
        <v>30</v>
      </c>
      <c r="G206" t="s">
        <v>23</v>
      </c>
      <c r="H206" t="s">
        <v>20</v>
      </c>
      <c r="I206">
        <v>1</v>
      </c>
      <c r="J206" t="s">
        <v>24</v>
      </c>
      <c r="K206" t="s">
        <v>19</v>
      </c>
      <c r="L206">
        <v>51</v>
      </c>
      <c r="M206" t="str" cm="1">
        <f t="array" ref="M206">_xlfn.IFS(
L206&lt;=12,"Children",
L206&lt;=19,"Teens",
L206&lt;=29,"Young Adults",
L206&lt;=39,"Adults",
L206&lt;=59,"Middle-Aged",
L206&gt;=60,"Seniors"
)</f>
        <v>Middle-Aged</v>
      </c>
      <c r="N206" t="s">
        <v>20</v>
      </c>
    </row>
    <row r="207" spans="1:14" x14ac:dyDescent="0.3">
      <c r="A207">
        <v>15657</v>
      </c>
      <c r="B207" t="s">
        <v>37</v>
      </c>
      <c r="C207" t="s">
        <v>39</v>
      </c>
      <c r="D207" s="3">
        <v>30000</v>
      </c>
      <c r="E207">
        <v>3</v>
      </c>
      <c r="F207" t="s">
        <v>34</v>
      </c>
      <c r="G207" t="s">
        <v>22</v>
      </c>
      <c r="H207" t="s">
        <v>17</v>
      </c>
      <c r="I207">
        <v>0</v>
      </c>
      <c r="J207" t="s">
        <v>18</v>
      </c>
      <c r="K207" t="s">
        <v>19</v>
      </c>
      <c r="L207">
        <v>46</v>
      </c>
      <c r="M207" t="str" cm="1">
        <f t="array" ref="M207">_xlfn.IFS(
L207&lt;=12,"Children",
L207&lt;=19,"Teens",
L207&lt;=29,"Young Adults",
L207&lt;=39,"Adults",
L207&lt;=59,"Middle-Aged",
L207&gt;=60,"Seniors"
)</f>
        <v>Middle-Aged</v>
      </c>
      <c r="N207" t="s">
        <v>17</v>
      </c>
    </row>
    <row r="208" spans="1:14" x14ac:dyDescent="0.3">
      <c r="A208">
        <v>11415</v>
      </c>
      <c r="B208" t="s">
        <v>40</v>
      </c>
      <c r="C208" t="s">
        <v>39</v>
      </c>
      <c r="D208" s="3">
        <v>90000</v>
      </c>
      <c r="E208">
        <v>5</v>
      </c>
      <c r="F208" t="s">
        <v>21</v>
      </c>
      <c r="G208" t="s">
        <v>23</v>
      </c>
      <c r="H208" t="s">
        <v>20</v>
      </c>
      <c r="I208">
        <v>2</v>
      </c>
      <c r="J208" t="s">
        <v>41</v>
      </c>
      <c r="K208" t="s">
        <v>19</v>
      </c>
      <c r="L208">
        <v>62</v>
      </c>
      <c r="M208" t="str" cm="1">
        <f t="array" ref="M208">_xlfn.IFS(
L208&lt;=12,"Children",
L208&lt;=19,"Teens",
L208&lt;=29,"Young Adults",
L208&lt;=39,"Adults",
L208&lt;=59,"Middle-Aged",
L208&gt;=60,"Seniors"
)</f>
        <v>Seniors</v>
      </c>
      <c r="N208" t="s">
        <v>20</v>
      </c>
    </row>
    <row r="209" spans="1:14" x14ac:dyDescent="0.3">
      <c r="A209">
        <v>28729</v>
      </c>
      <c r="B209" t="s">
        <v>40</v>
      </c>
      <c r="C209" t="s">
        <v>38</v>
      </c>
      <c r="D209" s="3">
        <v>20000</v>
      </c>
      <c r="E209">
        <v>0</v>
      </c>
      <c r="F209" t="s">
        <v>32</v>
      </c>
      <c r="G209" t="s">
        <v>28</v>
      </c>
      <c r="H209" t="s">
        <v>17</v>
      </c>
      <c r="I209">
        <v>2</v>
      </c>
      <c r="J209" t="s">
        <v>29</v>
      </c>
      <c r="K209" t="s">
        <v>19</v>
      </c>
      <c r="L209">
        <v>26</v>
      </c>
      <c r="M209" t="str" cm="1">
        <f t="array" ref="M209">_xlfn.IFS(
L209&lt;=12,"Children",
L209&lt;=19,"Teens",
L209&lt;=29,"Young Adults",
L209&lt;=39,"Adults",
L209&lt;=59,"Middle-Aged",
L209&gt;=60,"Seniors"
)</f>
        <v>Young Adults</v>
      </c>
      <c r="N209" t="s">
        <v>17</v>
      </c>
    </row>
    <row r="210" spans="1:14" x14ac:dyDescent="0.3">
      <c r="A210">
        <v>22633</v>
      </c>
      <c r="B210" t="s">
        <v>40</v>
      </c>
      <c r="C210" t="s">
        <v>38</v>
      </c>
      <c r="D210" s="3">
        <v>40000</v>
      </c>
      <c r="E210">
        <v>0</v>
      </c>
      <c r="F210" t="s">
        <v>34</v>
      </c>
      <c r="G210" t="s">
        <v>22</v>
      </c>
      <c r="H210" t="s">
        <v>17</v>
      </c>
      <c r="I210">
        <v>0</v>
      </c>
      <c r="J210" t="s">
        <v>18</v>
      </c>
      <c r="K210" t="s">
        <v>19</v>
      </c>
      <c r="L210">
        <v>37</v>
      </c>
      <c r="M210" t="str" cm="1">
        <f t="array" ref="M210">_xlfn.IFS(
L210&lt;=12,"Children",
L210&lt;=19,"Teens",
L210&lt;=29,"Young Adults",
L210&lt;=39,"Adults",
L210&lt;=59,"Middle-Aged",
L210&gt;=60,"Seniors"
)</f>
        <v>Adults</v>
      </c>
      <c r="N210" t="s">
        <v>17</v>
      </c>
    </row>
    <row r="211" spans="1:14" x14ac:dyDescent="0.3">
      <c r="A211">
        <v>25649</v>
      </c>
      <c r="B211" t="s">
        <v>40</v>
      </c>
      <c r="C211" t="s">
        <v>38</v>
      </c>
      <c r="D211" s="3">
        <v>30000</v>
      </c>
      <c r="E211">
        <v>3</v>
      </c>
      <c r="F211" t="s">
        <v>21</v>
      </c>
      <c r="G211" t="s">
        <v>22</v>
      </c>
      <c r="H211" t="s">
        <v>17</v>
      </c>
      <c r="I211">
        <v>0</v>
      </c>
      <c r="J211" t="s">
        <v>18</v>
      </c>
      <c r="K211" t="s">
        <v>19</v>
      </c>
      <c r="L211">
        <v>42</v>
      </c>
      <c r="M211" t="str" cm="1">
        <f t="array" ref="M211">_xlfn.IFS(
L211&lt;=12,"Children",
L211&lt;=19,"Teens",
L211&lt;=29,"Young Adults",
L211&lt;=39,"Adults",
L211&lt;=59,"Middle-Aged",
L211&gt;=60,"Seniors"
)</f>
        <v>Middle-Aged</v>
      </c>
      <c r="N211" t="s">
        <v>17</v>
      </c>
    </row>
    <row r="212" spans="1:14" x14ac:dyDescent="0.3">
      <c r="A212">
        <v>14669</v>
      </c>
      <c r="B212" t="s">
        <v>37</v>
      </c>
      <c r="C212" t="s">
        <v>38</v>
      </c>
      <c r="D212" s="3">
        <v>80000</v>
      </c>
      <c r="E212">
        <v>4</v>
      </c>
      <c r="F212" t="s">
        <v>34</v>
      </c>
      <c r="G212" t="s">
        <v>31</v>
      </c>
      <c r="H212" t="s">
        <v>17</v>
      </c>
      <c r="I212">
        <v>1</v>
      </c>
      <c r="J212" t="s">
        <v>18</v>
      </c>
      <c r="K212" t="s">
        <v>27</v>
      </c>
      <c r="L212">
        <v>36</v>
      </c>
      <c r="M212" t="str" cm="1">
        <f t="array" ref="M212">_xlfn.IFS(
L212&lt;=12,"Children",
L212&lt;=19,"Teens",
L212&lt;=29,"Young Adults",
L212&lt;=39,"Adults",
L212&lt;=59,"Middle-Aged",
L212&gt;=60,"Seniors"
)</f>
        <v>Adults</v>
      </c>
      <c r="N212" t="s">
        <v>20</v>
      </c>
    </row>
    <row r="213" spans="1:14" x14ac:dyDescent="0.3">
      <c r="A213">
        <v>19299</v>
      </c>
      <c r="B213" t="s">
        <v>37</v>
      </c>
      <c r="C213" t="s">
        <v>38</v>
      </c>
      <c r="D213" s="3">
        <v>50000</v>
      </c>
      <c r="E213">
        <v>0</v>
      </c>
      <c r="F213" t="s">
        <v>34</v>
      </c>
      <c r="G213" t="s">
        <v>16</v>
      </c>
      <c r="H213" t="s">
        <v>17</v>
      </c>
      <c r="I213">
        <v>0</v>
      </c>
      <c r="J213" t="s">
        <v>18</v>
      </c>
      <c r="K213" t="s">
        <v>19</v>
      </c>
      <c r="L213">
        <v>36</v>
      </c>
      <c r="M213" t="str" cm="1">
        <f t="array" ref="M213">_xlfn.IFS(
L213&lt;=12,"Children",
L213&lt;=19,"Teens",
L213&lt;=29,"Young Adults",
L213&lt;=39,"Adults",
L213&lt;=59,"Middle-Aged",
L213&gt;=60,"Seniors"
)</f>
        <v>Adults</v>
      </c>
      <c r="N213" t="s">
        <v>17</v>
      </c>
    </row>
    <row r="214" spans="1:14" x14ac:dyDescent="0.3">
      <c r="A214">
        <v>20946</v>
      </c>
      <c r="B214" t="s">
        <v>40</v>
      </c>
      <c r="C214" t="s">
        <v>38</v>
      </c>
      <c r="D214" s="3">
        <v>30000</v>
      </c>
      <c r="E214">
        <v>0</v>
      </c>
      <c r="F214" t="s">
        <v>21</v>
      </c>
      <c r="G214" t="s">
        <v>22</v>
      </c>
      <c r="H214" t="s">
        <v>20</v>
      </c>
      <c r="I214">
        <v>1</v>
      </c>
      <c r="J214" t="s">
        <v>24</v>
      </c>
      <c r="K214" t="s">
        <v>19</v>
      </c>
      <c r="L214">
        <v>30</v>
      </c>
      <c r="M214" t="str" cm="1">
        <f t="array" ref="M214">_xlfn.IFS(
L214&lt;=12,"Children",
L214&lt;=19,"Teens",
L214&lt;=29,"Young Adults",
L214&lt;=39,"Adults",
L214&lt;=59,"Middle-Aged",
L214&gt;=60,"Seniors"
)</f>
        <v>Adults</v>
      </c>
      <c r="N214" t="s">
        <v>20</v>
      </c>
    </row>
    <row r="215" spans="1:14" x14ac:dyDescent="0.3">
      <c r="A215">
        <v>11451</v>
      </c>
      <c r="B215" t="s">
        <v>40</v>
      </c>
      <c r="C215" t="s">
        <v>39</v>
      </c>
      <c r="D215" s="3">
        <v>70000</v>
      </c>
      <c r="E215">
        <v>0</v>
      </c>
      <c r="F215" t="s">
        <v>15</v>
      </c>
      <c r="G215" t="s">
        <v>23</v>
      </c>
      <c r="H215" t="s">
        <v>20</v>
      </c>
      <c r="I215">
        <v>4</v>
      </c>
      <c r="J215" t="s">
        <v>41</v>
      </c>
      <c r="K215" t="s">
        <v>27</v>
      </c>
      <c r="L215">
        <v>31</v>
      </c>
      <c r="M215" t="str" cm="1">
        <f t="array" ref="M215">_xlfn.IFS(
L215&lt;=12,"Children",
L215&lt;=19,"Teens",
L215&lt;=29,"Young Adults",
L215&lt;=39,"Adults",
L215&lt;=59,"Middle-Aged",
L215&gt;=60,"Seniors"
)</f>
        <v>Adults</v>
      </c>
      <c r="N215" t="s">
        <v>17</v>
      </c>
    </row>
    <row r="216" spans="1:14" x14ac:dyDescent="0.3">
      <c r="A216">
        <v>25553</v>
      </c>
      <c r="B216" t="s">
        <v>37</v>
      </c>
      <c r="C216" t="s">
        <v>39</v>
      </c>
      <c r="D216" s="3">
        <v>30000</v>
      </c>
      <c r="E216">
        <v>1</v>
      </c>
      <c r="F216" t="s">
        <v>15</v>
      </c>
      <c r="G216" t="s">
        <v>22</v>
      </c>
      <c r="H216" t="s">
        <v>17</v>
      </c>
      <c r="I216">
        <v>0</v>
      </c>
      <c r="J216" t="s">
        <v>18</v>
      </c>
      <c r="K216" t="s">
        <v>19</v>
      </c>
      <c r="L216">
        <v>65</v>
      </c>
      <c r="M216" t="str" cm="1">
        <f t="array" ref="M216">_xlfn.IFS(
L216&lt;=12,"Children",
L216&lt;=19,"Teens",
L216&lt;=29,"Young Adults",
L216&lt;=39,"Adults",
L216&lt;=59,"Middle-Aged",
L216&gt;=60,"Seniors"
)</f>
        <v>Seniors</v>
      </c>
      <c r="N216" t="s">
        <v>17</v>
      </c>
    </row>
    <row r="217" spans="1:14" x14ac:dyDescent="0.3">
      <c r="A217">
        <v>27951</v>
      </c>
      <c r="B217" t="s">
        <v>40</v>
      </c>
      <c r="C217" t="s">
        <v>39</v>
      </c>
      <c r="D217" s="3">
        <v>80000</v>
      </c>
      <c r="E217">
        <v>4</v>
      </c>
      <c r="F217" t="s">
        <v>21</v>
      </c>
      <c r="G217" t="s">
        <v>23</v>
      </c>
      <c r="H217" t="s">
        <v>20</v>
      </c>
      <c r="I217">
        <v>2</v>
      </c>
      <c r="J217" t="s">
        <v>24</v>
      </c>
      <c r="K217" t="s">
        <v>19</v>
      </c>
      <c r="L217">
        <v>54</v>
      </c>
      <c r="M217" t="str" cm="1">
        <f t="array" ref="M217">_xlfn.IFS(
L217&lt;=12,"Children",
L217&lt;=19,"Teens",
L217&lt;=29,"Young Adults",
L217&lt;=39,"Adults",
L217&lt;=59,"Middle-Aged",
L217&gt;=60,"Seniors"
)</f>
        <v>Middle-Aged</v>
      </c>
      <c r="N217" t="s">
        <v>17</v>
      </c>
    </row>
    <row r="218" spans="1:14" x14ac:dyDescent="0.3">
      <c r="A218">
        <v>25026</v>
      </c>
      <c r="B218" t="s">
        <v>37</v>
      </c>
      <c r="C218" t="s">
        <v>39</v>
      </c>
      <c r="D218" s="3">
        <v>20000</v>
      </c>
      <c r="E218">
        <v>2</v>
      </c>
      <c r="F218" t="s">
        <v>32</v>
      </c>
      <c r="G218" t="s">
        <v>22</v>
      </c>
      <c r="H218" t="s">
        <v>17</v>
      </c>
      <c r="I218">
        <v>3</v>
      </c>
      <c r="J218" t="s">
        <v>26</v>
      </c>
      <c r="K218" t="s">
        <v>27</v>
      </c>
      <c r="L218">
        <v>54</v>
      </c>
      <c r="M218" t="str" cm="1">
        <f t="array" ref="M218">_xlfn.IFS(
L218&lt;=12,"Children",
L218&lt;=19,"Teens",
L218&lt;=29,"Young Adults",
L218&lt;=39,"Adults",
L218&lt;=59,"Middle-Aged",
L218&gt;=60,"Seniors"
)</f>
        <v>Middle-Aged</v>
      </c>
      <c r="N218" t="s">
        <v>20</v>
      </c>
    </row>
    <row r="219" spans="1:14" x14ac:dyDescent="0.3">
      <c r="A219">
        <v>13673</v>
      </c>
      <c r="B219" t="s">
        <v>40</v>
      </c>
      <c r="C219" t="s">
        <v>38</v>
      </c>
      <c r="D219" s="3">
        <v>20000</v>
      </c>
      <c r="E219">
        <v>0</v>
      </c>
      <c r="F219" t="s">
        <v>32</v>
      </c>
      <c r="G219" t="s">
        <v>28</v>
      </c>
      <c r="H219" t="s">
        <v>20</v>
      </c>
      <c r="I219">
        <v>2</v>
      </c>
      <c r="J219" t="s">
        <v>18</v>
      </c>
      <c r="K219" t="s">
        <v>19</v>
      </c>
      <c r="L219">
        <v>25</v>
      </c>
      <c r="M219" t="str" cm="1">
        <f t="array" ref="M219">_xlfn.IFS(
L219&lt;=12,"Children",
L219&lt;=19,"Teens",
L219&lt;=29,"Young Adults",
L219&lt;=39,"Adults",
L219&lt;=59,"Middle-Aged",
L219&gt;=60,"Seniors"
)</f>
        <v>Young Adults</v>
      </c>
      <c r="N219" t="s">
        <v>20</v>
      </c>
    </row>
    <row r="220" spans="1:14" x14ac:dyDescent="0.3">
      <c r="A220">
        <v>16043</v>
      </c>
      <c r="B220" t="s">
        <v>40</v>
      </c>
      <c r="C220" t="s">
        <v>39</v>
      </c>
      <c r="D220" s="3">
        <v>10000</v>
      </c>
      <c r="E220">
        <v>1</v>
      </c>
      <c r="F220" t="s">
        <v>15</v>
      </c>
      <c r="G220" t="s">
        <v>28</v>
      </c>
      <c r="H220" t="s">
        <v>17</v>
      </c>
      <c r="I220">
        <v>0</v>
      </c>
      <c r="J220" t="s">
        <v>18</v>
      </c>
      <c r="K220" t="s">
        <v>19</v>
      </c>
      <c r="L220">
        <v>48</v>
      </c>
      <c r="M220" t="str" cm="1">
        <f t="array" ref="M220">_xlfn.IFS(
L220&lt;=12,"Children",
L220&lt;=19,"Teens",
L220&lt;=29,"Young Adults",
L220&lt;=39,"Adults",
L220&lt;=59,"Middle-Aged",
L220&gt;=60,"Seniors"
)</f>
        <v>Middle-Aged</v>
      </c>
      <c r="N220" t="s">
        <v>20</v>
      </c>
    </row>
    <row r="221" spans="1:14" x14ac:dyDescent="0.3">
      <c r="A221">
        <v>22399</v>
      </c>
      <c r="B221" t="s">
        <v>40</v>
      </c>
      <c r="C221" t="s">
        <v>39</v>
      </c>
      <c r="D221" s="3">
        <v>10000</v>
      </c>
      <c r="E221">
        <v>0</v>
      </c>
      <c r="F221" t="s">
        <v>21</v>
      </c>
      <c r="G221" t="s">
        <v>28</v>
      </c>
      <c r="H221" t="s">
        <v>17</v>
      </c>
      <c r="I221">
        <v>1</v>
      </c>
      <c r="J221" t="s">
        <v>29</v>
      </c>
      <c r="K221" t="s">
        <v>27</v>
      </c>
      <c r="L221">
        <v>26</v>
      </c>
      <c r="M221" t="str" cm="1">
        <f t="array" ref="M221">_xlfn.IFS(
L221&lt;=12,"Children",
L221&lt;=19,"Teens",
L221&lt;=29,"Young Adults",
L221&lt;=39,"Adults",
L221&lt;=59,"Middle-Aged",
L221&gt;=60,"Seniors"
)</f>
        <v>Young Adults</v>
      </c>
      <c r="N221" t="s">
        <v>17</v>
      </c>
    </row>
    <row r="222" spans="1:14" x14ac:dyDescent="0.3">
      <c r="A222">
        <v>27696</v>
      </c>
      <c r="B222" t="s">
        <v>37</v>
      </c>
      <c r="C222" t="s">
        <v>39</v>
      </c>
      <c r="D222" s="3">
        <v>60000</v>
      </c>
      <c r="E222">
        <v>1</v>
      </c>
      <c r="F222" t="s">
        <v>15</v>
      </c>
      <c r="G222" t="s">
        <v>23</v>
      </c>
      <c r="H222" t="s">
        <v>17</v>
      </c>
      <c r="I222">
        <v>1</v>
      </c>
      <c r="J222" t="s">
        <v>26</v>
      </c>
      <c r="K222" t="s">
        <v>27</v>
      </c>
      <c r="L222">
        <v>43</v>
      </c>
      <c r="M222" t="str" cm="1">
        <f t="array" ref="M222">_xlfn.IFS(
L222&lt;=12,"Children",
L222&lt;=19,"Teens",
L222&lt;=29,"Young Adults",
L222&lt;=39,"Adults",
L222&lt;=59,"Middle-Aged",
L222&gt;=60,"Seniors"
)</f>
        <v>Middle-Aged</v>
      </c>
      <c r="N222" t="s">
        <v>17</v>
      </c>
    </row>
    <row r="223" spans="1:14" x14ac:dyDescent="0.3">
      <c r="A223">
        <v>25313</v>
      </c>
      <c r="B223" t="s">
        <v>40</v>
      </c>
      <c r="C223" t="s">
        <v>39</v>
      </c>
      <c r="D223" s="3">
        <v>10000</v>
      </c>
      <c r="E223">
        <v>0</v>
      </c>
      <c r="F223" t="s">
        <v>32</v>
      </c>
      <c r="G223" t="s">
        <v>28</v>
      </c>
      <c r="H223" t="s">
        <v>20</v>
      </c>
      <c r="I223">
        <v>2</v>
      </c>
      <c r="J223" t="s">
        <v>29</v>
      </c>
      <c r="K223" t="s">
        <v>19</v>
      </c>
      <c r="L223">
        <v>35</v>
      </c>
      <c r="M223" t="str" cm="1">
        <f t="array" ref="M223">_xlfn.IFS(
L223&lt;=12,"Children",
L223&lt;=19,"Teens",
L223&lt;=29,"Young Adults",
L223&lt;=39,"Adults",
L223&lt;=59,"Middle-Aged",
L223&gt;=60,"Seniors"
)</f>
        <v>Adults</v>
      </c>
      <c r="N223" t="s">
        <v>20</v>
      </c>
    </row>
    <row r="224" spans="1:14" x14ac:dyDescent="0.3">
      <c r="A224">
        <v>13813</v>
      </c>
      <c r="B224" t="s">
        <v>37</v>
      </c>
      <c r="C224" t="s">
        <v>38</v>
      </c>
      <c r="D224" s="3">
        <v>30000</v>
      </c>
      <c r="E224">
        <v>3</v>
      </c>
      <c r="F224" t="s">
        <v>21</v>
      </c>
      <c r="G224" t="s">
        <v>22</v>
      </c>
      <c r="H224" t="s">
        <v>20</v>
      </c>
      <c r="I224">
        <v>0</v>
      </c>
      <c r="J224" t="s">
        <v>18</v>
      </c>
      <c r="K224" t="s">
        <v>19</v>
      </c>
      <c r="L224">
        <v>42</v>
      </c>
      <c r="M224" t="str" cm="1">
        <f t="array" ref="M224">_xlfn.IFS(
L224&lt;=12,"Children",
L224&lt;=19,"Teens",
L224&lt;=29,"Young Adults",
L224&lt;=39,"Adults",
L224&lt;=59,"Middle-Aged",
L224&gt;=60,"Seniors"
)</f>
        <v>Middle-Aged</v>
      </c>
      <c r="N224" t="s">
        <v>20</v>
      </c>
    </row>
    <row r="225" spans="1:14" x14ac:dyDescent="0.3">
      <c r="A225">
        <v>18711</v>
      </c>
      <c r="B225" t="s">
        <v>40</v>
      </c>
      <c r="C225" t="s">
        <v>38</v>
      </c>
      <c r="D225" s="3">
        <v>70000</v>
      </c>
      <c r="E225">
        <v>5</v>
      </c>
      <c r="F225" t="s">
        <v>15</v>
      </c>
      <c r="G225" t="s">
        <v>23</v>
      </c>
      <c r="H225" t="s">
        <v>17</v>
      </c>
      <c r="I225">
        <v>4</v>
      </c>
      <c r="J225" t="s">
        <v>41</v>
      </c>
      <c r="K225" t="s">
        <v>27</v>
      </c>
      <c r="L225">
        <v>39</v>
      </c>
      <c r="M225" t="str" cm="1">
        <f t="array" ref="M225">_xlfn.IFS(
L225&lt;=12,"Children",
L225&lt;=19,"Teens",
L225&lt;=29,"Young Adults",
L225&lt;=39,"Adults",
L225&lt;=59,"Middle-Aged",
L225&gt;=60,"Seniors"
)</f>
        <v>Adults</v>
      </c>
      <c r="N225" t="s">
        <v>20</v>
      </c>
    </row>
    <row r="226" spans="1:14" x14ac:dyDescent="0.3">
      <c r="A226">
        <v>19650</v>
      </c>
      <c r="B226" t="s">
        <v>37</v>
      </c>
      <c r="C226" t="s">
        <v>38</v>
      </c>
      <c r="D226" s="3">
        <v>30000</v>
      </c>
      <c r="E226">
        <v>2</v>
      </c>
      <c r="F226" t="s">
        <v>21</v>
      </c>
      <c r="G226" t="s">
        <v>22</v>
      </c>
      <c r="H226" t="s">
        <v>20</v>
      </c>
      <c r="I226">
        <v>2</v>
      </c>
      <c r="J226" t="s">
        <v>18</v>
      </c>
      <c r="K226" t="s">
        <v>27</v>
      </c>
      <c r="L226">
        <v>67</v>
      </c>
      <c r="M226" t="str" cm="1">
        <f t="array" ref="M226">_xlfn.IFS(
L226&lt;=12,"Children",
L226&lt;=19,"Teens",
L226&lt;=29,"Young Adults",
L226&lt;=39,"Adults",
L226&lt;=59,"Middle-Aged",
L226&gt;=60,"Seniors"
)</f>
        <v>Seniors</v>
      </c>
      <c r="N226" t="s">
        <v>20</v>
      </c>
    </row>
    <row r="227" spans="1:14" x14ac:dyDescent="0.3">
      <c r="A227">
        <v>14135</v>
      </c>
      <c r="B227" t="s">
        <v>37</v>
      </c>
      <c r="C227" t="s">
        <v>39</v>
      </c>
      <c r="D227" s="3">
        <v>20000</v>
      </c>
      <c r="E227">
        <v>1</v>
      </c>
      <c r="F227" t="s">
        <v>21</v>
      </c>
      <c r="G227" t="s">
        <v>28</v>
      </c>
      <c r="H227" t="s">
        <v>17</v>
      </c>
      <c r="I227">
        <v>0</v>
      </c>
      <c r="J227" t="s">
        <v>29</v>
      </c>
      <c r="K227" t="s">
        <v>19</v>
      </c>
      <c r="L227">
        <v>35</v>
      </c>
      <c r="M227" t="str" cm="1">
        <f t="array" ref="M227">_xlfn.IFS(
L227&lt;=12,"Children",
L227&lt;=19,"Teens",
L227&lt;=29,"Young Adults",
L227&lt;=39,"Adults",
L227&lt;=59,"Middle-Aged",
L227&gt;=60,"Seniors"
)</f>
        <v>Adults</v>
      </c>
      <c r="N227" t="s">
        <v>20</v>
      </c>
    </row>
    <row r="228" spans="1:14" x14ac:dyDescent="0.3">
      <c r="A228">
        <v>12833</v>
      </c>
      <c r="B228" t="s">
        <v>40</v>
      </c>
      <c r="C228" t="s">
        <v>38</v>
      </c>
      <c r="D228" s="3">
        <v>20000</v>
      </c>
      <c r="E228">
        <v>3</v>
      </c>
      <c r="F228" t="s">
        <v>30</v>
      </c>
      <c r="G228" t="s">
        <v>28</v>
      </c>
      <c r="H228" t="s">
        <v>17</v>
      </c>
      <c r="I228">
        <v>1</v>
      </c>
      <c r="J228" t="s">
        <v>18</v>
      </c>
      <c r="K228" t="s">
        <v>19</v>
      </c>
      <c r="L228">
        <v>42</v>
      </c>
      <c r="M228" t="str" cm="1">
        <f t="array" ref="M228">_xlfn.IFS(
L228&lt;=12,"Children",
L228&lt;=19,"Teens",
L228&lt;=29,"Young Adults",
L228&lt;=39,"Adults",
L228&lt;=59,"Middle-Aged",
L228&gt;=60,"Seniors"
)</f>
        <v>Middle-Aged</v>
      </c>
      <c r="N228" t="s">
        <v>17</v>
      </c>
    </row>
    <row r="229" spans="1:14" x14ac:dyDescent="0.3">
      <c r="A229">
        <v>26849</v>
      </c>
      <c r="B229" t="s">
        <v>37</v>
      </c>
      <c r="C229" t="s">
        <v>39</v>
      </c>
      <c r="D229" s="3">
        <v>10000</v>
      </c>
      <c r="E229">
        <v>3</v>
      </c>
      <c r="F229" t="s">
        <v>32</v>
      </c>
      <c r="G229" t="s">
        <v>28</v>
      </c>
      <c r="H229" t="s">
        <v>17</v>
      </c>
      <c r="I229">
        <v>2</v>
      </c>
      <c r="J229" t="s">
        <v>18</v>
      </c>
      <c r="K229" t="s">
        <v>19</v>
      </c>
      <c r="L229">
        <v>43</v>
      </c>
      <c r="M229" t="str" cm="1">
        <f t="array" ref="M229">_xlfn.IFS(
L229&lt;=12,"Children",
L229&lt;=19,"Teens",
L229&lt;=29,"Young Adults",
L229&lt;=39,"Adults",
L229&lt;=59,"Middle-Aged",
L229&gt;=60,"Seniors"
)</f>
        <v>Middle-Aged</v>
      </c>
      <c r="N229" t="s">
        <v>20</v>
      </c>
    </row>
    <row r="230" spans="1:14" x14ac:dyDescent="0.3">
      <c r="A230">
        <v>20962</v>
      </c>
      <c r="B230" t="s">
        <v>37</v>
      </c>
      <c r="C230" t="s">
        <v>38</v>
      </c>
      <c r="D230" s="3">
        <v>20000</v>
      </c>
      <c r="E230">
        <v>1</v>
      </c>
      <c r="F230" t="s">
        <v>34</v>
      </c>
      <c r="G230" t="s">
        <v>22</v>
      </c>
      <c r="H230" t="s">
        <v>17</v>
      </c>
      <c r="I230">
        <v>0</v>
      </c>
      <c r="J230" t="s">
        <v>18</v>
      </c>
      <c r="K230" t="s">
        <v>19</v>
      </c>
      <c r="L230">
        <v>45</v>
      </c>
      <c r="M230" t="str" cm="1">
        <f t="array" ref="M230">_xlfn.IFS(
L230&lt;=12,"Children",
L230&lt;=19,"Teens",
L230&lt;=29,"Young Adults",
L230&lt;=39,"Adults",
L230&lt;=59,"Middle-Aged",
L230&gt;=60,"Seniors"
)</f>
        <v>Middle-Aged</v>
      </c>
      <c r="N230" t="s">
        <v>20</v>
      </c>
    </row>
    <row r="231" spans="1:14" x14ac:dyDescent="0.3">
      <c r="A231">
        <v>28915</v>
      </c>
      <c r="B231" t="s">
        <v>40</v>
      </c>
      <c r="C231" t="s">
        <v>39</v>
      </c>
      <c r="D231" s="3">
        <v>80000</v>
      </c>
      <c r="E231">
        <v>5</v>
      </c>
      <c r="F231" t="s">
        <v>30</v>
      </c>
      <c r="G231" t="s">
        <v>31</v>
      </c>
      <c r="H231" t="s">
        <v>17</v>
      </c>
      <c r="I231">
        <v>3</v>
      </c>
      <c r="J231" t="s">
        <v>41</v>
      </c>
      <c r="K231" t="s">
        <v>19</v>
      </c>
      <c r="L231">
        <v>57</v>
      </c>
      <c r="M231" t="str" cm="1">
        <f t="array" ref="M231">_xlfn.IFS(
L231&lt;=12,"Children",
L231&lt;=19,"Teens",
L231&lt;=29,"Young Adults",
L231&lt;=39,"Adults",
L231&lt;=59,"Middle-Aged",
L231&gt;=60,"Seniors"
)</f>
        <v>Middle-Aged</v>
      </c>
      <c r="N231" t="s">
        <v>20</v>
      </c>
    </row>
    <row r="232" spans="1:14" x14ac:dyDescent="0.3">
      <c r="A232">
        <v>22830</v>
      </c>
      <c r="B232" t="s">
        <v>37</v>
      </c>
      <c r="C232" t="s">
        <v>39</v>
      </c>
      <c r="D232" s="3">
        <v>120000</v>
      </c>
      <c r="E232">
        <v>4</v>
      </c>
      <c r="F232" t="s">
        <v>21</v>
      </c>
      <c r="G232" t="s">
        <v>31</v>
      </c>
      <c r="H232" t="s">
        <v>17</v>
      </c>
      <c r="I232">
        <v>3</v>
      </c>
      <c r="J232" t="s">
        <v>41</v>
      </c>
      <c r="K232" t="s">
        <v>19</v>
      </c>
      <c r="L232">
        <v>56</v>
      </c>
      <c r="M232" t="str" cm="1">
        <f t="array" ref="M232">_xlfn.IFS(
L232&lt;=12,"Children",
L232&lt;=19,"Teens",
L232&lt;=29,"Young Adults",
L232&lt;=39,"Adults",
L232&lt;=59,"Middle-Aged",
L232&gt;=60,"Seniors"
)</f>
        <v>Middle-Aged</v>
      </c>
      <c r="N232" t="s">
        <v>20</v>
      </c>
    </row>
    <row r="233" spans="1:14" x14ac:dyDescent="0.3">
      <c r="A233">
        <v>14777</v>
      </c>
      <c r="B233" t="s">
        <v>37</v>
      </c>
      <c r="C233" t="s">
        <v>38</v>
      </c>
      <c r="D233" s="3">
        <v>40000</v>
      </c>
      <c r="E233">
        <v>0</v>
      </c>
      <c r="F233" t="s">
        <v>15</v>
      </c>
      <c r="G233" t="s">
        <v>22</v>
      </c>
      <c r="H233" t="s">
        <v>17</v>
      </c>
      <c r="I233">
        <v>0</v>
      </c>
      <c r="J233" t="s">
        <v>18</v>
      </c>
      <c r="K233" t="s">
        <v>19</v>
      </c>
      <c r="L233">
        <v>38</v>
      </c>
      <c r="M233" t="str" cm="1">
        <f t="array" ref="M233">_xlfn.IFS(
L233&lt;=12,"Children",
L233&lt;=19,"Teens",
L233&lt;=29,"Young Adults",
L233&lt;=39,"Adults",
L233&lt;=59,"Middle-Aged",
L233&gt;=60,"Seniors"
)</f>
        <v>Adults</v>
      </c>
      <c r="N233" t="s">
        <v>17</v>
      </c>
    </row>
    <row r="234" spans="1:14" x14ac:dyDescent="0.3">
      <c r="A234">
        <v>12591</v>
      </c>
      <c r="B234" t="s">
        <v>37</v>
      </c>
      <c r="C234" t="s">
        <v>38</v>
      </c>
      <c r="D234" s="3">
        <v>30000</v>
      </c>
      <c r="E234">
        <v>4</v>
      </c>
      <c r="F234" t="s">
        <v>34</v>
      </c>
      <c r="G234" t="s">
        <v>22</v>
      </c>
      <c r="H234" t="s">
        <v>17</v>
      </c>
      <c r="I234">
        <v>0</v>
      </c>
      <c r="J234" t="s">
        <v>18</v>
      </c>
      <c r="K234" t="s">
        <v>19</v>
      </c>
      <c r="L234">
        <v>45</v>
      </c>
      <c r="M234" t="str" cm="1">
        <f t="array" ref="M234">_xlfn.IFS(
L234&lt;=12,"Children",
L234&lt;=19,"Teens",
L234&lt;=29,"Young Adults",
L234&lt;=39,"Adults",
L234&lt;=59,"Middle-Aged",
L234&gt;=60,"Seniors"
)</f>
        <v>Middle-Aged</v>
      </c>
      <c r="N234" t="s">
        <v>20</v>
      </c>
    </row>
    <row r="235" spans="1:14" x14ac:dyDescent="0.3">
      <c r="A235">
        <v>24174</v>
      </c>
      <c r="B235" t="s">
        <v>37</v>
      </c>
      <c r="C235" t="s">
        <v>39</v>
      </c>
      <c r="D235" s="3">
        <v>20000</v>
      </c>
      <c r="E235">
        <v>0</v>
      </c>
      <c r="F235" t="s">
        <v>15</v>
      </c>
      <c r="G235" t="s">
        <v>22</v>
      </c>
      <c r="H235" t="s">
        <v>17</v>
      </c>
      <c r="I235">
        <v>0</v>
      </c>
      <c r="J235" t="s">
        <v>18</v>
      </c>
      <c r="K235" t="s">
        <v>27</v>
      </c>
      <c r="L235">
        <v>27</v>
      </c>
      <c r="M235" t="str" cm="1">
        <f t="array" ref="M235">_xlfn.IFS(
L235&lt;=12,"Children",
L235&lt;=19,"Teens",
L235&lt;=29,"Young Adults",
L235&lt;=39,"Adults",
L235&lt;=59,"Middle-Aged",
L235&gt;=60,"Seniors"
)</f>
        <v>Young Adults</v>
      </c>
      <c r="N235" t="s">
        <v>17</v>
      </c>
    </row>
    <row r="236" spans="1:14" x14ac:dyDescent="0.3">
      <c r="A236">
        <v>24611</v>
      </c>
      <c r="B236" t="s">
        <v>40</v>
      </c>
      <c r="C236" t="s">
        <v>39</v>
      </c>
      <c r="D236" s="3">
        <v>90000</v>
      </c>
      <c r="E236">
        <v>0</v>
      </c>
      <c r="F236" t="s">
        <v>15</v>
      </c>
      <c r="G236" t="s">
        <v>23</v>
      </c>
      <c r="H236" t="s">
        <v>20</v>
      </c>
      <c r="I236">
        <v>4</v>
      </c>
      <c r="J236" t="s">
        <v>41</v>
      </c>
      <c r="K236" t="s">
        <v>27</v>
      </c>
      <c r="L236">
        <v>35</v>
      </c>
      <c r="M236" t="str" cm="1">
        <f t="array" ref="M236">_xlfn.IFS(
L236&lt;=12,"Children",
L236&lt;=19,"Teens",
L236&lt;=29,"Young Adults",
L236&lt;=39,"Adults",
L236&lt;=59,"Middle-Aged",
L236&gt;=60,"Seniors"
)</f>
        <v>Adults</v>
      </c>
      <c r="N236" t="s">
        <v>17</v>
      </c>
    </row>
    <row r="237" spans="1:14" x14ac:dyDescent="0.3">
      <c r="A237">
        <v>11340</v>
      </c>
      <c r="B237" t="s">
        <v>37</v>
      </c>
      <c r="C237" t="s">
        <v>38</v>
      </c>
      <c r="D237" s="3">
        <v>10000</v>
      </c>
      <c r="E237">
        <v>1</v>
      </c>
      <c r="F237" t="s">
        <v>34</v>
      </c>
      <c r="G237" t="s">
        <v>22</v>
      </c>
      <c r="H237" t="s">
        <v>17</v>
      </c>
      <c r="I237">
        <v>0</v>
      </c>
      <c r="J237" t="s">
        <v>18</v>
      </c>
      <c r="K237" t="s">
        <v>19</v>
      </c>
      <c r="L237">
        <v>70</v>
      </c>
      <c r="M237" t="str" cm="1">
        <f t="array" ref="M237">_xlfn.IFS(
L237&lt;=12,"Children",
L237&lt;=19,"Teens",
L237&lt;=29,"Young Adults",
L237&lt;=39,"Adults",
L237&lt;=59,"Middle-Aged",
L237&gt;=60,"Seniors"
)</f>
        <v>Seniors</v>
      </c>
      <c r="N237" t="s">
        <v>17</v>
      </c>
    </row>
    <row r="238" spans="1:14" x14ac:dyDescent="0.3">
      <c r="A238">
        <v>25693</v>
      </c>
      <c r="B238" t="s">
        <v>40</v>
      </c>
      <c r="C238" t="s">
        <v>38</v>
      </c>
      <c r="D238" s="3">
        <v>30000</v>
      </c>
      <c r="E238">
        <v>5</v>
      </c>
      <c r="F238" t="s">
        <v>34</v>
      </c>
      <c r="G238" t="s">
        <v>22</v>
      </c>
      <c r="H238" t="s">
        <v>17</v>
      </c>
      <c r="I238">
        <v>0</v>
      </c>
      <c r="J238" t="s">
        <v>18</v>
      </c>
      <c r="K238" t="s">
        <v>19</v>
      </c>
      <c r="L238">
        <v>44</v>
      </c>
      <c r="M238" t="str" cm="1">
        <f t="array" ref="M238">_xlfn.IFS(
L238&lt;=12,"Children",
L238&lt;=19,"Teens",
L238&lt;=29,"Young Adults",
L238&lt;=39,"Adults",
L238&lt;=59,"Middle-Aged",
L238&gt;=60,"Seniors"
)</f>
        <v>Middle-Aged</v>
      </c>
      <c r="N238" t="s">
        <v>17</v>
      </c>
    </row>
    <row r="239" spans="1:14" x14ac:dyDescent="0.3">
      <c r="A239">
        <v>25555</v>
      </c>
      <c r="B239" t="s">
        <v>37</v>
      </c>
      <c r="C239" t="s">
        <v>38</v>
      </c>
      <c r="D239" s="3">
        <v>10000</v>
      </c>
      <c r="E239">
        <v>0</v>
      </c>
      <c r="F239" t="s">
        <v>21</v>
      </c>
      <c r="G239" t="s">
        <v>28</v>
      </c>
      <c r="H239" t="s">
        <v>20</v>
      </c>
      <c r="I239">
        <v>1</v>
      </c>
      <c r="J239" t="s">
        <v>18</v>
      </c>
      <c r="K239" t="s">
        <v>27</v>
      </c>
      <c r="L239">
        <v>26</v>
      </c>
      <c r="M239" t="str" cm="1">
        <f t="array" ref="M239">_xlfn.IFS(
L239&lt;=12,"Children",
L239&lt;=19,"Teens",
L239&lt;=29,"Young Adults",
L239&lt;=39,"Adults",
L239&lt;=59,"Middle-Aged",
L239&gt;=60,"Seniors"
)</f>
        <v>Young Adults</v>
      </c>
      <c r="N239" t="s">
        <v>17</v>
      </c>
    </row>
    <row r="240" spans="1:14" x14ac:dyDescent="0.3">
      <c r="A240">
        <v>22006</v>
      </c>
      <c r="B240" t="s">
        <v>37</v>
      </c>
      <c r="C240" t="s">
        <v>39</v>
      </c>
      <c r="D240" s="3">
        <v>70000</v>
      </c>
      <c r="E240">
        <v>5</v>
      </c>
      <c r="F240" t="s">
        <v>21</v>
      </c>
      <c r="G240" t="s">
        <v>16</v>
      </c>
      <c r="H240" t="s">
        <v>17</v>
      </c>
      <c r="I240">
        <v>3</v>
      </c>
      <c r="J240" t="s">
        <v>26</v>
      </c>
      <c r="K240" t="s">
        <v>27</v>
      </c>
      <c r="L240">
        <v>46</v>
      </c>
      <c r="M240" t="str" cm="1">
        <f t="array" ref="M240">_xlfn.IFS(
L240&lt;=12,"Children",
L240&lt;=19,"Teens",
L240&lt;=29,"Young Adults",
L240&lt;=39,"Adults",
L240&lt;=59,"Middle-Aged",
L240&gt;=60,"Seniors"
)</f>
        <v>Middle-Aged</v>
      </c>
      <c r="N240" t="s">
        <v>20</v>
      </c>
    </row>
    <row r="241" spans="1:14" x14ac:dyDescent="0.3">
      <c r="A241">
        <v>20060</v>
      </c>
      <c r="B241" t="s">
        <v>40</v>
      </c>
      <c r="C241" t="s">
        <v>38</v>
      </c>
      <c r="D241" s="3">
        <v>30000</v>
      </c>
      <c r="E241">
        <v>0</v>
      </c>
      <c r="F241" t="s">
        <v>30</v>
      </c>
      <c r="G241" t="s">
        <v>28</v>
      </c>
      <c r="H241" t="s">
        <v>20</v>
      </c>
      <c r="I241">
        <v>1</v>
      </c>
      <c r="J241" t="s">
        <v>24</v>
      </c>
      <c r="K241" t="s">
        <v>19</v>
      </c>
      <c r="L241">
        <v>34</v>
      </c>
      <c r="M241" t="str" cm="1">
        <f t="array" ref="M241">_xlfn.IFS(
L241&lt;=12,"Children",
L241&lt;=19,"Teens",
L241&lt;=29,"Young Adults",
L241&lt;=39,"Adults",
L241&lt;=59,"Middle-Aged",
L241&gt;=60,"Seniors"
)</f>
        <v>Adults</v>
      </c>
      <c r="N241" t="s">
        <v>17</v>
      </c>
    </row>
    <row r="242" spans="1:14" x14ac:dyDescent="0.3">
      <c r="A242">
        <v>17702</v>
      </c>
      <c r="B242" t="s">
        <v>37</v>
      </c>
      <c r="C242" t="s">
        <v>39</v>
      </c>
      <c r="D242" s="3">
        <v>10000</v>
      </c>
      <c r="E242">
        <v>1</v>
      </c>
      <c r="F242" t="s">
        <v>34</v>
      </c>
      <c r="G242" t="s">
        <v>28</v>
      </c>
      <c r="H242" t="s">
        <v>17</v>
      </c>
      <c r="I242">
        <v>0</v>
      </c>
      <c r="J242" t="s">
        <v>18</v>
      </c>
      <c r="K242" t="s">
        <v>19</v>
      </c>
      <c r="L242">
        <v>37</v>
      </c>
      <c r="M242" t="str" cm="1">
        <f t="array" ref="M242">_xlfn.IFS(
L242&lt;=12,"Children",
L242&lt;=19,"Teens",
L242&lt;=29,"Young Adults",
L242&lt;=39,"Adults",
L242&lt;=59,"Middle-Aged",
L242&gt;=60,"Seniors"
)</f>
        <v>Adults</v>
      </c>
      <c r="N242" t="s">
        <v>20</v>
      </c>
    </row>
    <row r="243" spans="1:14" x14ac:dyDescent="0.3">
      <c r="A243">
        <v>12503</v>
      </c>
      <c r="B243" t="s">
        <v>40</v>
      </c>
      <c r="C243" t="s">
        <v>38</v>
      </c>
      <c r="D243" s="3">
        <v>30000</v>
      </c>
      <c r="E243">
        <v>3</v>
      </c>
      <c r="F243" t="s">
        <v>21</v>
      </c>
      <c r="G243" t="s">
        <v>22</v>
      </c>
      <c r="H243" t="s">
        <v>17</v>
      </c>
      <c r="I243">
        <v>2</v>
      </c>
      <c r="J243" t="s">
        <v>18</v>
      </c>
      <c r="K243" t="s">
        <v>19</v>
      </c>
      <c r="L243">
        <v>27</v>
      </c>
      <c r="M243" t="str" cm="1">
        <f t="array" ref="M243">_xlfn.IFS(
L243&lt;=12,"Children",
L243&lt;=19,"Teens",
L243&lt;=29,"Young Adults",
L243&lt;=39,"Adults",
L243&lt;=59,"Middle-Aged",
L243&gt;=60,"Seniors"
)</f>
        <v>Young Adults</v>
      </c>
      <c r="N243" t="s">
        <v>20</v>
      </c>
    </row>
    <row r="244" spans="1:14" x14ac:dyDescent="0.3">
      <c r="A244">
        <v>23908</v>
      </c>
      <c r="B244" t="s">
        <v>40</v>
      </c>
      <c r="C244" t="s">
        <v>39</v>
      </c>
      <c r="D244" s="3">
        <v>30000</v>
      </c>
      <c r="E244">
        <v>1</v>
      </c>
      <c r="F244" t="s">
        <v>15</v>
      </c>
      <c r="G244" t="s">
        <v>22</v>
      </c>
      <c r="H244" t="s">
        <v>20</v>
      </c>
      <c r="I244">
        <v>1</v>
      </c>
      <c r="J244" t="s">
        <v>18</v>
      </c>
      <c r="K244" t="s">
        <v>19</v>
      </c>
      <c r="L244">
        <v>39</v>
      </c>
      <c r="M244" t="str" cm="1">
        <f t="array" ref="M244">_xlfn.IFS(
L244&lt;=12,"Children",
L244&lt;=19,"Teens",
L244&lt;=29,"Young Adults",
L244&lt;=39,"Adults",
L244&lt;=59,"Middle-Aged",
L244&gt;=60,"Seniors"
)</f>
        <v>Adults</v>
      </c>
      <c r="N244" t="s">
        <v>17</v>
      </c>
    </row>
    <row r="245" spans="1:14" x14ac:dyDescent="0.3">
      <c r="A245">
        <v>22527</v>
      </c>
      <c r="B245" t="s">
        <v>40</v>
      </c>
      <c r="C245" t="s">
        <v>38</v>
      </c>
      <c r="D245" s="3">
        <v>20000</v>
      </c>
      <c r="E245">
        <v>0</v>
      </c>
      <c r="F245" t="s">
        <v>30</v>
      </c>
      <c r="G245" t="s">
        <v>28</v>
      </c>
      <c r="H245" t="s">
        <v>20</v>
      </c>
      <c r="I245">
        <v>1</v>
      </c>
      <c r="J245" t="s">
        <v>24</v>
      </c>
      <c r="K245" t="s">
        <v>19</v>
      </c>
      <c r="L245">
        <v>29</v>
      </c>
      <c r="M245" t="str" cm="1">
        <f t="array" ref="M245">_xlfn.IFS(
L245&lt;=12,"Children",
L245&lt;=19,"Teens",
L245&lt;=29,"Young Adults",
L245&lt;=39,"Adults",
L245&lt;=59,"Middle-Aged",
L245&gt;=60,"Seniors"
)</f>
        <v>Young Adults</v>
      </c>
      <c r="N245" t="s">
        <v>20</v>
      </c>
    </row>
    <row r="246" spans="1:14" x14ac:dyDescent="0.3">
      <c r="A246">
        <v>19057</v>
      </c>
      <c r="B246" t="s">
        <v>37</v>
      </c>
      <c r="C246" t="s">
        <v>38</v>
      </c>
      <c r="D246" s="3">
        <v>120000</v>
      </c>
      <c r="E246">
        <v>3</v>
      </c>
      <c r="F246" t="s">
        <v>15</v>
      </c>
      <c r="G246" t="s">
        <v>31</v>
      </c>
      <c r="H246" t="s">
        <v>20</v>
      </c>
      <c r="I246">
        <v>2</v>
      </c>
      <c r="J246" t="s">
        <v>41</v>
      </c>
      <c r="K246" t="s">
        <v>19</v>
      </c>
      <c r="L246">
        <v>52</v>
      </c>
      <c r="M246" t="str" cm="1">
        <f t="array" ref="M246">_xlfn.IFS(
L246&lt;=12,"Children",
L246&lt;=19,"Teens",
L246&lt;=29,"Young Adults",
L246&lt;=39,"Adults",
L246&lt;=59,"Middle-Aged",
L246&gt;=60,"Seniors"
)</f>
        <v>Middle-Aged</v>
      </c>
      <c r="N246" t="s">
        <v>17</v>
      </c>
    </row>
    <row r="247" spans="1:14" x14ac:dyDescent="0.3">
      <c r="A247">
        <v>18494</v>
      </c>
      <c r="B247" t="s">
        <v>37</v>
      </c>
      <c r="C247" t="s">
        <v>39</v>
      </c>
      <c r="D247" s="3">
        <v>110000</v>
      </c>
      <c r="E247">
        <v>5</v>
      </c>
      <c r="F247" t="s">
        <v>15</v>
      </c>
      <c r="G247" t="s">
        <v>31</v>
      </c>
      <c r="H247" t="s">
        <v>17</v>
      </c>
      <c r="I247">
        <v>4</v>
      </c>
      <c r="J247" t="s">
        <v>24</v>
      </c>
      <c r="K247" t="s">
        <v>27</v>
      </c>
      <c r="L247">
        <v>48</v>
      </c>
      <c r="M247" t="str" cm="1">
        <f t="array" ref="M247">_xlfn.IFS(
L247&lt;=12,"Children",
L247&lt;=19,"Teens",
L247&lt;=29,"Young Adults",
L247&lt;=39,"Adults",
L247&lt;=59,"Middle-Aged",
L247&gt;=60,"Seniors"
)</f>
        <v>Middle-Aged</v>
      </c>
      <c r="N247" t="s">
        <v>17</v>
      </c>
    </row>
    <row r="248" spans="1:14" x14ac:dyDescent="0.3">
      <c r="A248">
        <v>11249</v>
      </c>
      <c r="B248" t="s">
        <v>37</v>
      </c>
      <c r="C248" t="s">
        <v>38</v>
      </c>
      <c r="D248" s="3">
        <v>130000</v>
      </c>
      <c r="E248">
        <v>3</v>
      </c>
      <c r="F248" t="s">
        <v>21</v>
      </c>
      <c r="G248" t="s">
        <v>23</v>
      </c>
      <c r="H248" t="s">
        <v>17</v>
      </c>
      <c r="I248">
        <v>3</v>
      </c>
      <c r="J248" t="s">
        <v>18</v>
      </c>
      <c r="K248" t="s">
        <v>19</v>
      </c>
      <c r="L248">
        <v>51</v>
      </c>
      <c r="M248" t="str" cm="1">
        <f t="array" ref="M248">_xlfn.IFS(
L248&lt;=12,"Children",
L248&lt;=19,"Teens",
L248&lt;=29,"Young Adults",
L248&lt;=39,"Adults",
L248&lt;=59,"Middle-Aged",
L248&gt;=60,"Seniors"
)</f>
        <v>Middle-Aged</v>
      </c>
      <c r="N248" t="s">
        <v>17</v>
      </c>
    </row>
    <row r="249" spans="1:14" x14ac:dyDescent="0.3">
      <c r="A249">
        <v>21568</v>
      </c>
      <c r="B249" t="s">
        <v>37</v>
      </c>
      <c r="C249" t="s">
        <v>38</v>
      </c>
      <c r="D249" s="3">
        <v>100000</v>
      </c>
      <c r="E249">
        <v>0</v>
      </c>
      <c r="F249" t="s">
        <v>30</v>
      </c>
      <c r="G249" t="s">
        <v>31</v>
      </c>
      <c r="H249" t="s">
        <v>17</v>
      </c>
      <c r="I249">
        <v>4</v>
      </c>
      <c r="J249" t="s">
        <v>41</v>
      </c>
      <c r="K249" t="s">
        <v>27</v>
      </c>
      <c r="L249">
        <v>34</v>
      </c>
      <c r="M249" t="str" cm="1">
        <f t="array" ref="M249">_xlfn.IFS(
L249&lt;=12,"Children",
L249&lt;=19,"Teens",
L249&lt;=29,"Young Adults",
L249&lt;=39,"Adults",
L249&lt;=59,"Middle-Aged",
L249&gt;=60,"Seniors"
)</f>
        <v>Adults</v>
      </c>
      <c r="N249" t="s">
        <v>17</v>
      </c>
    </row>
    <row r="250" spans="1:14" x14ac:dyDescent="0.3">
      <c r="A250">
        <v>13981</v>
      </c>
      <c r="B250" t="s">
        <v>37</v>
      </c>
      <c r="C250" t="s">
        <v>38</v>
      </c>
      <c r="D250" s="3">
        <v>10000</v>
      </c>
      <c r="E250">
        <v>5</v>
      </c>
      <c r="F250" t="s">
        <v>30</v>
      </c>
      <c r="G250" t="s">
        <v>16</v>
      </c>
      <c r="H250" t="s">
        <v>20</v>
      </c>
      <c r="I250">
        <v>3</v>
      </c>
      <c r="J250" t="s">
        <v>29</v>
      </c>
      <c r="K250" t="s">
        <v>27</v>
      </c>
      <c r="L250">
        <v>62</v>
      </c>
      <c r="M250" t="str" cm="1">
        <f t="array" ref="M250">_xlfn.IFS(
L250&lt;=12,"Children",
L250&lt;=19,"Teens",
L250&lt;=29,"Young Adults",
L250&lt;=39,"Adults",
L250&lt;=59,"Middle-Aged",
L250&gt;=60,"Seniors"
)</f>
        <v>Seniors</v>
      </c>
      <c r="N250" t="s">
        <v>20</v>
      </c>
    </row>
    <row r="251" spans="1:14" x14ac:dyDescent="0.3">
      <c r="A251">
        <v>23432</v>
      </c>
      <c r="B251" t="s">
        <v>40</v>
      </c>
      <c r="C251" t="s">
        <v>39</v>
      </c>
      <c r="D251" s="3">
        <v>70000</v>
      </c>
      <c r="E251">
        <v>0</v>
      </c>
      <c r="F251" t="s">
        <v>15</v>
      </c>
      <c r="G251" t="s">
        <v>23</v>
      </c>
      <c r="H251" t="s">
        <v>17</v>
      </c>
      <c r="I251">
        <v>1</v>
      </c>
      <c r="J251" t="s">
        <v>26</v>
      </c>
      <c r="K251" t="s">
        <v>27</v>
      </c>
      <c r="L251">
        <v>37</v>
      </c>
      <c r="M251" t="str" cm="1">
        <f t="array" ref="M251">_xlfn.IFS(
L251&lt;=12,"Children",
L251&lt;=19,"Teens",
L251&lt;=29,"Young Adults",
L251&lt;=39,"Adults",
L251&lt;=59,"Middle-Aged",
L251&gt;=60,"Seniors"
)</f>
        <v>Adults</v>
      </c>
      <c r="N251" t="s">
        <v>17</v>
      </c>
    </row>
    <row r="252" spans="1:14" x14ac:dyDescent="0.3">
      <c r="A252">
        <v>22931</v>
      </c>
      <c r="B252" t="s">
        <v>37</v>
      </c>
      <c r="C252" t="s">
        <v>39</v>
      </c>
      <c r="D252" s="3">
        <v>100000</v>
      </c>
      <c r="E252">
        <v>5</v>
      </c>
      <c r="F252" t="s">
        <v>34</v>
      </c>
      <c r="G252" t="s">
        <v>31</v>
      </c>
      <c r="H252" t="s">
        <v>20</v>
      </c>
      <c r="I252">
        <v>1</v>
      </c>
      <c r="J252" t="s">
        <v>29</v>
      </c>
      <c r="K252" t="s">
        <v>27</v>
      </c>
      <c r="L252">
        <v>78</v>
      </c>
      <c r="M252" t="str" cm="1">
        <f t="array" ref="M252">_xlfn.IFS(
L252&lt;=12,"Children",
L252&lt;=19,"Teens",
L252&lt;=29,"Young Adults",
L252&lt;=39,"Adults",
L252&lt;=59,"Middle-Aged",
L252&gt;=60,"Seniors"
)</f>
        <v>Seniors</v>
      </c>
      <c r="N252" t="s">
        <v>17</v>
      </c>
    </row>
    <row r="253" spans="1:14" x14ac:dyDescent="0.3">
      <c r="A253">
        <v>18172</v>
      </c>
      <c r="B253" t="s">
        <v>37</v>
      </c>
      <c r="C253" t="s">
        <v>39</v>
      </c>
      <c r="D253" s="3">
        <v>130000</v>
      </c>
      <c r="E253">
        <v>4</v>
      </c>
      <c r="F253" t="s">
        <v>30</v>
      </c>
      <c r="G253" t="s">
        <v>23</v>
      </c>
      <c r="H253" t="s">
        <v>17</v>
      </c>
      <c r="I253">
        <v>3</v>
      </c>
      <c r="J253" t="s">
        <v>18</v>
      </c>
      <c r="K253" t="s">
        <v>19</v>
      </c>
      <c r="L253">
        <v>55</v>
      </c>
      <c r="M253" t="str" cm="1">
        <f t="array" ref="M253">_xlfn.IFS(
L253&lt;=12,"Children",
L253&lt;=19,"Teens",
L253&lt;=29,"Young Adults",
L253&lt;=39,"Adults",
L253&lt;=59,"Middle-Aged",
L253&gt;=60,"Seniors"
)</f>
        <v>Middle-Aged</v>
      </c>
      <c r="N253" t="s">
        <v>20</v>
      </c>
    </row>
    <row r="254" spans="1:14" x14ac:dyDescent="0.3">
      <c r="A254">
        <v>12666</v>
      </c>
      <c r="B254" t="s">
        <v>40</v>
      </c>
      <c r="C254" t="s">
        <v>39</v>
      </c>
      <c r="D254" s="3">
        <v>60000</v>
      </c>
      <c r="E254">
        <v>0</v>
      </c>
      <c r="F254" t="s">
        <v>15</v>
      </c>
      <c r="G254" t="s">
        <v>23</v>
      </c>
      <c r="H254" t="s">
        <v>20</v>
      </c>
      <c r="I254">
        <v>4</v>
      </c>
      <c r="J254" t="s">
        <v>24</v>
      </c>
      <c r="K254" t="s">
        <v>27</v>
      </c>
      <c r="L254">
        <v>31</v>
      </c>
      <c r="M254" t="str" cm="1">
        <f t="array" ref="M254">_xlfn.IFS(
L254&lt;=12,"Children",
L254&lt;=19,"Teens",
L254&lt;=29,"Young Adults",
L254&lt;=39,"Adults",
L254&lt;=59,"Middle-Aged",
L254&gt;=60,"Seniors"
)</f>
        <v>Adults</v>
      </c>
      <c r="N254" t="s">
        <v>20</v>
      </c>
    </row>
    <row r="255" spans="1:14" x14ac:dyDescent="0.3">
      <c r="A255">
        <v>20598</v>
      </c>
      <c r="B255" t="s">
        <v>37</v>
      </c>
      <c r="C255" t="s">
        <v>39</v>
      </c>
      <c r="D255" s="3">
        <v>100000</v>
      </c>
      <c r="E255">
        <v>3</v>
      </c>
      <c r="F255" t="s">
        <v>32</v>
      </c>
      <c r="G255" t="s">
        <v>23</v>
      </c>
      <c r="H255" t="s">
        <v>17</v>
      </c>
      <c r="I255">
        <v>0</v>
      </c>
      <c r="J255" t="s">
        <v>41</v>
      </c>
      <c r="K255" t="s">
        <v>19</v>
      </c>
      <c r="L255">
        <v>59</v>
      </c>
      <c r="M255" t="str" cm="1">
        <f t="array" ref="M255">_xlfn.IFS(
L255&lt;=12,"Children",
L255&lt;=19,"Teens",
L255&lt;=29,"Young Adults",
L255&lt;=39,"Adults",
L255&lt;=59,"Middle-Aged",
L255&gt;=60,"Seniors"
)</f>
        <v>Middle-Aged</v>
      </c>
      <c r="N255" t="s">
        <v>17</v>
      </c>
    </row>
    <row r="256" spans="1:14" x14ac:dyDescent="0.3">
      <c r="A256">
        <v>21375</v>
      </c>
      <c r="B256" t="s">
        <v>40</v>
      </c>
      <c r="C256" t="s">
        <v>39</v>
      </c>
      <c r="D256" s="3">
        <v>20000</v>
      </c>
      <c r="E256">
        <v>2</v>
      </c>
      <c r="F256" t="s">
        <v>32</v>
      </c>
      <c r="G256" t="s">
        <v>22</v>
      </c>
      <c r="H256" t="s">
        <v>17</v>
      </c>
      <c r="I256">
        <v>2</v>
      </c>
      <c r="J256" t="s">
        <v>26</v>
      </c>
      <c r="K256" t="s">
        <v>27</v>
      </c>
      <c r="L256">
        <v>57</v>
      </c>
      <c r="M256" t="str" cm="1">
        <f t="array" ref="M256">_xlfn.IFS(
L256&lt;=12,"Children",
L256&lt;=19,"Teens",
L256&lt;=29,"Young Adults",
L256&lt;=39,"Adults",
L256&lt;=59,"Middle-Aged",
L256&gt;=60,"Seniors"
)</f>
        <v>Middle-Aged</v>
      </c>
      <c r="N256" t="s">
        <v>20</v>
      </c>
    </row>
    <row r="257" spans="1:14" x14ac:dyDescent="0.3">
      <c r="A257">
        <v>20839</v>
      </c>
      <c r="B257" t="s">
        <v>40</v>
      </c>
      <c r="C257" t="s">
        <v>38</v>
      </c>
      <c r="D257" s="3">
        <v>30000</v>
      </c>
      <c r="E257">
        <v>3</v>
      </c>
      <c r="F257" t="s">
        <v>34</v>
      </c>
      <c r="G257" t="s">
        <v>22</v>
      </c>
      <c r="H257" t="s">
        <v>17</v>
      </c>
      <c r="I257">
        <v>0</v>
      </c>
      <c r="J257" t="s">
        <v>18</v>
      </c>
      <c r="K257" t="s">
        <v>19</v>
      </c>
      <c r="L257">
        <v>47</v>
      </c>
      <c r="M257" t="str" cm="1">
        <f t="array" ref="M257">_xlfn.IFS(
L257&lt;=12,"Children",
L257&lt;=19,"Teens",
L257&lt;=29,"Young Adults",
L257&lt;=39,"Adults",
L257&lt;=59,"Middle-Aged",
L257&gt;=60,"Seniors"
)</f>
        <v>Middle-Aged</v>
      </c>
      <c r="N257" t="s">
        <v>17</v>
      </c>
    </row>
    <row r="258" spans="1:14" x14ac:dyDescent="0.3">
      <c r="A258">
        <v>21738</v>
      </c>
      <c r="B258" t="s">
        <v>37</v>
      </c>
      <c r="C258" t="s">
        <v>39</v>
      </c>
      <c r="D258" s="3">
        <v>20000</v>
      </c>
      <c r="E258">
        <v>1</v>
      </c>
      <c r="F258" t="s">
        <v>34</v>
      </c>
      <c r="G258" t="s">
        <v>22</v>
      </c>
      <c r="H258" t="s">
        <v>17</v>
      </c>
      <c r="I258">
        <v>0</v>
      </c>
      <c r="J258" t="s">
        <v>18</v>
      </c>
      <c r="K258" t="s">
        <v>19</v>
      </c>
      <c r="L258">
        <v>43</v>
      </c>
      <c r="M258" t="str" cm="1">
        <f t="array" ref="M258">_xlfn.IFS(
L258&lt;=12,"Children",
L258&lt;=19,"Teens",
L258&lt;=29,"Young Adults",
L258&lt;=39,"Adults",
L258&lt;=59,"Middle-Aged",
L258&gt;=60,"Seniors"
)</f>
        <v>Middle-Aged</v>
      </c>
      <c r="N258" t="s">
        <v>20</v>
      </c>
    </row>
    <row r="259" spans="1:14" x14ac:dyDescent="0.3">
      <c r="A259">
        <v>14164</v>
      </c>
      <c r="B259" t="s">
        <v>40</v>
      </c>
      <c r="C259" t="s">
        <v>38</v>
      </c>
      <c r="D259" s="3">
        <v>50000</v>
      </c>
      <c r="E259">
        <v>0</v>
      </c>
      <c r="F259" t="s">
        <v>34</v>
      </c>
      <c r="G259" t="s">
        <v>16</v>
      </c>
      <c r="H259" t="s">
        <v>17</v>
      </c>
      <c r="I259">
        <v>0</v>
      </c>
      <c r="J259" t="s">
        <v>18</v>
      </c>
      <c r="K259" t="s">
        <v>19</v>
      </c>
      <c r="L259">
        <v>36</v>
      </c>
      <c r="M259" t="str" cm="1">
        <f t="array" ref="M259">_xlfn.IFS(
L259&lt;=12,"Children",
L259&lt;=19,"Teens",
L259&lt;=29,"Young Adults",
L259&lt;=39,"Adults",
L259&lt;=59,"Middle-Aged",
L259&gt;=60,"Seniors"
)</f>
        <v>Adults</v>
      </c>
      <c r="N259" t="s">
        <v>17</v>
      </c>
    </row>
    <row r="260" spans="1:14" x14ac:dyDescent="0.3">
      <c r="A260">
        <v>14193</v>
      </c>
      <c r="B260" t="s">
        <v>40</v>
      </c>
      <c r="C260" t="s">
        <v>38</v>
      </c>
      <c r="D260" s="3">
        <v>100000</v>
      </c>
      <c r="E260">
        <v>3</v>
      </c>
      <c r="F260" t="s">
        <v>21</v>
      </c>
      <c r="G260" t="s">
        <v>31</v>
      </c>
      <c r="H260" t="s">
        <v>17</v>
      </c>
      <c r="I260">
        <v>4</v>
      </c>
      <c r="J260" t="s">
        <v>41</v>
      </c>
      <c r="K260" t="s">
        <v>19</v>
      </c>
      <c r="L260">
        <v>56</v>
      </c>
      <c r="M260" t="str" cm="1">
        <f t="array" ref="M260">_xlfn.IFS(
L260&lt;=12,"Children",
L260&lt;=19,"Teens",
L260&lt;=29,"Young Adults",
L260&lt;=39,"Adults",
L260&lt;=59,"Middle-Aged",
L260&gt;=60,"Seniors"
)</f>
        <v>Middle-Aged</v>
      </c>
      <c r="N260" t="s">
        <v>20</v>
      </c>
    </row>
    <row r="261" spans="1:14" x14ac:dyDescent="0.3">
      <c r="A261">
        <v>12705</v>
      </c>
      <c r="B261" t="s">
        <v>37</v>
      </c>
      <c r="C261" t="s">
        <v>39</v>
      </c>
      <c r="D261" s="3">
        <v>150000</v>
      </c>
      <c r="E261">
        <v>0</v>
      </c>
      <c r="F261" t="s">
        <v>15</v>
      </c>
      <c r="G261" t="s">
        <v>31</v>
      </c>
      <c r="H261" t="s">
        <v>17</v>
      </c>
      <c r="I261">
        <v>4</v>
      </c>
      <c r="J261" t="s">
        <v>18</v>
      </c>
      <c r="K261" t="s">
        <v>27</v>
      </c>
      <c r="L261">
        <v>37</v>
      </c>
      <c r="M261" t="str" cm="1">
        <f t="array" ref="M261">_xlfn.IFS(
L261&lt;=12,"Children",
L261&lt;=19,"Teens",
L261&lt;=29,"Young Adults",
L261&lt;=39,"Adults",
L261&lt;=59,"Middle-Aged",
L261&gt;=60,"Seniors"
)</f>
        <v>Adults</v>
      </c>
      <c r="N261" t="s">
        <v>17</v>
      </c>
    </row>
    <row r="262" spans="1:14" x14ac:dyDescent="0.3">
      <c r="A262">
        <v>22672</v>
      </c>
      <c r="B262" t="s">
        <v>40</v>
      </c>
      <c r="C262" t="s">
        <v>38</v>
      </c>
      <c r="D262" s="3">
        <v>30000</v>
      </c>
      <c r="E262">
        <v>2</v>
      </c>
      <c r="F262" t="s">
        <v>21</v>
      </c>
      <c r="G262" t="s">
        <v>22</v>
      </c>
      <c r="H262" t="s">
        <v>17</v>
      </c>
      <c r="I262">
        <v>0</v>
      </c>
      <c r="J262" t="s">
        <v>18</v>
      </c>
      <c r="K262" t="s">
        <v>19</v>
      </c>
      <c r="L262">
        <v>43</v>
      </c>
      <c r="M262" t="str" cm="1">
        <f t="array" ref="M262">_xlfn.IFS(
L262&lt;=12,"Children",
L262&lt;=19,"Teens",
L262&lt;=29,"Young Adults",
L262&lt;=39,"Adults",
L262&lt;=59,"Middle-Aged",
L262&gt;=60,"Seniors"
)</f>
        <v>Middle-Aged</v>
      </c>
      <c r="N262" t="s">
        <v>20</v>
      </c>
    </row>
    <row r="263" spans="1:14" x14ac:dyDescent="0.3">
      <c r="A263">
        <v>26219</v>
      </c>
      <c r="B263" t="s">
        <v>37</v>
      </c>
      <c r="C263" t="s">
        <v>38</v>
      </c>
      <c r="D263" s="3">
        <v>40000</v>
      </c>
      <c r="E263">
        <v>1</v>
      </c>
      <c r="F263" t="s">
        <v>15</v>
      </c>
      <c r="G263" t="s">
        <v>16</v>
      </c>
      <c r="H263" t="s">
        <v>17</v>
      </c>
      <c r="I263">
        <v>1</v>
      </c>
      <c r="J263" t="s">
        <v>29</v>
      </c>
      <c r="K263" t="s">
        <v>19</v>
      </c>
      <c r="L263">
        <v>33</v>
      </c>
      <c r="M263" t="str" cm="1">
        <f t="array" ref="M263">_xlfn.IFS(
L263&lt;=12,"Children",
L263&lt;=19,"Teens",
L263&lt;=29,"Young Adults",
L263&lt;=39,"Adults",
L263&lt;=59,"Middle-Aged",
L263&gt;=60,"Seniors"
)</f>
        <v>Adults</v>
      </c>
      <c r="N263" t="s">
        <v>17</v>
      </c>
    </row>
    <row r="264" spans="1:14" x14ac:dyDescent="0.3">
      <c r="A264">
        <v>28468</v>
      </c>
      <c r="B264" t="s">
        <v>37</v>
      </c>
      <c r="C264" t="s">
        <v>38</v>
      </c>
      <c r="D264" s="3">
        <v>10000</v>
      </c>
      <c r="E264">
        <v>2</v>
      </c>
      <c r="F264" t="s">
        <v>21</v>
      </c>
      <c r="G264" t="s">
        <v>28</v>
      </c>
      <c r="H264" t="s">
        <v>17</v>
      </c>
      <c r="I264">
        <v>0</v>
      </c>
      <c r="J264" t="s">
        <v>29</v>
      </c>
      <c r="K264" t="s">
        <v>19</v>
      </c>
      <c r="L264">
        <v>51</v>
      </c>
      <c r="M264" t="str" cm="1">
        <f t="array" ref="M264">_xlfn.IFS(
L264&lt;=12,"Children",
L264&lt;=19,"Teens",
L264&lt;=29,"Young Adults",
L264&lt;=39,"Adults",
L264&lt;=59,"Middle-Aged",
L264&gt;=60,"Seniors"
)</f>
        <v>Middle-Aged</v>
      </c>
      <c r="N264" t="s">
        <v>20</v>
      </c>
    </row>
    <row r="265" spans="1:14" x14ac:dyDescent="0.3">
      <c r="A265">
        <v>23419</v>
      </c>
      <c r="B265" t="s">
        <v>40</v>
      </c>
      <c r="C265" t="s">
        <v>38</v>
      </c>
      <c r="D265" s="3">
        <v>70000</v>
      </c>
      <c r="E265">
        <v>5</v>
      </c>
      <c r="F265" t="s">
        <v>15</v>
      </c>
      <c r="G265" t="s">
        <v>23</v>
      </c>
      <c r="H265" t="s">
        <v>17</v>
      </c>
      <c r="I265">
        <v>3</v>
      </c>
      <c r="J265" t="s">
        <v>41</v>
      </c>
      <c r="K265" t="s">
        <v>27</v>
      </c>
      <c r="L265">
        <v>39</v>
      </c>
      <c r="M265" t="str" cm="1">
        <f t="array" ref="M265">_xlfn.IFS(
L265&lt;=12,"Children",
L265&lt;=19,"Teens",
L265&lt;=29,"Young Adults",
L265&lt;=39,"Adults",
L265&lt;=59,"Middle-Aged",
L265&gt;=60,"Seniors"
)</f>
        <v>Adults</v>
      </c>
      <c r="N265" t="s">
        <v>20</v>
      </c>
    </row>
    <row r="266" spans="1:14" x14ac:dyDescent="0.3">
      <c r="A266">
        <v>17964</v>
      </c>
      <c r="B266" t="s">
        <v>37</v>
      </c>
      <c r="C266" t="s">
        <v>39</v>
      </c>
      <c r="D266" s="3">
        <v>40000</v>
      </c>
      <c r="E266">
        <v>0</v>
      </c>
      <c r="F266" t="s">
        <v>34</v>
      </c>
      <c r="G266" t="s">
        <v>22</v>
      </c>
      <c r="H266" t="s">
        <v>17</v>
      </c>
      <c r="I266">
        <v>0</v>
      </c>
      <c r="J266" t="s">
        <v>18</v>
      </c>
      <c r="K266" t="s">
        <v>19</v>
      </c>
      <c r="L266">
        <v>37</v>
      </c>
      <c r="M266" t="str" cm="1">
        <f t="array" ref="M266">_xlfn.IFS(
L266&lt;=12,"Children",
L266&lt;=19,"Teens",
L266&lt;=29,"Young Adults",
L266&lt;=39,"Adults",
L266&lt;=59,"Middle-Aged",
L266&gt;=60,"Seniors"
)</f>
        <v>Adults</v>
      </c>
      <c r="N266" t="s">
        <v>17</v>
      </c>
    </row>
    <row r="267" spans="1:14" x14ac:dyDescent="0.3">
      <c r="A267">
        <v>20919</v>
      </c>
      <c r="B267" t="s">
        <v>40</v>
      </c>
      <c r="C267" t="s">
        <v>38</v>
      </c>
      <c r="D267" s="3">
        <v>30000</v>
      </c>
      <c r="E267">
        <v>2</v>
      </c>
      <c r="F267" t="s">
        <v>21</v>
      </c>
      <c r="G267" t="s">
        <v>22</v>
      </c>
      <c r="H267" t="s">
        <v>17</v>
      </c>
      <c r="I267">
        <v>2</v>
      </c>
      <c r="J267" t="s">
        <v>18</v>
      </c>
      <c r="K267" t="s">
        <v>19</v>
      </c>
      <c r="L267">
        <v>42</v>
      </c>
      <c r="M267" t="str" cm="1">
        <f t="array" ref="M267">_xlfn.IFS(
L267&lt;=12,"Children",
L267&lt;=19,"Teens",
L267&lt;=29,"Young Adults",
L267&lt;=39,"Adults",
L267&lt;=59,"Middle-Aged",
L267&gt;=60,"Seniors"
)</f>
        <v>Middle-Aged</v>
      </c>
      <c r="N267" t="s">
        <v>20</v>
      </c>
    </row>
    <row r="268" spans="1:14" x14ac:dyDescent="0.3">
      <c r="A268">
        <v>20927</v>
      </c>
      <c r="B268" t="s">
        <v>40</v>
      </c>
      <c r="C268" t="s">
        <v>38</v>
      </c>
      <c r="D268" s="3">
        <v>20000</v>
      </c>
      <c r="E268">
        <v>5</v>
      </c>
      <c r="F268" t="s">
        <v>30</v>
      </c>
      <c r="G268" t="s">
        <v>28</v>
      </c>
      <c r="H268" t="s">
        <v>17</v>
      </c>
      <c r="I268">
        <v>2</v>
      </c>
      <c r="J268" t="s">
        <v>18</v>
      </c>
      <c r="K268" t="s">
        <v>19</v>
      </c>
      <c r="L268">
        <v>27</v>
      </c>
      <c r="M268" t="str" cm="1">
        <f t="array" ref="M268">_xlfn.IFS(
L268&lt;=12,"Children",
L268&lt;=19,"Teens",
L268&lt;=29,"Young Adults",
L268&lt;=39,"Adults",
L268&lt;=59,"Middle-Aged",
L268&gt;=60,"Seniors"
)</f>
        <v>Young Adults</v>
      </c>
      <c r="N268" t="s">
        <v>20</v>
      </c>
    </row>
    <row r="269" spans="1:14" x14ac:dyDescent="0.3">
      <c r="A269">
        <v>13133</v>
      </c>
      <c r="B269" t="s">
        <v>40</v>
      </c>
      <c r="C269" t="s">
        <v>39</v>
      </c>
      <c r="D269" s="3">
        <v>100000</v>
      </c>
      <c r="E269">
        <v>5</v>
      </c>
      <c r="F269" t="s">
        <v>15</v>
      </c>
      <c r="G269" t="s">
        <v>23</v>
      </c>
      <c r="H269" t="s">
        <v>17</v>
      </c>
      <c r="I269">
        <v>1</v>
      </c>
      <c r="J269" t="s">
        <v>26</v>
      </c>
      <c r="K269" t="s">
        <v>27</v>
      </c>
      <c r="L269">
        <v>47</v>
      </c>
      <c r="M269" t="str" cm="1">
        <f t="array" ref="M269">_xlfn.IFS(
L269&lt;=12,"Children",
L269&lt;=19,"Teens",
L269&lt;=29,"Young Adults",
L269&lt;=39,"Adults",
L269&lt;=59,"Middle-Aged",
L269&gt;=60,"Seniors"
)</f>
        <v>Middle-Aged</v>
      </c>
      <c r="N269" t="s">
        <v>17</v>
      </c>
    </row>
    <row r="270" spans="1:14" x14ac:dyDescent="0.3">
      <c r="A270">
        <v>19626</v>
      </c>
      <c r="B270" t="s">
        <v>37</v>
      </c>
      <c r="C270" t="s">
        <v>39</v>
      </c>
      <c r="D270" s="3">
        <v>70000</v>
      </c>
      <c r="E270">
        <v>5</v>
      </c>
      <c r="F270" t="s">
        <v>21</v>
      </c>
      <c r="G270" t="s">
        <v>16</v>
      </c>
      <c r="H270" t="s">
        <v>17</v>
      </c>
      <c r="I270">
        <v>3</v>
      </c>
      <c r="J270" t="s">
        <v>26</v>
      </c>
      <c r="K270" t="s">
        <v>27</v>
      </c>
      <c r="L270">
        <v>45</v>
      </c>
      <c r="M270" t="str" cm="1">
        <f t="array" ref="M270">_xlfn.IFS(
L270&lt;=12,"Children",
L270&lt;=19,"Teens",
L270&lt;=29,"Young Adults",
L270&lt;=39,"Adults",
L270&lt;=59,"Middle-Aged",
L270&gt;=60,"Seniors"
)</f>
        <v>Middle-Aged</v>
      </c>
      <c r="N270" t="s">
        <v>20</v>
      </c>
    </row>
    <row r="271" spans="1:14" x14ac:dyDescent="0.3">
      <c r="A271">
        <v>21039</v>
      </c>
      <c r="B271" t="s">
        <v>40</v>
      </c>
      <c r="C271" t="s">
        <v>38</v>
      </c>
      <c r="D271" s="3">
        <v>50000</v>
      </c>
      <c r="E271">
        <v>0</v>
      </c>
      <c r="F271" t="s">
        <v>34</v>
      </c>
      <c r="G271" t="s">
        <v>16</v>
      </c>
      <c r="H271" t="s">
        <v>20</v>
      </c>
      <c r="I271">
        <v>0</v>
      </c>
      <c r="J271" t="s">
        <v>18</v>
      </c>
      <c r="K271" t="s">
        <v>19</v>
      </c>
      <c r="L271">
        <v>37</v>
      </c>
      <c r="M271" t="str" cm="1">
        <f t="array" ref="M271">_xlfn.IFS(
L271&lt;=12,"Children",
L271&lt;=19,"Teens",
L271&lt;=29,"Young Adults",
L271&lt;=39,"Adults",
L271&lt;=59,"Middle-Aged",
L271&gt;=60,"Seniors"
)</f>
        <v>Adults</v>
      </c>
      <c r="N271" t="s">
        <v>17</v>
      </c>
    </row>
    <row r="272" spans="1:14" x14ac:dyDescent="0.3">
      <c r="A272">
        <v>12231</v>
      </c>
      <c r="B272" t="s">
        <v>40</v>
      </c>
      <c r="C272" t="s">
        <v>38</v>
      </c>
      <c r="D272" s="3">
        <v>10000</v>
      </c>
      <c r="E272">
        <v>2</v>
      </c>
      <c r="F272" t="s">
        <v>21</v>
      </c>
      <c r="G272" t="s">
        <v>28</v>
      </c>
      <c r="H272" t="s">
        <v>17</v>
      </c>
      <c r="I272">
        <v>0</v>
      </c>
      <c r="J272" t="s">
        <v>18</v>
      </c>
      <c r="K272" t="s">
        <v>19</v>
      </c>
      <c r="L272">
        <v>51</v>
      </c>
      <c r="M272" t="str" cm="1">
        <f t="array" ref="M272">_xlfn.IFS(
L272&lt;=12,"Children",
L272&lt;=19,"Teens",
L272&lt;=29,"Young Adults",
L272&lt;=39,"Adults",
L272&lt;=59,"Middle-Aged",
L272&gt;=60,"Seniors"
)</f>
        <v>Middle-Aged</v>
      </c>
      <c r="N272" t="s">
        <v>17</v>
      </c>
    </row>
    <row r="273" spans="1:14" x14ac:dyDescent="0.3">
      <c r="A273">
        <v>25665</v>
      </c>
      <c r="B273" t="s">
        <v>40</v>
      </c>
      <c r="C273" t="s">
        <v>38</v>
      </c>
      <c r="D273" s="3">
        <v>20000</v>
      </c>
      <c r="E273">
        <v>0</v>
      </c>
      <c r="F273" t="s">
        <v>30</v>
      </c>
      <c r="G273" t="s">
        <v>28</v>
      </c>
      <c r="H273" t="s">
        <v>20</v>
      </c>
      <c r="I273">
        <v>1</v>
      </c>
      <c r="J273" t="s">
        <v>29</v>
      </c>
      <c r="K273" t="s">
        <v>19</v>
      </c>
      <c r="L273">
        <v>28</v>
      </c>
      <c r="M273" t="str" cm="1">
        <f t="array" ref="M273">_xlfn.IFS(
L273&lt;=12,"Children",
L273&lt;=19,"Teens",
L273&lt;=29,"Young Adults",
L273&lt;=39,"Adults",
L273&lt;=59,"Middle-Aged",
L273&gt;=60,"Seniors"
)</f>
        <v>Young Adults</v>
      </c>
      <c r="N273" t="s">
        <v>20</v>
      </c>
    </row>
    <row r="274" spans="1:14" x14ac:dyDescent="0.3">
      <c r="A274">
        <v>24061</v>
      </c>
      <c r="B274" t="s">
        <v>37</v>
      </c>
      <c r="C274" t="s">
        <v>39</v>
      </c>
      <c r="D274" s="3">
        <v>10000</v>
      </c>
      <c r="E274">
        <v>4</v>
      </c>
      <c r="F274" t="s">
        <v>32</v>
      </c>
      <c r="G274" t="s">
        <v>28</v>
      </c>
      <c r="H274" t="s">
        <v>17</v>
      </c>
      <c r="I274">
        <v>1</v>
      </c>
      <c r="J274" t="s">
        <v>18</v>
      </c>
      <c r="K274" t="s">
        <v>19</v>
      </c>
      <c r="L274">
        <v>40</v>
      </c>
      <c r="M274" t="str" cm="1">
        <f t="array" ref="M274">_xlfn.IFS(
L274&lt;=12,"Children",
L274&lt;=19,"Teens",
L274&lt;=29,"Young Adults",
L274&lt;=39,"Adults",
L274&lt;=59,"Middle-Aged",
L274&gt;=60,"Seniors"
)</f>
        <v>Middle-Aged</v>
      </c>
      <c r="N274" t="s">
        <v>17</v>
      </c>
    </row>
    <row r="275" spans="1:14" x14ac:dyDescent="0.3">
      <c r="A275">
        <v>26879</v>
      </c>
      <c r="B275" t="s">
        <v>40</v>
      </c>
      <c r="C275" t="s">
        <v>38</v>
      </c>
      <c r="D275" s="3">
        <v>20000</v>
      </c>
      <c r="E275">
        <v>0</v>
      </c>
      <c r="F275" t="s">
        <v>30</v>
      </c>
      <c r="G275" t="s">
        <v>28</v>
      </c>
      <c r="H275" t="s">
        <v>20</v>
      </c>
      <c r="I275">
        <v>1</v>
      </c>
      <c r="J275" t="s">
        <v>24</v>
      </c>
      <c r="K275" t="s">
        <v>19</v>
      </c>
      <c r="L275">
        <v>30</v>
      </c>
      <c r="M275" t="str" cm="1">
        <f t="array" ref="M275">_xlfn.IFS(
L275&lt;=12,"Children",
L275&lt;=19,"Teens",
L275&lt;=29,"Young Adults",
L275&lt;=39,"Adults",
L275&lt;=59,"Middle-Aged",
L275&gt;=60,"Seniors"
)</f>
        <v>Adults</v>
      </c>
      <c r="N275" t="s">
        <v>20</v>
      </c>
    </row>
    <row r="276" spans="1:14" x14ac:dyDescent="0.3">
      <c r="A276">
        <v>12284</v>
      </c>
      <c r="B276" t="s">
        <v>37</v>
      </c>
      <c r="C276" t="s">
        <v>38</v>
      </c>
      <c r="D276" s="3">
        <v>30000</v>
      </c>
      <c r="E276">
        <v>0</v>
      </c>
      <c r="F276" t="s">
        <v>15</v>
      </c>
      <c r="G276" t="s">
        <v>22</v>
      </c>
      <c r="H276" t="s">
        <v>20</v>
      </c>
      <c r="I276">
        <v>0</v>
      </c>
      <c r="J276" t="s">
        <v>18</v>
      </c>
      <c r="K276" t="s">
        <v>19</v>
      </c>
      <c r="L276">
        <v>36</v>
      </c>
      <c r="M276" t="str" cm="1">
        <f t="array" ref="M276">_xlfn.IFS(
L276&lt;=12,"Children",
L276&lt;=19,"Teens",
L276&lt;=29,"Young Adults",
L276&lt;=39,"Adults",
L276&lt;=59,"Middle-Aged",
L276&gt;=60,"Seniors"
)</f>
        <v>Adults</v>
      </c>
      <c r="N276" t="s">
        <v>17</v>
      </c>
    </row>
    <row r="277" spans="1:14" x14ac:dyDescent="0.3">
      <c r="A277">
        <v>26654</v>
      </c>
      <c r="B277" t="s">
        <v>37</v>
      </c>
      <c r="C277" t="s">
        <v>38</v>
      </c>
      <c r="D277" s="3">
        <v>90000</v>
      </c>
      <c r="E277">
        <v>1</v>
      </c>
      <c r="F277" t="s">
        <v>34</v>
      </c>
      <c r="G277" t="s">
        <v>31</v>
      </c>
      <c r="H277" t="s">
        <v>17</v>
      </c>
      <c r="I277">
        <v>0</v>
      </c>
      <c r="J277" t="s">
        <v>18</v>
      </c>
      <c r="K277" t="s">
        <v>27</v>
      </c>
      <c r="L277">
        <v>37</v>
      </c>
      <c r="M277" t="str" cm="1">
        <f t="array" ref="M277">_xlfn.IFS(
L277&lt;=12,"Children",
L277&lt;=19,"Teens",
L277&lt;=29,"Young Adults",
L277&lt;=39,"Adults",
L277&lt;=59,"Middle-Aged",
L277&gt;=60,"Seniors"
)</f>
        <v>Adults</v>
      </c>
      <c r="N277" t="s">
        <v>17</v>
      </c>
    </row>
    <row r="278" spans="1:14" x14ac:dyDescent="0.3">
      <c r="A278">
        <v>14545</v>
      </c>
      <c r="B278" t="s">
        <v>37</v>
      </c>
      <c r="C278" t="s">
        <v>38</v>
      </c>
      <c r="D278" s="3">
        <v>10000</v>
      </c>
      <c r="E278">
        <v>2</v>
      </c>
      <c r="F278" t="s">
        <v>21</v>
      </c>
      <c r="G278" t="s">
        <v>28</v>
      </c>
      <c r="H278" t="s">
        <v>17</v>
      </c>
      <c r="I278">
        <v>0</v>
      </c>
      <c r="J278" t="s">
        <v>29</v>
      </c>
      <c r="K278" t="s">
        <v>19</v>
      </c>
      <c r="L278">
        <v>49</v>
      </c>
      <c r="M278" t="str" cm="1">
        <f t="array" ref="M278">_xlfn.IFS(
L278&lt;=12,"Children",
L278&lt;=19,"Teens",
L278&lt;=29,"Young Adults",
L278&lt;=39,"Adults",
L278&lt;=59,"Middle-Aged",
L278&gt;=60,"Seniors"
)</f>
        <v>Middle-Aged</v>
      </c>
      <c r="N278" t="s">
        <v>20</v>
      </c>
    </row>
    <row r="279" spans="1:14" x14ac:dyDescent="0.3">
      <c r="A279">
        <v>24201</v>
      </c>
      <c r="B279" t="s">
        <v>37</v>
      </c>
      <c r="C279" t="s">
        <v>38</v>
      </c>
      <c r="D279" s="3">
        <v>10000</v>
      </c>
      <c r="E279">
        <v>2</v>
      </c>
      <c r="F279" t="s">
        <v>30</v>
      </c>
      <c r="G279" t="s">
        <v>28</v>
      </c>
      <c r="H279" t="s">
        <v>17</v>
      </c>
      <c r="I279">
        <v>0</v>
      </c>
      <c r="J279" t="s">
        <v>18</v>
      </c>
      <c r="K279" t="s">
        <v>19</v>
      </c>
      <c r="L279">
        <v>37</v>
      </c>
      <c r="M279" t="str" cm="1">
        <f t="array" ref="M279">_xlfn.IFS(
L279&lt;=12,"Children",
L279&lt;=19,"Teens",
L279&lt;=29,"Young Adults",
L279&lt;=39,"Adults",
L279&lt;=59,"Middle-Aged",
L279&gt;=60,"Seniors"
)</f>
        <v>Adults</v>
      </c>
      <c r="N279" t="s">
        <v>17</v>
      </c>
    </row>
    <row r="280" spans="1:14" x14ac:dyDescent="0.3">
      <c r="A280">
        <v>20625</v>
      </c>
      <c r="B280" t="s">
        <v>37</v>
      </c>
      <c r="C280" t="s">
        <v>39</v>
      </c>
      <c r="D280" s="3">
        <v>100000</v>
      </c>
      <c r="E280">
        <v>0</v>
      </c>
      <c r="F280" t="s">
        <v>30</v>
      </c>
      <c r="G280" t="s">
        <v>31</v>
      </c>
      <c r="H280" t="s">
        <v>17</v>
      </c>
      <c r="I280">
        <v>3</v>
      </c>
      <c r="J280" t="s">
        <v>41</v>
      </c>
      <c r="K280" t="s">
        <v>27</v>
      </c>
      <c r="L280">
        <v>35</v>
      </c>
      <c r="M280" t="str" cm="1">
        <f t="array" ref="M280">_xlfn.IFS(
L280&lt;=12,"Children",
L280&lt;=19,"Teens",
L280&lt;=29,"Young Adults",
L280&lt;=39,"Adults",
L280&lt;=59,"Middle-Aged",
L280&gt;=60,"Seniors"
)</f>
        <v>Adults</v>
      </c>
      <c r="N280" t="s">
        <v>17</v>
      </c>
    </row>
    <row r="281" spans="1:14" x14ac:dyDescent="0.3">
      <c r="A281">
        <v>16390</v>
      </c>
      <c r="B281" t="s">
        <v>40</v>
      </c>
      <c r="C281" t="s">
        <v>39</v>
      </c>
      <c r="D281" s="3">
        <v>30000</v>
      </c>
      <c r="E281">
        <v>1</v>
      </c>
      <c r="F281" t="s">
        <v>15</v>
      </c>
      <c r="G281" t="s">
        <v>22</v>
      </c>
      <c r="H281" t="s">
        <v>20</v>
      </c>
      <c r="I281">
        <v>0</v>
      </c>
      <c r="J281" t="s">
        <v>18</v>
      </c>
      <c r="K281" t="s">
        <v>19</v>
      </c>
      <c r="L281">
        <v>38</v>
      </c>
      <c r="M281" t="str" cm="1">
        <f t="array" ref="M281">_xlfn.IFS(
L281&lt;=12,"Children",
L281&lt;=19,"Teens",
L281&lt;=29,"Young Adults",
L281&lt;=39,"Adults",
L281&lt;=59,"Middle-Aged",
L281&gt;=60,"Seniors"
)</f>
        <v>Adults</v>
      </c>
      <c r="N281" t="s">
        <v>17</v>
      </c>
    </row>
    <row r="282" spans="1:14" x14ac:dyDescent="0.3">
      <c r="A282">
        <v>14804</v>
      </c>
      <c r="B282" t="s">
        <v>40</v>
      </c>
      <c r="C282" t="s">
        <v>38</v>
      </c>
      <c r="D282" s="3">
        <v>10000</v>
      </c>
      <c r="E282">
        <v>3</v>
      </c>
      <c r="F282" t="s">
        <v>32</v>
      </c>
      <c r="G282" t="s">
        <v>28</v>
      </c>
      <c r="H282" t="s">
        <v>17</v>
      </c>
      <c r="I282">
        <v>2</v>
      </c>
      <c r="J282" t="s">
        <v>18</v>
      </c>
      <c r="K282" t="s">
        <v>19</v>
      </c>
      <c r="L282">
        <v>43</v>
      </c>
      <c r="M282" t="str" cm="1">
        <f t="array" ref="M282">_xlfn.IFS(
L282&lt;=12,"Children",
L282&lt;=19,"Teens",
L282&lt;=29,"Young Adults",
L282&lt;=39,"Adults",
L282&lt;=59,"Middle-Aged",
L282&gt;=60,"Seniors"
)</f>
        <v>Middle-Aged</v>
      </c>
      <c r="N282" t="s">
        <v>20</v>
      </c>
    </row>
    <row r="283" spans="1:14" x14ac:dyDescent="0.3">
      <c r="A283">
        <v>12629</v>
      </c>
      <c r="B283" t="s">
        <v>40</v>
      </c>
      <c r="C283" t="s">
        <v>39</v>
      </c>
      <c r="D283" s="3">
        <v>20000</v>
      </c>
      <c r="E283">
        <v>1</v>
      </c>
      <c r="F283" t="s">
        <v>21</v>
      </c>
      <c r="G283" t="s">
        <v>28</v>
      </c>
      <c r="H283" t="s">
        <v>20</v>
      </c>
      <c r="I283">
        <v>0</v>
      </c>
      <c r="J283" t="s">
        <v>18</v>
      </c>
      <c r="K283" t="s">
        <v>19</v>
      </c>
      <c r="L283">
        <v>37</v>
      </c>
      <c r="M283" t="str" cm="1">
        <f t="array" ref="M283">_xlfn.IFS(
L283&lt;=12,"Children",
L283&lt;=19,"Teens",
L283&lt;=29,"Young Adults",
L283&lt;=39,"Adults",
L283&lt;=59,"Middle-Aged",
L283&gt;=60,"Seniors"
)</f>
        <v>Adults</v>
      </c>
      <c r="N283" t="s">
        <v>20</v>
      </c>
    </row>
    <row r="284" spans="1:14" x14ac:dyDescent="0.3">
      <c r="A284">
        <v>14696</v>
      </c>
      <c r="B284" t="s">
        <v>40</v>
      </c>
      <c r="C284" t="s">
        <v>39</v>
      </c>
      <c r="D284" s="3">
        <v>10000</v>
      </c>
      <c r="E284">
        <v>0</v>
      </c>
      <c r="F284" t="s">
        <v>32</v>
      </c>
      <c r="G284" t="s">
        <v>28</v>
      </c>
      <c r="H284" t="s">
        <v>20</v>
      </c>
      <c r="I284">
        <v>2</v>
      </c>
      <c r="J284" t="s">
        <v>18</v>
      </c>
      <c r="K284" t="s">
        <v>19</v>
      </c>
      <c r="L284">
        <v>34</v>
      </c>
      <c r="M284" t="str" cm="1">
        <f t="array" ref="M284">_xlfn.IFS(
L284&lt;=12,"Children",
L284&lt;=19,"Teens",
L284&lt;=29,"Young Adults",
L284&lt;=39,"Adults",
L284&lt;=59,"Middle-Aged",
L284&gt;=60,"Seniors"
)</f>
        <v>Adults</v>
      </c>
      <c r="N284" t="s">
        <v>20</v>
      </c>
    </row>
    <row r="285" spans="1:14" x14ac:dyDescent="0.3">
      <c r="A285">
        <v>22005</v>
      </c>
      <c r="B285" t="s">
        <v>37</v>
      </c>
      <c r="C285" t="s">
        <v>38</v>
      </c>
      <c r="D285" s="3">
        <v>70000</v>
      </c>
      <c r="E285">
        <v>5</v>
      </c>
      <c r="F285" t="s">
        <v>21</v>
      </c>
      <c r="G285" t="s">
        <v>16</v>
      </c>
      <c r="H285" t="s">
        <v>20</v>
      </c>
      <c r="I285">
        <v>3</v>
      </c>
      <c r="J285" t="s">
        <v>26</v>
      </c>
      <c r="K285" t="s">
        <v>27</v>
      </c>
      <c r="L285">
        <v>46</v>
      </c>
      <c r="M285" t="str" cm="1">
        <f t="array" ref="M285">_xlfn.IFS(
L285&lt;=12,"Children",
L285&lt;=19,"Teens",
L285&lt;=29,"Young Adults",
L285&lt;=39,"Adults",
L285&lt;=59,"Middle-Aged",
L285&gt;=60,"Seniors"
)</f>
        <v>Middle-Aged</v>
      </c>
      <c r="N285" t="s">
        <v>20</v>
      </c>
    </row>
    <row r="286" spans="1:14" x14ac:dyDescent="0.3">
      <c r="A286">
        <v>14544</v>
      </c>
      <c r="B286" t="s">
        <v>40</v>
      </c>
      <c r="C286" t="s">
        <v>39</v>
      </c>
      <c r="D286" s="3">
        <v>10000</v>
      </c>
      <c r="E286">
        <v>1</v>
      </c>
      <c r="F286" t="s">
        <v>21</v>
      </c>
      <c r="G286" t="s">
        <v>28</v>
      </c>
      <c r="H286" t="s">
        <v>17</v>
      </c>
      <c r="I286">
        <v>0</v>
      </c>
      <c r="J286" t="s">
        <v>18</v>
      </c>
      <c r="K286" t="s">
        <v>19</v>
      </c>
      <c r="L286">
        <v>49</v>
      </c>
      <c r="M286" t="str" cm="1">
        <f t="array" ref="M286">_xlfn.IFS(
L286&lt;=12,"Children",
L286&lt;=19,"Teens",
L286&lt;=29,"Young Adults",
L286&lt;=39,"Adults",
L286&lt;=59,"Middle-Aged",
L286&gt;=60,"Seniors"
)</f>
        <v>Middle-Aged</v>
      </c>
      <c r="N286" t="s">
        <v>20</v>
      </c>
    </row>
    <row r="287" spans="1:14" x14ac:dyDescent="0.3">
      <c r="A287">
        <v>14312</v>
      </c>
      <c r="B287" t="s">
        <v>37</v>
      </c>
      <c r="C287" t="s">
        <v>38</v>
      </c>
      <c r="D287" s="3">
        <v>60000</v>
      </c>
      <c r="E287">
        <v>1</v>
      </c>
      <c r="F287" t="s">
        <v>21</v>
      </c>
      <c r="G287" t="s">
        <v>16</v>
      </c>
      <c r="H287" t="s">
        <v>17</v>
      </c>
      <c r="I287">
        <v>1</v>
      </c>
      <c r="J287" t="s">
        <v>26</v>
      </c>
      <c r="K287" t="s">
        <v>27</v>
      </c>
      <c r="L287">
        <v>45</v>
      </c>
      <c r="M287" t="str" cm="1">
        <f t="array" ref="M287">_xlfn.IFS(
L287&lt;=12,"Children",
L287&lt;=19,"Teens",
L287&lt;=29,"Young Adults",
L287&lt;=39,"Adults",
L287&lt;=59,"Middle-Aged",
L287&gt;=60,"Seniors"
)</f>
        <v>Middle-Aged</v>
      </c>
      <c r="N287" t="s">
        <v>20</v>
      </c>
    </row>
    <row r="288" spans="1:14" x14ac:dyDescent="0.3">
      <c r="A288">
        <v>29120</v>
      </c>
      <c r="B288" t="s">
        <v>40</v>
      </c>
      <c r="C288" t="s">
        <v>38</v>
      </c>
      <c r="D288" s="3">
        <v>100000</v>
      </c>
      <c r="E288">
        <v>1</v>
      </c>
      <c r="F288" t="s">
        <v>15</v>
      </c>
      <c r="G288" t="s">
        <v>31</v>
      </c>
      <c r="H288" t="s">
        <v>17</v>
      </c>
      <c r="I288">
        <v>4</v>
      </c>
      <c r="J288" t="s">
        <v>24</v>
      </c>
      <c r="K288" t="s">
        <v>27</v>
      </c>
      <c r="L288">
        <v>48</v>
      </c>
      <c r="M288" t="str" cm="1">
        <f t="array" ref="M288">_xlfn.IFS(
L288&lt;=12,"Children",
L288&lt;=19,"Teens",
L288&lt;=29,"Young Adults",
L288&lt;=39,"Adults",
L288&lt;=59,"Middle-Aged",
L288&gt;=60,"Seniors"
)</f>
        <v>Middle-Aged</v>
      </c>
      <c r="N288" t="s">
        <v>20</v>
      </c>
    </row>
    <row r="289" spans="1:14" x14ac:dyDescent="0.3">
      <c r="A289">
        <v>24187</v>
      </c>
      <c r="B289" t="s">
        <v>40</v>
      </c>
      <c r="C289" t="s">
        <v>38</v>
      </c>
      <c r="D289" s="3">
        <v>30000</v>
      </c>
      <c r="E289">
        <v>3</v>
      </c>
      <c r="F289" t="s">
        <v>34</v>
      </c>
      <c r="G289" t="s">
        <v>22</v>
      </c>
      <c r="H289" t="s">
        <v>20</v>
      </c>
      <c r="I289">
        <v>0</v>
      </c>
      <c r="J289" t="s">
        <v>18</v>
      </c>
      <c r="K289" t="s">
        <v>19</v>
      </c>
      <c r="L289">
        <v>46</v>
      </c>
      <c r="M289" t="str" cm="1">
        <f t="array" ref="M289">_xlfn.IFS(
L289&lt;=12,"Children",
L289&lt;=19,"Teens",
L289&lt;=29,"Young Adults",
L289&lt;=39,"Adults",
L289&lt;=59,"Middle-Aged",
L289&gt;=60,"Seniors"
)</f>
        <v>Middle-Aged</v>
      </c>
      <c r="N289" t="s">
        <v>17</v>
      </c>
    </row>
    <row r="290" spans="1:14" x14ac:dyDescent="0.3">
      <c r="A290">
        <v>15758</v>
      </c>
      <c r="B290" t="s">
        <v>37</v>
      </c>
      <c r="C290" t="s">
        <v>39</v>
      </c>
      <c r="D290" s="3">
        <v>130000</v>
      </c>
      <c r="E290">
        <v>0</v>
      </c>
      <c r="F290" t="s">
        <v>34</v>
      </c>
      <c r="G290" t="s">
        <v>31</v>
      </c>
      <c r="H290" t="s">
        <v>17</v>
      </c>
      <c r="I290">
        <v>0</v>
      </c>
      <c r="J290" t="s">
        <v>26</v>
      </c>
      <c r="K290" t="s">
        <v>27</v>
      </c>
      <c r="L290">
        <v>48</v>
      </c>
      <c r="M290" t="str" cm="1">
        <f t="array" ref="M290">_xlfn.IFS(
L290&lt;=12,"Children",
L290&lt;=19,"Teens",
L290&lt;=29,"Young Adults",
L290&lt;=39,"Adults",
L290&lt;=59,"Middle-Aged",
L290&gt;=60,"Seniors"
)</f>
        <v>Middle-Aged</v>
      </c>
      <c r="N290" t="s">
        <v>20</v>
      </c>
    </row>
    <row r="291" spans="1:14" x14ac:dyDescent="0.3">
      <c r="A291">
        <v>29094</v>
      </c>
      <c r="B291" t="s">
        <v>37</v>
      </c>
      <c r="C291" t="s">
        <v>39</v>
      </c>
      <c r="D291" s="3">
        <v>30000</v>
      </c>
      <c r="E291">
        <v>3</v>
      </c>
      <c r="F291" t="s">
        <v>30</v>
      </c>
      <c r="G291" t="s">
        <v>16</v>
      </c>
      <c r="H291" t="s">
        <v>17</v>
      </c>
      <c r="I291">
        <v>2</v>
      </c>
      <c r="J291" t="s">
        <v>26</v>
      </c>
      <c r="K291" t="s">
        <v>27</v>
      </c>
      <c r="L291">
        <v>54</v>
      </c>
      <c r="M291" t="str" cm="1">
        <f t="array" ref="M291">_xlfn.IFS(
L291&lt;=12,"Children",
L291&lt;=19,"Teens",
L291&lt;=29,"Young Adults",
L291&lt;=39,"Adults",
L291&lt;=59,"Middle-Aged",
L291&gt;=60,"Seniors"
)</f>
        <v>Middle-Aged</v>
      </c>
      <c r="N291" t="s">
        <v>17</v>
      </c>
    </row>
    <row r="292" spans="1:14" x14ac:dyDescent="0.3">
      <c r="A292">
        <v>28319</v>
      </c>
      <c r="B292" t="s">
        <v>40</v>
      </c>
      <c r="C292" t="s">
        <v>38</v>
      </c>
      <c r="D292" s="3">
        <v>60000</v>
      </c>
      <c r="E292">
        <v>1</v>
      </c>
      <c r="F292" t="s">
        <v>21</v>
      </c>
      <c r="G292" t="s">
        <v>16</v>
      </c>
      <c r="H292" t="s">
        <v>20</v>
      </c>
      <c r="I292">
        <v>1</v>
      </c>
      <c r="J292" t="s">
        <v>18</v>
      </c>
      <c r="K292" t="s">
        <v>27</v>
      </c>
      <c r="L292">
        <v>46</v>
      </c>
      <c r="M292" t="str" cm="1">
        <f t="array" ref="M292">_xlfn.IFS(
L292&lt;=12,"Children",
L292&lt;=19,"Teens",
L292&lt;=29,"Young Adults",
L292&lt;=39,"Adults",
L292&lt;=59,"Middle-Aged",
L292&gt;=60,"Seniors"
)</f>
        <v>Middle-Aged</v>
      </c>
      <c r="N292" t="s">
        <v>17</v>
      </c>
    </row>
    <row r="293" spans="1:14" x14ac:dyDescent="0.3">
      <c r="A293">
        <v>16406</v>
      </c>
      <c r="B293" t="s">
        <v>37</v>
      </c>
      <c r="C293" t="s">
        <v>39</v>
      </c>
      <c r="D293" s="3">
        <v>40000</v>
      </c>
      <c r="E293">
        <v>0</v>
      </c>
      <c r="F293" t="s">
        <v>15</v>
      </c>
      <c r="G293" t="s">
        <v>22</v>
      </c>
      <c r="H293" t="s">
        <v>20</v>
      </c>
      <c r="I293">
        <v>0</v>
      </c>
      <c r="J293" t="s">
        <v>18</v>
      </c>
      <c r="K293" t="s">
        <v>19</v>
      </c>
      <c r="L293">
        <v>38</v>
      </c>
      <c r="M293" t="str" cm="1">
        <f t="array" ref="M293">_xlfn.IFS(
L293&lt;=12,"Children",
L293&lt;=19,"Teens",
L293&lt;=29,"Young Adults",
L293&lt;=39,"Adults",
L293&lt;=59,"Middle-Aged",
L293&gt;=60,"Seniors"
)</f>
        <v>Adults</v>
      </c>
      <c r="N293" t="s">
        <v>17</v>
      </c>
    </row>
    <row r="294" spans="1:14" x14ac:dyDescent="0.3">
      <c r="A294">
        <v>20923</v>
      </c>
      <c r="B294" t="s">
        <v>37</v>
      </c>
      <c r="C294" t="s">
        <v>38</v>
      </c>
      <c r="D294" s="3">
        <v>40000</v>
      </c>
      <c r="E294">
        <v>1</v>
      </c>
      <c r="F294" t="s">
        <v>15</v>
      </c>
      <c r="G294" t="s">
        <v>16</v>
      </c>
      <c r="H294" t="s">
        <v>17</v>
      </c>
      <c r="I294">
        <v>0</v>
      </c>
      <c r="J294" t="s">
        <v>18</v>
      </c>
      <c r="K294" t="s">
        <v>19</v>
      </c>
      <c r="L294">
        <v>42</v>
      </c>
      <c r="M294" t="str" cm="1">
        <f t="array" ref="M294">_xlfn.IFS(
L294&lt;=12,"Children",
L294&lt;=19,"Teens",
L294&lt;=29,"Young Adults",
L294&lt;=39,"Adults",
L294&lt;=59,"Middle-Aged",
L294&gt;=60,"Seniors"
)</f>
        <v>Middle-Aged</v>
      </c>
      <c r="N294" t="s">
        <v>17</v>
      </c>
    </row>
    <row r="295" spans="1:14" x14ac:dyDescent="0.3">
      <c r="A295">
        <v>11378</v>
      </c>
      <c r="B295" t="s">
        <v>40</v>
      </c>
      <c r="C295" t="s">
        <v>38</v>
      </c>
      <c r="D295" s="3">
        <v>10000</v>
      </c>
      <c r="E295">
        <v>1</v>
      </c>
      <c r="F295" t="s">
        <v>30</v>
      </c>
      <c r="G295" t="s">
        <v>28</v>
      </c>
      <c r="H295" t="s">
        <v>20</v>
      </c>
      <c r="I295">
        <v>1</v>
      </c>
      <c r="J295" t="s">
        <v>24</v>
      </c>
      <c r="K295" t="s">
        <v>19</v>
      </c>
      <c r="L295">
        <v>46</v>
      </c>
      <c r="M295" t="str" cm="1">
        <f t="array" ref="M295">_xlfn.IFS(
L295&lt;=12,"Children",
L295&lt;=19,"Teens",
L295&lt;=29,"Young Adults",
L295&lt;=39,"Adults",
L295&lt;=59,"Middle-Aged",
L295&gt;=60,"Seniors"
)</f>
        <v>Middle-Aged</v>
      </c>
      <c r="N295" t="s">
        <v>17</v>
      </c>
    </row>
    <row r="296" spans="1:14" x14ac:dyDescent="0.3">
      <c r="A296">
        <v>20851</v>
      </c>
      <c r="B296" t="s">
        <v>40</v>
      </c>
      <c r="C296" t="s">
        <v>39</v>
      </c>
      <c r="D296" s="3">
        <v>20000</v>
      </c>
      <c r="E296">
        <v>0</v>
      </c>
      <c r="F296" t="s">
        <v>21</v>
      </c>
      <c r="G296" t="s">
        <v>28</v>
      </c>
      <c r="H296" t="s">
        <v>20</v>
      </c>
      <c r="I296">
        <v>1</v>
      </c>
      <c r="J296" t="s">
        <v>24</v>
      </c>
      <c r="K296" t="s">
        <v>19</v>
      </c>
      <c r="L296">
        <v>36</v>
      </c>
      <c r="M296" t="str" cm="1">
        <f t="array" ref="M296">_xlfn.IFS(
L296&lt;=12,"Children",
L296&lt;=19,"Teens",
L296&lt;=29,"Young Adults",
L296&lt;=39,"Adults",
L296&lt;=59,"Middle-Aged",
L296&gt;=60,"Seniors"
)</f>
        <v>Adults</v>
      </c>
      <c r="N296" t="s">
        <v>17</v>
      </c>
    </row>
    <row r="297" spans="1:14" x14ac:dyDescent="0.3">
      <c r="A297">
        <v>21557</v>
      </c>
      <c r="B297" t="s">
        <v>40</v>
      </c>
      <c r="C297" t="s">
        <v>38</v>
      </c>
      <c r="D297" s="3">
        <v>110000</v>
      </c>
      <c r="E297">
        <v>0</v>
      </c>
      <c r="F297" t="s">
        <v>21</v>
      </c>
      <c r="G297" t="s">
        <v>31</v>
      </c>
      <c r="H297" t="s">
        <v>17</v>
      </c>
      <c r="I297">
        <v>3</v>
      </c>
      <c r="J297" t="s">
        <v>41</v>
      </c>
      <c r="K297" t="s">
        <v>27</v>
      </c>
      <c r="L297">
        <v>32</v>
      </c>
      <c r="M297" t="str" cm="1">
        <f t="array" ref="M297">_xlfn.IFS(
L297&lt;=12,"Children",
L297&lt;=19,"Teens",
L297&lt;=29,"Young Adults",
L297&lt;=39,"Adults",
L297&lt;=59,"Middle-Aged",
L297&gt;=60,"Seniors"
)</f>
        <v>Adults</v>
      </c>
      <c r="N297" t="s">
        <v>17</v>
      </c>
    </row>
    <row r="298" spans="1:14" x14ac:dyDescent="0.3">
      <c r="A298">
        <v>26663</v>
      </c>
      <c r="B298" t="s">
        <v>40</v>
      </c>
      <c r="C298" t="s">
        <v>38</v>
      </c>
      <c r="D298" s="3">
        <v>60000</v>
      </c>
      <c r="E298">
        <v>2</v>
      </c>
      <c r="F298" t="s">
        <v>15</v>
      </c>
      <c r="G298" t="s">
        <v>23</v>
      </c>
      <c r="H298" t="s">
        <v>20</v>
      </c>
      <c r="I298">
        <v>1</v>
      </c>
      <c r="J298" t="s">
        <v>18</v>
      </c>
      <c r="K298" t="s">
        <v>27</v>
      </c>
      <c r="L298">
        <v>39</v>
      </c>
      <c r="M298" t="str" cm="1">
        <f t="array" ref="M298">_xlfn.IFS(
L298&lt;=12,"Children",
L298&lt;=19,"Teens",
L298&lt;=29,"Young Adults",
L298&lt;=39,"Adults",
L298&lt;=59,"Middle-Aged",
L298&gt;=60,"Seniors"
)</f>
        <v>Adults</v>
      </c>
      <c r="N298" t="s">
        <v>17</v>
      </c>
    </row>
    <row r="299" spans="1:14" x14ac:dyDescent="0.3">
      <c r="A299">
        <v>11896</v>
      </c>
      <c r="B299" t="s">
        <v>37</v>
      </c>
      <c r="C299" t="s">
        <v>39</v>
      </c>
      <c r="D299" s="3">
        <v>100000</v>
      </c>
      <c r="E299">
        <v>1</v>
      </c>
      <c r="F299" t="s">
        <v>34</v>
      </c>
      <c r="G299" t="s">
        <v>31</v>
      </c>
      <c r="H299" t="s">
        <v>17</v>
      </c>
      <c r="I299">
        <v>0</v>
      </c>
      <c r="J299" t="s">
        <v>24</v>
      </c>
      <c r="K299" t="s">
        <v>27</v>
      </c>
      <c r="L299">
        <v>36</v>
      </c>
      <c r="M299" t="str" cm="1">
        <f t="array" ref="M299">_xlfn.IFS(
L299&lt;=12,"Children",
L299&lt;=19,"Teens",
L299&lt;=29,"Young Adults",
L299&lt;=39,"Adults",
L299&lt;=59,"Middle-Aged",
L299&gt;=60,"Seniors"
)</f>
        <v>Adults</v>
      </c>
      <c r="N299" t="s">
        <v>17</v>
      </c>
    </row>
    <row r="300" spans="1:14" x14ac:dyDescent="0.3">
      <c r="A300">
        <v>14189</v>
      </c>
      <c r="B300" t="s">
        <v>37</v>
      </c>
      <c r="C300" t="s">
        <v>38</v>
      </c>
      <c r="D300" s="3">
        <v>90000</v>
      </c>
      <c r="E300">
        <v>4</v>
      </c>
      <c r="F300" t="s">
        <v>30</v>
      </c>
      <c r="G300" t="s">
        <v>23</v>
      </c>
      <c r="H300" t="s">
        <v>20</v>
      </c>
      <c r="I300">
        <v>2</v>
      </c>
      <c r="J300" t="s">
        <v>24</v>
      </c>
      <c r="K300" t="s">
        <v>19</v>
      </c>
      <c r="L300">
        <v>54</v>
      </c>
      <c r="M300" t="str" cm="1">
        <f t="array" ref="M300">_xlfn.IFS(
L300&lt;=12,"Children",
L300&lt;=19,"Teens",
L300&lt;=29,"Young Adults",
L300&lt;=39,"Adults",
L300&lt;=59,"Middle-Aged",
L300&gt;=60,"Seniors"
)</f>
        <v>Middle-Aged</v>
      </c>
      <c r="N300" t="s">
        <v>17</v>
      </c>
    </row>
    <row r="301" spans="1:14" x14ac:dyDescent="0.3">
      <c r="A301">
        <v>13136</v>
      </c>
      <c r="B301" t="s">
        <v>37</v>
      </c>
      <c r="C301" t="s">
        <v>38</v>
      </c>
      <c r="D301" s="3">
        <v>30000</v>
      </c>
      <c r="E301">
        <v>2</v>
      </c>
      <c r="F301" t="s">
        <v>21</v>
      </c>
      <c r="G301" t="s">
        <v>22</v>
      </c>
      <c r="H301" t="s">
        <v>20</v>
      </c>
      <c r="I301">
        <v>2</v>
      </c>
      <c r="J301" t="s">
        <v>26</v>
      </c>
      <c r="K301" t="s">
        <v>27</v>
      </c>
      <c r="L301">
        <v>69</v>
      </c>
      <c r="M301" t="str" cm="1">
        <f t="array" ref="M301">_xlfn.IFS(
L301&lt;=12,"Children",
L301&lt;=19,"Teens",
L301&lt;=29,"Young Adults",
L301&lt;=39,"Adults",
L301&lt;=59,"Middle-Aged",
L301&gt;=60,"Seniors"
)</f>
        <v>Seniors</v>
      </c>
      <c r="N301" t="s">
        <v>20</v>
      </c>
    </row>
    <row r="302" spans="1:14" x14ac:dyDescent="0.3">
      <c r="A302">
        <v>25906</v>
      </c>
      <c r="B302" t="s">
        <v>40</v>
      </c>
      <c r="C302" t="s">
        <v>38</v>
      </c>
      <c r="D302" s="3">
        <v>10000</v>
      </c>
      <c r="E302">
        <v>5</v>
      </c>
      <c r="F302" t="s">
        <v>30</v>
      </c>
      <c r="G302" t="s">
        <v>16</v>
      </c>
      <c r="H302" t="s">
        <v>20</v>
      </c>
      <c r="I302">
        <v>2</v>
      </c>
      <c r="J302" t="s">
        <v>29</v>
      </c>
      <c r="K302" t="s">
        <v>27</v>
      </c>
      <c r="L302">
        <v>62</v>
      </c>
      <c r="M302" t="str" cm="1">
        <f t="array" ref="M302">_xlfn.IFS(
L302&lt;=12,"Children",
L302&lt;=19,"Teens",
L302&lt;=29,"Young Adults",
L302&lt;=39,"Adults",
L302&lt;=59,"Middle-Aged",
L302&gt;=60,"Seniors"
)</f>
        <v>Seniors</v>
      </c>
      <c r="N302" t="s">
        <v>20</v>
      </c>
    </row>
    <row r="303" spans="1:14" x14ac:dyDescent="0.3">
      <c r="A303">
        <v>17926</v>
      </c>
      <c r="B303" t="s">
        <v>40</v>
      </c>
      <c r="C303" t="s">
        <v>38</v>
      </c>
      <c r="D303" s="3">
        <v>40000</v>
      </c>
      <c r="E303">
        <v>0</v>
      </c>
      <c r="F303" t="s">
        <v>15</v>
      </c>
      <c r="G303" t="s">
        <v>22</v>
      </c>
      <c r="H303" t="s">
        <v>20</v>
      </c>
      <c r="I303">
        <v>0</v>
      </c>
      <c r="J303" t="s">
        <v>18</v>
      </c>
      <c r="K303" t="s">
        <v>27</v>
      </c>
      <c r="L303">
        <v>28</v>
      </c>
      <c r="M303" t="str" cm="1">
        <f t="array" ref="M303">_xlfn.IFS(
L303&lt;=12,"Children",
L303&lt;=19,"Teens",
L303&lt;=29,"Young Adults",
L303&lt;=39,"Adults",
L303&lt;=59,"Middle-Aged",
L303&gt;=60,"Seniors"
)</f>
        <v>Young Adults</v>
      </c>
      <c r="N303" t="s">
        <v>17</v>
      </c>
    </row>
    <row r="304" spans="1:14" x14ac:dyDescent="0.3">
      <c r="A304">
        <v>26928</v>
      </c>
      <c r="B304" t="s">
        <v>40</v>
      </c>
      <c r="C304" t="s">
        <v>39</v>
      </c>
      <c r="D304" s="3">
        <v>30000</v>
      </c>
      <c r="E304">
        <v>1</v>
      </c>
      <c r="F304" t="s">
        <v>15</v>
      </c>
      <c r="G304" t="s">
        <v>22</v>
      </c>
      <c r="H304" t="s">
        <v>17</v>
      </c>
      <c r="I304">
        <v>0</v>
      </c>
      <c r="J304" t="s">
        <v>18</v>
      </c>
      <c r="K304" t="s">
        <v>19</v>
      </c>
      <c r="L304">
        <v>62</v>
      </c>
      <c r="M304" t="str" cm="1">
        <f t="array" ref="M304">_xlfn.IFS(
L304&lt;=12,"Children",
L304&lt;=19,"Teens",
L304&lt;=29,"Young Adults",
L304&lt;=39,"Adults",
L304&lt;=59,"Middle-Aged",
L304&gt;=60,"Seniors"
)</f>
        <v>Seniors</v>
      </c>
      <c r="N304" t="s">
        <v>17</v>
      </c>
    </row>
    <row r="305" spans="1:14" x14ac:dyDescent="0.3">
      <c r="A305">
        <v>20897</v>
      </c>
      <c r="B305" t="s">
        <v>37</v>
      </c>
      <c r="C305" t="s">
        <v>38</v>
      </c>
      <c r="D305" s="3">
        <v>30000</v>
      </c>
      <c r="E305">
        <v>1</v>
      </c>
      <c r="F305" t="s">
        <v>15</v>
      </c>
      <c r="G305" t="s">
        <v>16</v>
      </c>
      <c r="H305" t="s">
        <v>17</v>
      </c>
      <c r="I305">
        <v>2</v>
      </c>
      <c r="J305" t="s">
        <v>18</v>
      </c>
      <c r="K305" t="s">
        <v>19</v>
      </c>
      <c r="L305">
        <v>40</v>
      </c>
      <c r="M305" t="str" cm="1">
        <f t="array" ref="M305">_xlfn.IFS(
L305&lt;=12,"Children",
L305&lt;=19,"Teens",
L305&lt;=29,"Young Adults",
L305&lt;=39,"Adults",
L305&lt;=59,"Middle-Aged",
L305&gt;=60,"Seniors"
)</f>
        <v>Middle-Aged</v>
      </c>
      <c r="N305" t="s">
        <v>20</v>
      </c>
    </row>
    <row r="306" spans="1:14" x14ac:dyDescent="0.3">
      <c r="A306">
        <v>28207</v>
      </c>
      <c r="B306" t="s">
        <v>37</v>
      </c>
      <c r="C306" t="s">
        <v>39</v>
      </c>
      <c r="D306" s="3">
        <v>80000</v>
      </c>
      <c r="E306">
        <v>4</v>
      </c>
      <c r="F306" t="s">
        <v>34</v>
      </c>
      <c r="G306" t="s">
        <v>31</v>
      </c>
      <c r="H306" t="s">
        <v>17</v>
      </c>
      <c r="I306">
        <v>1</v>
      </c>
      <c r="J306" t="s">
        <v>18</v>
      </c>
      <c r="K306" t="s">
        <v>27</v>
      </c>
      <c r="L306">
        <v>36</v>
      </c>
      <c r="M306" t="str" cm="1">
        <f t="array" ref="M306">_xlfn.IFS(
L306&lt;=12,"Children",
L306&lt;=19,"Teens",
L306&lt;=29,"Young Adults",
L306&lt;=39,"Adults",
L306&lt;=59,"Middle-Aged",
L306&gt;=60,"Seniors"
)</f>
        <v>Adults</v>
      </c>
      <c r="N306" t="s">
        <v>17</v>
      </c>
    </row>
    <row r="307" spans="1:14" x14ac:dyDescent="0.3">
      <c r="A307">
        <v>25923</v>
      </c>
      <c r="B307" t="s">
        <v>40</v>
      </c>
      <c r="C307" t="s">
        <v>39</v>
      </c>
      <c r="D307" s="3">
        <v>10000</v>
      </c>
      <c r="E307">
        <v>2</v>
      </c>
      <c r="F307" t="s">
        <v>32</v>
      </c>
      <c r="G307" t="s">
        <v>22</v>
      </c>
      <c r="H307" t="s">
        <v>17</v>
      </c>
      <c r="I307">
        <v>2</v>
      </c>
      <c r="J307" t="s">
        <v>26</v>
      </c>
      <c r="K307" t="s">
        <v>27</v>
      </c>
      <c r="L307">
        <v>58</v>
      </c>
      <c r="M307" t="str" cm="1">
        <f t="array" ref="M307">_xlfn.IFS(
L307&lt;=12,"Children",
L307&lt;=19,"Teens",
L307&lt;=29,"Young Adults",
L307&lt;=39,"Adults",
L307&lt;=59,"Middle-Aged",
L307&gt;=60,"Seniors"
)</f>
        <v>Middle-Aged</v>
      </c>
      <c r="N307" t="s">
        <v>20</v>
      </c>
    </row>
    <row r="308" spans="1:14" x14ac:dyDescent="0.3">
      <c r="A308">
        <v>11000</v>
      </c>
      <c r="B308" t="s">
        <v>37</v>
      </c>
      <c r="C308" t="s">
        <v>39</v>
      </c>
      <c r="D308" s="3">
        <v>90000</v>
      </c>
      <c r="E308">
        <v>2</v>
      </c>
      <c r="F308" t="s">
        <v>15</v>
      </c>
      <c r="G308" t="s">
        <v>23</v>
      </c>
      <c r="H308" t="s">
        <v>17</v>
      </c>
      <c r="I308">
        <v>0</v>
      </c>
      <c r="J308" t="s">
        <v>29</v>
      </c>
      <c r="K308" t="s">
        <v>27</v>
      </c>
      <c r="L308">
        <v>40</v>
      </c>
      <c r="M308" t="str" cm="1">
        <f t="array" ref="M308">_xlfn.IFS(
L308&lt;=12,"Children",
L308&lt;=19,"Teens",
L308&lt;=29,"Young Adults",
L308&lt;=39,"Adults",
L308&lt;=59,"Middle-Aged",
L308&gt;=60,"Seniors"
)</f>
        <v>Middle-Aged</v>
      </c>
      <c r="N308" t="s">
        <v>17</v>
      </c>
    </row>
    <row r="309" spans="1:14" x14ac:dyDescent="0.3">
      <c r="A309">
        <v>20974</v>
      </c>
      <c r="B309" t="s">
        <v>37</v>
      </c>
      <c r="C309" t="s">
        <v>39</v>
      </c>
      <c r="D309" s="3">
        <v>10000</v>
      </c>
      <c r="E309">
        <v>2</v>
      </c>
      <c r="F309" t="s">
        <v>15</v>
      </c>
      <c r="G309" t="s">
        <v>22</v>
      </c>
      <c r="H309" t="s">
        <v>17</v>
      </c>
      <c r="I309">
        <v>1</v>
      </c>
      <c r="J309" t="s">
        <v>18</v>
      </c>
      <c r="K309" t="s">
        <v>19</v>
      </c>
      <c r="L309">
        <v>66</v>
      </c>
      <c r="M309" t="str" cm="1">
        <f t="array" ref="M309">_xlfn.IFS(
L309&lt;=12,"Children",
L309&lt;=19,"Teens",
L309&lt;=29,"Young Adults",
L309&lt;=39,"Adults",
L309&lt;=59,"Middle-Aged",
L309&gt;=60,"Seniors"
)</f>
        <v>Seniors</v>
      </c>
      <c r="N309" t="s">
        <v>20</v>
      </c>
    </row>
    <row r="310" spans="1:14" x14ac:dyDescent="0.3">
      <c r="A310">
        <v>28758</v>
      </c>
      <c r="B310" t="s">
        <v>37</v>
      </c>
      <c r="C310" t="s">
        <v>39</v>
      </c>
      <c r="D310" s="3">
        <v>40000</v>
      </c>
      <c r="E310">
        <v>2</v>
      </c>
      <c r="F310" t="s">
        <v>21</v>
      </c>
      <c r="G310" t="s">
        <v>22</v>
      </c>
      <c r="H310" t="s">
        <v>17</v>
      </c>
      <c r="I310">
        <v>1</v>
      </c>
      <c r="J310" t="s">
        <v>29</v>
      </c>
      <c r="K310" t="s">
        <v>19</v>
      </c>
      <c r="L310">
        <v>35</v>
      </c>
      <c r="M310" t="str" cm="1">
        <f t="array" ref="M310">_xlfn.IFS(
L310&lt;=12,"Children",
L310&lt;=19,"Teens",
L310&lt;=29,"Young Adults",
L310&lt;=39,"Adults",
L310&lt;=59,"Middle-Aged",
L310&gt;=60,"Seniors"
)</f>
        <v>Adults</v>
      </c>
      <c r="N310" t="s">
        <v>17</v>
      </c>
    </row>
    <row r="311" spans="1:14" x14ac:dyDescent="0.3">
      <c r="A311">
        <v>11381</v>
      </c>
      <c r="B311" t="s">
        <v>37</v>
      </c>
      <c r="C311" t="s">
        <v>38</v>
      </c>
      <c r="D311" s="3">
        <v>20000</v>
      </c>
      <c r="E311">
        <v>2</v>
      </c>
      <c r="F311" t="s">
        <v>21</v>
      </c>
      <c r="G311" t="s">
        <v>28</v>
      </c>
      <c r="H311" t="s">
        <v>17</v>
      </c>
      <c r="I311">
        <v>1</v>
      </c>
      <c r="J311" t="s">
        <v>24</v>
      </c>
      <c r="K311" t="s">
        <v>19</v>
      </c>
      <c r="L311">
        <v>47</v>
      </c>
      <c r="M311" t="str" cm="1">
        <f t="array" ref="M311">_xlfn.IFS(
L311&lt;=12,"Children",
L311&lt;=19,"Teens",
L311&lt;=29,"Young Adults",
L311&lt;=39,"Adults",
L311&lt;=59,"Middle-Aged",
L311&gt;=60,"Seniors"
)</f>
        <v>Middle-Aged</v>
      </c>
      <c r="N311" t="s">
        <v>17</v>
      </c>
    </row>
    <row r="312" spans="1:14" x14ac:dyDescent="0.3">
      <c r="A312">
        <v>17522</v>
      </c>
      <c r="B312" t="s">
        <v>37</v>
      </c>
      <c r="C312" t="s">
        <v>39</v>
      </c>
      <c r="D312" s="3">
        <v>120000</v>
      </c>
      <c r="E312">
        <v>4</v>
      </c>
      <c r="F312" t="s">
        <v>15</v>
      </c>
      <c r="G312" t="s">
        <v>31</v>
      </c>
      <c r="H312" t="s">
        <v>17</v>
      </c>
      <c r="I312">
        <v>1</v>
      </c>
      <c r="J312" t="s">
        <v>24</v>
      </c>
      <c r="K312" t="s">
        <v>27</v>
      </c>
      <c r="L312">
        <v>47</v>
      </c>
      <c r="M312" t="str" cm="1">
        <f t="array" ref="M312">_xlfn.IFS(
L312&lt;=12,"Children",
L312&lt;=19,"Teens",
L312&lt;=29,"Young Adults",
L312&lt;=39,"Adults",
L312&lt;=59,"Middle-Aged",
L312&gt;=60,"Seniors"
)</f>
        <v>Middle-Aged</v>
      </c>
      <c r="N312" t="s">
        <v>20</v>
      </c>
    </row>
    <row r="313" spans="1:14" x14ac:dyDescent="0.3">
      <c r="A313">
        <v>21207</v>
      </c>
      <c r="B313" t="s">
        <v>37</v>
      </c>
      <c r="C313" t="s">
        <v>39</v>
      </c>
      <c r="D313" s="3">
        <v>60000</v>
      </c>
      <c r="E313">
        <v>1</v>
      </c>
      <c r="F313" t="s">
        <v>21</v>
      </c>
      <c r="G313" t="s">
        <v>16</v>
      </c>
      <c r="H313" t="s">
        <v>17</v>
      </c>
      <c r="I313">
        <v>1</v>
      </c>
      <c r="J313" t="s">
        <v>26</v>
      </c>
      <c r="K313" t="s">
        <v>27</v>
      </c>
      <c r="L313">
        <v>46</v>
      </c>
      <c r="M313" t="str" cm="1">
        <f t="array" ref="M313">_xlfn.IFS(
L313&lt;=12,"Children",
L313&lt;=19,"Teens",
L313&lt;=29,"Young Adults",
L313&lt;=39,"Adults",
L313&lt;=59,"Middle-Aged",
L313&gt;=60,"Seniors"
)</f>
        <v>Middle-Aged</v>
      </c>
      <c r="N313" t="s">
        <v>20</v>
      </c>
    </row>
    <row r="314" spans="1:14" x14ac:dyDescent="0.3">
      <c r="A314">
        <v>28102</v>
      </c>
      <c r="B314" t="s">
        <v>37</v>
      </c>
      <c r="C314" t="s">
        <v>39</v>
      </c>
      <c r="D314" s="3">
        <v>20000</v>
      </c>
      <c r="E314">
        <v>4</v>
      </c>
      <c r="F314" t="s">
        <v>30</v>
      </c>
      <c r="G314" t="s">
        <v>16</v>
      </c>
      <c r="H314" t="s">
        <v>17</v>
      </c>
      <c r="I314">
        <v>2</v>
      </c>
      <c r="J314" t="s">
        <v>26</v>
      </c>
      <c r="K314" t="s">
        <v>27</v>
      </c>
      <c r="L314">
        <v>58</v>
      </c>
      <c r="M314" t="str" cm="1">
        <f t="array" ref="M314">_xlfn.IFS(
L314&lt;=12,"Children",
L314&lt;=19,"Teens",
L314&lt;=29,"Young Adults",
L314&lt;=39,"Adults",
L314&lt;=59,"Middle-Aged",
L314&gt;=60,"Seniors"
)</f>
        <v>Middle-Aged</v>
      </c>
      <c r="N314" t="s">
        <v>17</v>
      </c>
    </row>
    <row r="315" spans="1:14" x14ac:dyDescent="0.3">
      <c r="A315">
        <v>23105</v>
      </c>
      <c r="B315" t="s">
        <v>40</v>
      </c>
      <c r="C315" t="s">
        <v>39</v>
      </c>
      <c r="D315" s="3">
        <v>40000</v>
      </c>
      <c r="E315">
        <v>3</v>
      </c>
      <c r="F315" t="s">
        <v>32</v>
      </c>
      <c r="G315" t="s">
        <v>22</v>
      </c>
      <c r="H315" t="s">
        <v>20</v>
      </c>
      <c r="I315">
        <v>2</v>
      </c>
      <c r="J315" t="s">
        <v>26</v>
      </c>
      <c r="K315" t="s">
        <v>27</v>
      </c>
      <c r="L315">
        <v>52</v>
      </c>
      <c r="M315" t="str" cm="1">
        <f t="array" ref="M315">_xlfn.IFS(
L315&lt;=12,"Children",
L315&lt;=19,"Teens",
L315&lt;=29,"Young Adults",
L315&lt;=39,"Adults",
L315&lt;=59,"Middle-Aged",
L315&gt;=60,"Seniors"
)</f>
        <v>Middle-Aged</v>
      </c>
      <c r="N315" t="s">
        <v>17</v>
      </c>
    </row>
    <row r="316" spans="1:14" x14ac:dyDescent="0.3">
      <c r="A316">
        <v>18740</v>
      </c>
      <c r="B316" t="s">
        <v>37</v>
      </c>
      <c r="C316" t="s">
        <v>39</v>
      </c>
      <c r="D316" s="3">
        <v>80000</v>
      </c>
      <c r="E316">
        <v>5</v>
      </c>
      <c r="F316" t="s">
        <v>15</v>
      </c>
      <c r="G316" t="s">
        <v>23</v>
      </c>
      <c r="H316" t="s">
        <v>20</v>
      </c>
      <c r="I316">
        <v>1</v>
      </c>
      <c r="J316" t="s">
        <v>18</v>
      </c>
      <c r="K316" t="s">
        <v>27</v>
      </c>
      <c r="L316">
        <v>47</v>
      </c>
      <c r="M316" t="str" cm="1">
        <f t="array" ref="M316">_xlfn.IFS(
L316&lt;=12,"Children",
L316&lt;=19,"Teens",
L316&lt;=29,"Young Adults",
L316&lt;=39,"Adults",
L316&lt;=59,"Middle-Aged",
L316&gt;=60,"Seniors"
)</f>
        <v>Middle-Aged</v>
      </c>
      <c r="N316" t="s">
        <v>17</v>
      </c>
    </row>
    <row r="317" spans="1:14" x14ac:dyDescent="0.3">
      <c r="A317">
        <v>21213</v>
      </c>
      <c r="B317" t="s">
        <v>40</v>
      </c>
      <c r="C317" t="s">
        <v>39</v>
      </c>
      <c r="D317" s="3">
        <v>70000</v>
      </c>
      <c r="E317">
        <v>0</v>
      </c>
      <c r="F317" t="s">
        <v>15</v>
      </c>
      <c r="G317" t="s">
        <v>23</v>
      </c>
      <c r="H317" t="s">
        <v>20</v>
      </c>
      <c r="I317">
        <v>1</v>
      </c>
      <c r="J317" t="s">
        <v>26</v>
      </c>
      <c r="K317" t="s">
        <v>27</v>
      </c>
      <c r="L317">
        <v>41</v>
      </c>
      <c r="M317" t="str" cm="1">
        <f t="array" ref="M317">_xlfn.IFS(
L317&lt;=12,"Children",
L317&lt;=19,"Teens",
L317&lt;=29,"Young Adults",
L317&lt;=39,"Adults",
L317&lt;=59,"Middle-Aged",
L317&gt;=60,"Seniors"
)</f>
        <v>Middle-Aged</v>
      </c>
      <c r="N317" t="s">
        <v>20</v>
      </c>
    </row>
    <row r="318" spans="1:14" x14ac:dyDescent="0.3">
      <c r="A318">
        <v>17352</v>
      </c>
      <c r="B318" t="s">
        <v>37</v>
      </c>
      <c r="C318" t="s">
        <v>39</v>
      </c>
      <c r="D318" s="3">
        <v>50000</v>
      </c>
      <c r="E318">
        <v>2</v>
      </c>
      <c r="F318" t="s">
        <v>34</v>
      </c>
      <c r="G318" t="s">
        <v>31</v>
      </c>
      <c r="H318" t="s">
        <v>17</v>
      </c>
      <c r="I318">
        <v>1</v>
      </c>
      <c r="J318" t="s">
        <v>26</v>
      </c>
      <c r="K318" t="s">
        <v>27</v>
      </c>
      <c r="L318">
        <v>64</v>
      </c>
      <c r="M318" t="str" cm="1">
        <f t="array" ref="M318">_xlfn.IFS(
L318&lt;=12,"Children",
L318&lt;=19,"Teens",
L318&lt;=29,"Young Adults",
L318&lt;=39,"Adults",
L318&lt;=59,"Middle-Aged",
L318&gt;=60,"Seniors"
)</f>
        <v>Seniors</v>
      </c>
      <c r="N318" t="s">
        <v>17</v>
      </c>
    </row>
    <row r="319" spans="1:14" x14ac:dyDescent="0.3">
      <c r="A319">
        <v>14154</v>
      </c>
      <c r="B319" t="s">
        <v>37</v>
      </c>
      <c r="C319" t="s">
        <v>39</v>
      </c>
      <c r="D319" s="3">
        <v>30000</v>
      </c>
      <c r="E319">
        <v>0</v>
      </c>
      <c r="F319" t="s">
        <v>15</v>
      </c>
      <c r="G319" t="s">
        <v>22</v>
      </c>
      <c r="H319" t="s">
        <v>17</v>
      </c>
      <c r="I319">
        <v>0</v>
      </c>
      <c r="J319" t="s">
        <v>18</v>
      </c>
      <c r="K319" t="s">
        <v>19</v>
      </c>
      <c r="L319">
        <v>35</v>
      </c>
      <c r="M319" t="str" cm="1">
        <f t="array" ref="M319">_xlfn.IFS(
L319&lt;=12,"Children",
L319&lt;=19,"Teens",
L319&lt;=29,"Young Adults",
L319&lt;=39,"Adults",
L319&lt;=59,"Middle-Aged",
L319&gt;=60,"Seniors"
)</f>
        <v>Adults</v>
      </c>
      <c r="N319" t="s">
        <v>17</v>
      </c>
    </row>
    <row r="320" spans="1:14" x14ac:dyDescent="0.3">
      <c r="A320">
        <v>19066</v>
      </c>
      <c r="B320" t="s">
        <v>37</v>
      </c>
      <c r="C320" t="s">
        <v>39</v>
      </c>
      <c r="D320" s="3">
        <v>130000</v>
      </c>
      <c r="E320">
        <v>4</v>
      </c>
      <c r="F320" t="s">
        <v>21</v>
      </c>
      <c r="G320" t="s">
        <v>23</v>
      </c>
      <c r="H320" t="s">
        <v>20</v>
      </c>
      <c r="I320">
        <v>3</v>
      </c>
      <c r="J320" t="s">
        <v>41</v>
      </c>
      <c r="K320" t="s">
        <v>19</v>
      </c>
      <c r="L320">
        <v>54</v>
      </c>
      <c r="M320" t="str" cm="1">
        <f t="array" ref="M320">_xlfn.IFS(
L320&lt;=12,"Children",
L320&lt;=19,"Teens",
L320&lt;=29,"Young Adults",
L320&lt;=39,"Adults",
L320&lt;=59,"Middle-Aged",
L320&gt;=60,"Seniors"
)</f>
        <v>Middle-Aged</v>
      </c>
      <c r="N320" t="s">
        <v>20</v>
      </c>
    </row>
    <row r="321" spans="1:14" x14ac:dyDescent="0.3">
      <c r="A321">
        <v>11386</v>
      </c>
      <c r="B321" t="s">
        <v>37</v>
      </c>
      <c r="C321" t="s">
        <v>38</v>
      </c>
      <c r="D321" s="3">
        <v>30000</v>
      </c>
      <c r="E321">
        <v>3</v>
      </c>
      <c r="F321" t="s">
        <v>15</v>
      </c>
      <c r="G321" t="s">
        <v>22</v>
      </c>
      <c r="H321" t="s">
        <v>17</v>
      </c>
      <c r="I321">
        <v>0</v>
      </c>
      <c r="J321" t="s">
        <v>18</v>
      </c>
      <c r="K321" t="s">
        <v>19</v>
      </c>
      <c r="L321">
        <v>45</v>
      </c>
      <c r="M321" t="str" cm="1">
        <f t="array" ref="M321">_xlfn.IFS(
L321&lt;=12,"Children",
L321&lt;=19,"Teens",
L321&lt;=29,"Young Adults",
L321&lt;=39,"Adults",
L321&lt;=59,"Middle-Aged",
L321&gt;=60,"Seniors"
)</f>
        <v>Middle-Aged</v>
      </c>
      <c r="N321" t="s">
        <v>20</v>
      </c>
    </row>
    <row r="322" spans="1:14" x14ac:dyDescent="0.3">
      <c r="A322">
        <v>20228</v>
      </c>
      <c r="B322" t="s">
        <v>37</v>
      </c>
      <c r="C322" t="s">
        <v>39</v>
      </c>
      <c r="D322" s="3">
        <v>100000</v>
      </c>
      <c r="E322">
        <v>0</v>
      </c>
      <c r="F322" t="s">
        <v>34</v>
      </c>
      <c r="G322" t="s">
        <v>31</v>
      </c>
      <c r="H322" t="s">
        <v>17</v>
      </c>
      <c r="I322">
        <v>0</v>
      </c>
      <c r="J322" t="s">
        <v>24</v>
      </c>
      <c r="K322" t="s">
        <v>27</v>
      </c>
      <c r="L322">
        <v>40</v>
      </c>
      <c r="M322" t="str" cm="1">
        <f t="array" ref="M322">_xlfn.IFS(
L322&lt;=12,"Children",
L322&lt;=19,"Teens",
L322&lt;=29,"Young Adults",
L322&lt;=39,"Adults",
L322&lt;=59,"Middle-Aged",
L322&gt;=60,"Seniors"
)</f>
        <v>Middle-Aged</v>
      </c>
      <c r="N322" t="s">
        <v>17</v>
      </c>
    </row>
    <row r="323" spans="1:14" x14ac:dyDescent="0.3">
      <c r="A323">
        <v>16675</v>
      </c>
      <c r="B323" t="s">
        <v>40</v>
      </c>
      <c r="C323" t="s">
        <v>38</v>
      </c>
      <c r="D323" s="3">
        <v>160000</v>
      </c>
      <c r="E323">
        <v>0</v>
      </c>
      <c r="F323" t="s">
        <v>34</v>
      </c>
      <c r="G323" t="s">
        <v>31</v>
      </c>
      <c r="H323" t="s">
        <v>20</v>
      </c>
      <c r="I323">
        <v>3</v>
      </c>
      <c r="J323" t="s">
        <v>18</v>
      </c>
      <c r="K323" t="s">
        <v>27</v>
      </c>
      <c r="L323">
        <v>47</v>
      </c>
      <c r="M323" t="str" cm="1">
        <f t="array" ref="M323">_xlfn.IFS(
L323&lt;=12,"Children",
L323&lt;=19,"Teens",
L323&lt;=29,"Young Adults",
L323&lt;=39,"Adults",
L323&lt;=59,"Middle-Aged",
L323&gt;=60,"Seniors"
)</f>
        <v>Middle-Aged</v>
      </c>
      <c r="N323" t="s">
        <v>17</v>
      </c>
    </row>
    <row r="324" spans="1:14" x14ac:dyDescent="0.3">
      <c r="A324">
        <v>16410</v>
      </c>
      <c r="B324" t="s">
        <v>40</v>
      </c>
      <c r="C324" t="s">
        <v>38</v>
      </c>
      <c r="D324" s="3">
        <v>10000</v>
      </c>
      <c r="E324">
        <v>4</v>
      </c>
      <c r="F324" t="s">
        <v>32</v>
      </c>
      <c r="G324" t="s">
        <v>28</v>
      </c>
      <c r="H324" t="s">
        <v>17</v>
      </c>
      <c r="I324">
        <v>2</v>
      </c>
      <c r="J324" t="s">
        <v>18</v>
      </c>
      <c r="K324" t="s">
        <v>19</v>
      </c>
      <c r="L324">
        <v>41</v>
      </c>
      <c r="M324" t="str" cm="1">
        <f t="array" ref="M324">_xlfn.IFS(
L324&lt;=12,"Children",
L324&lt;=19,"Teens",
L324&lt;=29,"Young Adults",
L324&lt;=39,"Adults",
L324&lt;=59,"Middle-Aged",
L324&gt;=60,"Seniors"
)</f>
        <v>Middle-Aged</v>
      </c>
      <c r="N324" t="s">
        <v>17</v>
      </c>
    </row>
    <row r="325" spans="1:14" x14ac:dyDescent="0.3">
      <c r="A325">
        <v>27760</v>
      </c>
      <c r="B325" t="s">
        <v>40</v>
      </c>
      <c r="C325" t="s">
        <v>38</v>
      </c>
      <c r="D325" s="3">
        <v>40000</v>
      </c>
      <c r="E325">
        <v>0</v>
      </c>
      <c r="F325" t="s">
        <v>34</v>
      </c>
      <c r="G325" t="s">
        <v>22</v>
      </c>
      <c r="H325" t="s">
        <v>20</v>
      </c>
      <c r="I325">
        <v>0</v>
      </c>
      <c r="J325" t="s">
        <v>18</v>
      </c>
      <c r="K325" t="s">
        <v>19</v>
      </c>
      <c r="L325">
        <v>37</v>
      </c>
      <c r="M325" t="str" cm="1">
        <f t="array" ref="M325">_xlfn.IFS(
L325&lt;=12,"Children",
L325&lt;=19,"Teens",
L325&lt;=29,"Young Adults",
L325&lt;=39,"Adults",
L325&lt;=59,"Middle-Aged",
L325&gt;=60,"Seniors"
)</f>
        <v>Adults</v>
      </c>
      <c r="N325" t="s">
        <v>17</v>
      </c>
    </row>
    <row r="326" spans="1:14" x14ac:dyDescent="0.3">
      <c r="A326">
        <v>22930</v>
      </c>
      <c r="B326" t="s">
        <v>37</v>
      </c>
      <c r="C326" t="s">
        <v>39</v>
      </c>
      <c r="D326" s="3">
        <v>90000</v>
      </c>
      <c r="E326">
        <v>4</v>
      </c>
      <c r="F326" t="s">
        <v>15</v>
      </c>
      <c r="G326" t="s">
        <v>23</v>
      </c>
      <c r="H326" t="s">
        <v>17</v>
      </c>
      <c r="I326">
        <v>0</v>
      </c>
      <c r="J326" t="s">
        <v>29</v>
      </c>
      <c r="K326" t="s">
        <v>27</v>
      </c>
      <c r="L326">
        <v>38</v>
      </c>
      <c r="M326" t="str" cm="1">
        <f t="array" ref="M326">_xlfn.IFS(
L326&lt;=12,"Children",
L326&lt;=19,"Teens",
L326&lt;=29,"Young Adults",
L326&lt;=39,"Adults",
L326&lt;=59,"Middle-Aged",
L326&gt;=60,"Seniors"
)</f>
        <v>Adults</v>
      </c>
      <c r="N326" t="s">
        <v>17</v>
      </c>
    </row>
    <row r="327" spans="1:14" x14ac:dyDescent="0.3">
      <c r="A327">
        <v>23780</v>
      </c>
      <c r="B327" t="s">
        <v>40</v>
      </c>
      <c r="C327" t="s">
        <v>39</v>
      </c>
      <c r="D327" s="3">
        <v>40000</v>
      </c>
      <c r="E327">
        <v>2</v>
      </c>
      <c r="F327" t="s">
        <v>21</v>
      </c>
      <c r="G327" t="s">
        <v>22</v>
      </c>
      <c r="H327" t="s">
        <v>20</v>
      </c>
      <c r="I327">
        <v>2</v>
      </c>
      <c r="J327" t="s">
        <v>18</v>
      </c>
      <c r="K327" t="s">
        <v>19</v>
      </c>
      <c r="L327">
        <v>36</v>
      </c>
      <c r="M327" t="str" cm="1">
        <f t="array" ref="M327">_xlfn.IFS(
L327&lt;=12,"Children",
L327&lt;=19,"Teens",
L327&lt;=29,"Young Adults",
L327&lt;=39,"Adults",
L327&lt;=59,"Middle-Aged",
L327&gt;=60,"Seniors"
)</f>
        <v>Adults</v>
      </c>
      <c r="N327" t="s">
        <v>17</v>
      </c>
    </row>
    <row r="328" spans="1:14" x14ac:dyDescent="0.3">
      <c r="A328">
        <v>20994</v>
      </c>
      <c r="B328" t="s">
        <v>37</v>
      </c>
      <c r="C328" t="s">
        <v>38</v>
      </c>
      <c r="D328" s="3">
        <v>20000</v>
      </c>
      <c r="E328">
        <v>0</v>
      </c>
      <c r="F328" t="s">
        <v>15</v>
      </c>
      <c r="G328" t="s">
        <v>22</v>
      </c>
      <c r="H328" t="s">
        <v>20</v>
      </c>
      <c r="I328">
        <v>0</v>
      </c>
      <c r="J328" t="s">
        <v>18</v>
      </c>
      <c r="K328" t="s">
        <v>27</v>
      </c>
      <c r="L328">
        <v>26</v>
      </c>
      <c r="M328" t="str" cm="1">
        <f t="array" ref="M328">_xlfn.IFS(
L328&lt;=12,"Children",
L328&lt;=19,"Teens",
L328&lt;=29,"Young Adults",
L328&lt;=39,"Adults",
L328&lt;=59,"Middle-Aged",
L328&gt;=60,"Seniors"
)</f>
        <v>Young Adults</v>
      </c>
      <c r="N328" t="s">
        <v>17</v>
      </c>
    </row>
    <row r="329" spans="1:14" x14ac:dyDescent="0.3">
      <c r="A329">
        <v>28379</v>
      </c>
      <c r="B329" t="s">
        <v>37</v>
      </c>
      <c r="C329" t="s">
        <v>39</v>
      </c>
      <c r="D329" s="3">
        <v>30000</v>
      </c>
      <c r="E329">
        <v>1</v>
      </c>
      <c r="F329" t="s">
        <v>15</v>
      </c>
      <c r="G329" t="s">
        <v>16</v>
      </c>
      <c r="H329" t="s">
        <v>17</v>
      </c>
      <c r="I329">
        <v>2</v>
      </c>
      <c r="J329" t="s">
        <v>18</v>
      </c>
      <c r="K329" t="s">
        <v>19</v>
      </c>
      <c r="L329">
        <v>40</v>
      </c>
      <c r="M329" t="str" cm="1">
        <f t="array" ref="M329">_xlfn.IFS(
L329&lt;=12,"Children",
L329&lt;=19,"Teens",
L329&lt;=29,"Young Adults",
L329&lt;=39,"Adults",
L329&lt;=59,"Middle-Aged",
L329&gt;=60,"Seniors"
)</f>
        <v>Middle-Aged</v>
      </c>
      <c r="N329" t="s">
        <v>20</v>
      </c>
    </row>
    <row r="330" spans="1:14" x14ac:dyDescent="0.3">
      <c r="A330">
        <v>14865</v>
      </c>
      <c r="B330" t="s">
        <v>40</v>
      </c>
      <c r="C330" t="s">
        <v>39</v>
      </c>
      <c r="D330" s="3">
        <v>40000</v>
      </c>
      <c r="E330">
        <v>2</v>
      </c>
      <c r="F330" t="s">
        <v>21</v>
      </c>
      <c r="G330" t="s">
        <v>22</v>
      </c>
      <c r="H330" t="s">
        <v>17</v>
      </c>
      <c r="I330">
        <v>2</v>
      </c>
      <c r="J330" t="s">
        <v>29</v>
      </c>
      <c r="K330" t="s">
        <v>19</v>
      </c>
      <c r="L330">
        <v>36</v>
      </c>
      <c r="M330" t="str" cm="1">
        <f t="array" ref="M330">_xlfn.IFS(
L330&lt;=12,"Children",
L330&lt;=19,"Teens",
L330&lt;=29,"Young Adults",
L330&lt;=39,"Adults",
L330&lt;=59,"Middle-Aged",
L330&gt;=60,"Seniors"
)</f>
        <v>Adults</v>
      </c>
      <c r="N330" t="s">
        <v>20</v>
      </c>
    </row>
    <row r="331" spans="1:14" x14ac:dyDescent="0.3">
      <c r="A331">
        <v>12663</v>
      </c>
      <c r="B331" t="s">
        <v>37</v>
      </c>
      <c r="C331" t="s">
        <v>38</v>
      </c>
      <c r="D331" s="3">
        <v>90000</v>
      </c>
      <c r="E331">
        <v>5</v>
      </c>
      <c r="F331" t="s">
        <v>32</v>
      </c>
      <c r="G331" t="s">
        <v>16</v>
      </c>
      <c r="H331" t="s">
        <v>17</v>
      </c>
      <c r="I331">
        <v>2</v>
      </c>
      <c r="J331" t="s">
        <v>41</v>
      </c>
      <c r="K331" t="s">
        <v>19</v>
      </c>
      <c r="L331">
        <v>59</v>
      </c>
      <c r="M331" t="str" cm="1">
        <f t="array" ref="M331">_xlfn.IFS(
L331&lt;=12,"Children",
L331&lt;=19,"Teens",
L331&lt;=29,"Young Adults",
L331&lt;=39,"Adults",
L331&lt;=59,"Middle-Aged",
L331&gt;=60,"Seniors"
)</f>
        <v>Middle-Aged</v>
      </c>
      <c r="N331" t="s">
        <v>20</v>
      </c>
    </row>
    <row r="332" spans="1:14" x14ac:dyDescent="0.3">
      <c r="A332">
        <v>24898</v>
      </c>
      <c r="B332" t="s">
        <v>40</v>
      </c>
      <c r="C332" t="s">
        <v>38</v>
      </c>
      <c r="D332" s="3">
        <v>80000</v>
      </c>
      <c r="E332">
        <v>0</v>
      </c>
      <c r="F332" t="s">
        <v>15</v>
      </c>
      <c r="G332" t="s">
        <v>23</v>
      </c>
      <c r="H332" t="s">
        <v>17</v>
      </c>
      <c r="I332">
        <v>3</v>
      </c>
      <c r="J332" t="s">
        <v>41</v>
      </c>
      <c r="K332" t="s">
        <v>27</v>
      </c>
      <c r="L332">
        <v>32</v>
      </c>
      <c r="M332" t="str" cm="1">
        <f t="array" ref="M332">_xlfn.IFS(
L332&lt;=12,"Children",
L332&lt;=19,"Teens",
L332&lt;=29,"Young Adults",
L332&lt;=39,"Adults",
L332&lt;=59,"Middle-Aged",
L332&gt;=60,"Seniors"
)</f>
        <v>Adults</v>
      </c>
      <c r="N332" t="s">
        <v>20</v>
      </c>
    </row>
    <row r="333" spans="1:14" x14ac:dyDescent="0.3">
      <c r="A333">
        <v>19508</v>
      </c>
      <c r="B333" t="s">
        <v>37</v>
      </c>
      <c r="C333" t="s">
        <v>39</v>
      </c>
      <c r="D333" s="3">
        <v>10000</v>
      </c>
      <c r="E333">
        <v>0</v>
      </c>
      <c r="F333" t="s">
        <v>32</v>
      </c>
      <c r="G333" t="s">
        <v>28</v>
      </c>
      <c r="H333" t="s">
        <v>20</v>
      </c>
      <c r="I333">
        <v>2</v>
      </c>
      <c r="J333" t="s">
        <v>18</v>
      </c>
      <c r="K333" t="s">
        <v>19</v>
      </c>
      <c r="L333">
        <v>30</v>
      </c>
      <c r="M333" t="str" cm="1">
        <f t="array" ref="M333">_xlfn.IFS(
L333&lt;=12,"Children",
L333&lt;=19,"Teens",
L333&lt;=29,"Young Adults",
L333&lt;=39,"Adults",
L333&lt;=59,"Middle-Aged",
L333&gt;=60,"Seniors"
)</f>
        <v>Adults</v>
      </c>
      <c r="N333" t="s">
        <v>20</v>
      </c>
    </row>
    <row r="334" spans="1:14" x14ac:dyDescent="0.3">
      <c r="A334">
        <v>11489</v>
      </c>
      <c r="B334" t="s">
        <v>40</v>
      </c>
      <c r="C334" t="s">
        <v>38</v>
      </c>
      <c r="D334" s="3">
        <v>20000</v>
      </c>
      <c r="E334">
        <v>0</v>
      </c>
      <c r="F334" t="s">
        <v>32</v>
      </c>
      <c r="G334" t="s">
        <v>28</v>
      </c>
      <c r="H334" t="s">
        <v>20</v>
      </c>
      <c r="I334">
        <v>2</v>
      </c>
      <c r="J334" t="s">
        <v>29</v>
      </c>
      <c r="K334" t="s">
        <v>19</v>
      </c>
      <c r="L334">
        <v>35</v>
      </c>
      <c r="M334" t="str" cm="1">
        <f t="array" ref="M334">_xlfn.IFS(
L334&lt;=12,"Children",
L334&lt;=19,"Teens",
L334&lt;=29,"Young Adults",
L334&lt;=39,"Adults",
L334&lt;=59,"Middle-Aged",
L334&gt;=60,"Seniors"
)</f>
        <v>Adults</v>
      </c>
      <c r="N334" t="s">
        <v>17</v>
      </c>
    </row>
    <row r="335" spans="1:14" x14ac:dyDescent="0.3">
      <c r="A335">
        <v>18160</v>
      </c>
      <c r="B335" t="s">
        <v>37</v>
      </c>
      <c r="C335" t="s">
        <v>39</v>
      </c>
      <c r="D335" s="3">
        <v>130000</v>
      </c>
      <c r="E335">
        <v>3</v>
      </c>
      <c r="F335" t="s">
        <v>30</v>
      </c>
      <c r="G335" t="s">
        <v>23</v>
      </c>
      <c r="H335" t="s">
        <v>17</v>
      </c>
      <c r="I335">
        <v>4</v>
      </c>
      <c r="J335" t="s">
        <v>26</v>
      </c>
      <c r="K335" t="s">
        <v>19</v>
      </c>
      <c r="L335">
        <v>51</v>
      </c>
      <c r="M335" t="str" cm="1">
        <f t="array" ref="M335">_xlfn.IFS(
L335&lt;=12,"Children",
L335&lt;=19,"Teens",
L335&lt;=29,"Young Adults",
L335&lt;=39,"Adults",
L335&lt;=59,"Middle-Aged",
L335&gt;=60,"Seniors"
)</f>
        <v>Middle-Aged</v>
      </c>
      <c r="N335" t="s">
        <v>17</v>
      </c>
    </row>
    <row r="336" spans="1:14" x14ac:dyDescent="0.3">
      <c r="A336">
        <v>25241</v>
      </c>
      <c r="B336" t="s">
        <v>37</v>
      </c>
      <c r="C336" t="s">
        <v>39</v>
      </c>
      <c r="D336" s="3">
        <v>90000</v>
      </c>
      <c r="E336">
        <v>2</v>
      </c>
      <c r="F336" t="s">
        <v>15</v>
      </c>
      <c r="G336" t="s">
        <v>23</v>
      </c>
      <c r="H336" t="s">
        <v>17</v>
      </c>
      <c r="I336">
        <v>1</v>
      </c>
      <c r="J336" t="s">
        <v>26</v>
      </c>
      <c r="K336" t="s">
        <v>27</v>
      </c>
      <c r="L336">
        <v>47</v>
      </c>
      <c r="M336" t="str" cm="1">
        <f t="array" ref="M336">_xlfn.IFS(
L336&lt;=12,"Children",
L336&lt;=19,"Teens",
L336&lt;=29,"Young Adults",
L336&lt;=39,"Adults",
L336&lt;=59,"Middle-Aged",
L336&gt;=60,"Seniors"
)</f>
        <v>Middle-Aged</v>
      </c>
      <c r="N336" t="s">
        <v>20</v>
      </c>
    </row>
    <row r="337" spans="1:14" x14ac:dyDescent="0.3">
      <c r="A337">
        <v>24369</v>
      </c>
      <c r="B337" t="s">
        <v>37</v>
      </c>
      <c r="C337" t="s">
        <v>39</v>
      </c>
      <c r="D337" s="3">
        <v>80000</v>
      </c>
      <c r="E337">
        <v>5</v>
      </c>
      <c r="F337" t="s">
        <v>34</v>
      </c>
      <c r="G337" t="s">
        <v>31</v>
      </c>
      <c r="H337" t="s">
        <v>20</v>
      </c>
      <c r="I337">
        <v>2</v>
      </c>
      <c r="J337" t="s">
        <v>18</v>
      </c>
      <c r="K337" t="s">
        <v>27</v>
      </c>
      <c r="L337">
        <v>39</v>
      </c>
      <c r="M337" t="str" cm="1">
        <f t="array" ref="M337">_xlfn.IFS(
L337&lt;=12,"Children",
L337&lt;=19,"Teens",
L337&lt;=29,"Young Adults",
L337&lt;=39,"Adults",
L337&lt;=59,"Middle-Aged",
L337&gt;=60,"Seniors"
)</f>
        <v>Adults</v>
      </c>
      <c r="N337" t="s">
        <v>20</v>
      </c>
    </row>
    <row r="338" spans="1:14" x14ac:dyDescent="0.3">
      <c r="A338">
        <v>27165</v>
      </c>
      <c r="B338" t="s">
        <v>40</v>
      </c>
      <c r="C338" t="s">
        <v>39</v>
      </c>
      <c r="D338" s="3">
        <v>20000</v>
      </c>
      <c r="E338">
        <v>0</v>
      </c>
      <c r="F338" t="s">
        <v>32</v>
      </c>
      <c r="G338" t="s">
        <v>28</v>
      </c>
      <c r="H338" t="s">
        <v>20</v>
      </c>
      <c r="I338">
        <v>2</v>
      </c>
      <c r="J338" t="s">
        <v>18</v>
      </c>
      <c r="K338" t="s">
        <v>19</v>
      </c>
      <c r="L338">
        <v>34</v>
      </c>
      <c r="M338" t="str" cm="1">
        <f t="array" ref="M338">_xlfn.IFS(
L338&lt;=12,"Children",
L338&lt;=19,"Teens",
L338&lt;=29,"Young Adults",
L338&lt;=39,"Adults",
L338&lt;=59,"Middle-Aged",
L338&gt;=60,"Seniors"
)</f>
        <v>Adults</v>
      </c>
      <c r="N338" t="s">
        <v>20</v>
      </c>
    </row>
    <row r="339" spans="1:14" x14ac:dyDescent="0.3">
      <c r="A339">
        <v>29424</v>
      </c>
      <c r="B339" t="s">
        <v>37</v>
      </c>
      <c r="C339" t="s">
        <v>39</v>
      </c>
      <c r="D339" s="3">
        <v>10000</v>
      </c>
      <c r="E339">
        <v>0</v>
      </c>
      <c r="F339" t="s">
        <v>32</v>
      </c>
      <c r="G339" t="s">
        <v>28</v>
      </c>
      <c r="H339" t="s">
        <v>17</v>
      </c>
      <c r="I339">
        <v>2</v>
      </c>
      <c r="J339" t="s">
        <v>18</v>
      </c>
      <c r="K339" t="s">
        <v>19</v>
      </c>
      <c r="L339">
        <v>32</v>
      </c>
      <c r="M339" t="str" cm="1">
        <f t="array" ref="M339">_xlfn.IFS(
L339&lt;=12,"Children",
L339&lt;=19,"Teens",
L339&lt;=29,"Young Adults",
L339&lt;=39,"Adults",
L339&lt;=59,"Middle-Aged",
L339&gt;=60,"Seniors"
)</f>
        <v>Adults</v>
      </c>
      <c r="N339" t="s">
        <v>20</v>
      </c>
    </row>
    <row r="340" spans="1:14" x14ac:dyDescent="0.3">
      <c r="A340">
        <v>15926</v>
      </c>
      <c r="B340" t="s">
        <v>40</v>
      </c>
      <c r="C340" t="s">
        <v>38</v>
      </c>
      <c r="D340" s="3">
        <v>120000</v>
      </c>
      <c r="E340">
        <v>3</v>
      </c>
      <c r="F340" t="s">
        <v>30</v>
      </c>
      <c r="G340" t="s">
        <v>23</v>
      </c>
      <c r="H340" t="s">
        <v>17</v>
      </c>
      <c r="I340">
        <v>4</v>
      </c>
      <c r="J340" t="s">
        <v>26</v>
      </c>
      <c r="K340" t="s">
        <v>19</v>
      </c>
      <c r="L340">
        <v>50</v>
      </c>
      <c r="M340" t="str" cm="1">
        <f t="array" ref="M340">_xlfn.IFS(
L340&lt;=12,"Children",
L340&lt;=19,"Teens",
L340&lt;=29,"Young Adults",
L340&lt;=39,"Adults",
L340&lt;=59,"Middle-Aged",
L340&gt;=60,"Seniors"
)</f>
        <v>Middle-Aged</v>
      </c>
      <c r="N340" t="s">
        <v>17</v>
      </c>
    </row>
    <row r="341" spans="1:14" x14ac:dyDescent="0.3">
      <c r="A341">
        <v>14554</v>
      </c>
      <c r="B341" t="s">
        <v>37</v>
      </c>
      <c r="C341" t="s">
        <v>39</v>
      </c>
      <c r="D341" s="3">
        <v>20000</v>
      </c>
      <c r="E341">
        <v>1</v>
      </c>
      <c r="F341" t="s">
        <v>15</v>
      </c>
      <c r="G341" t="s">
        <v>22</v>
      </c>
      <c r="H341" t="s">
        <v>17</v>
      </c>
      <c r="I341">
        <v>0</v>
      </c>
      <c r="J341" t="s">
        <v>18</v>
      </c>
      <c r="K341" t="s">
        <v>19</v>
      </c>
      <c r="L341">
        <v>66</v>
      </c>
      <c r="M341" t="str" cm="1">
        <f t="array" ref="M341">_xlfn.IFS(
L341&lt;=12,"Children",
L341&lt;=19,"Teens",
L341&lt;=29,"Young Adults",
L341&lt;=39,"Adults",
L341&lt;=59,"Middle-Aged",
L341&gt;=60,"Seniors"
)</f>
        <v>Seniors</v>
      </c>
      <c r="N341" t="s">
        <v>20</v>
      </c>
    </row>
    <row r="342" spans="1:14" x14ac:dyDescent="0.3">
      <c r="A342">
        <v>16468</v>
      </c>
      <c r="B342" t="s">
        <v>40</v>
      </c>
      <c r="C342" t="s">
        <v>39</v>
      </c>
      <c r="D342" s="3">
        <v>30000</v>
      </c>
      <c r="E342">
        <v>0</v>
      </c>
      <c r="F342" t="s">
        <v>21</v>
      </c>
      <c r="G342" t="s">
        <v>22</v>
      </c>
      <c r="H342" t="s">
        <v>17</v>
      </c>
      <c r="I342">
        <v>1</v>
      </c>
      <c r="J342" t="s">
        <v>24</v>
      </c>
      <c r="K342" t="s">
        <v>19</v>
      </c>
      <c r="L342">
        <v>30</v>
      </c>
      <c r="M342" t="str" cm="1">
        <f t="array" ref="M342">_xlfn.IFS(
L342&lt;=12,"Children",
L342&lt;=19,"Teens",
L342&lt;=29,"Young Adults",
L342&lt;=39,"Adults",
L342&lt;=59,"Middle-Aged",
L342&gt;=60,"Seniors"
)</f>
        <v>Adults</v>
      </c>
      <c r="N342" t="s">
        <v>20</v>
      </c>
    </row>
    <row r="343" spans="1:14" x14ac:dyDescent="0.3">
      <c r="A343">
        <v>19174</v>
      </c>
      <c r="B343" t="s">
        <v>40</v>
      </c>
      <c r="C343" t="s">
        <v>38</v>
      </c>
      <c r="D343" s="3">
        <v>30000</v>
      </c>
      <c r="E343">
        <v>0</v>
      </c>
      <c r="F343" t="s">
        <v>30</v>
      </c>
      <c r="G343" t="s">
        <v>28</v>
      </c>
      <c r="H343" t="s">
        <v>20</v>
      </c>
      <c r="I343">
        <v>1</v>
      </c>
      <c r="J343" t="s">
        <v>24</v>
      </c>
      <c r="K343" t="s">
        <v>19</v>
      </c>
      <c r="L343">
        <v>32</v>
      </c>
      <c r="M343" t="str" cm="1">
        <f t="array" ref="M343">_xlfn.IFS(
L343&lt;=12,"Children",
L343&lt;=19,"Teens",
L343&lt;=29,"Young Adults",
L343&lt;=39,"Adults",
L343&lt;=59,"Middle-Aged",
L343&gt;=60,"Seniors"
)</f>
        <v>Adults</v>
      </c>
      <c r="N343" t="s">
        <v>17</v>
      </c>
    </row>
    <row r="344" spans="1:14" x14ac:dyDescent="0.3">
      <c r="A344">
        <v>19183</v>
      </c>
      <c r="B344" t="s">
        <v>40</v>
      </c>
      <c r="C344" t="s">
        <v>39</v>
      </c>
      <c r="D344" s="3">
        <v>10000</v>
      </c>
      <c r="E344">
        <v>0</v>
      </c>
      <c r="F344" t="s">
        <v>32</v>
      </c>
      <c r="G344" t="s">
        <v>28</v>
      </c>
      <c r="H344" t="s">
        <v>17</v>
      </c>
      <c r="I344">
        <v>2</v>
      </c>
      <c r="J344" t="s">
        <v>29</v>
      </c>
      <c r="K344" t="s">
        <v>19</v>
      </c>
      <c r="L344">
        <v>35</v>
      </c>
      <c r="M344" t="str" cm="1">
        <f t="array" ref="M344">_xlfn.IFS(
L344&lt;=12,"Children",
L344&lt;=19,"Teens",
L344&lt;=29,"Young Adults",
L344&lt;=39,"Adults",
L344&lt;=59,"Middle-Aged",
L344&gt;=60,"Seniors"
)</f>
        <v>Adults</v>
      </c>
      <c r="N344" t="s">
        <v>20</v>
      </c>
    </row>
    <row r="345" spans="1:14" x14ac:dyDescent="0.3">
      <c r="A345">
        <v>13683</v>
      </c>
      <c r="B345" t="s">
        <v>40</v>
      </c>
      <c r="C345" t="s">
        <v>38</v>
      </c>
      <c r="D345" s="3">
        <v>30000</v>
      </c>
      <c r="E345">
        <v>0</v>
      </c>
      <c r="F345" t="s">
        <v>30</v>
      </c>
      <c r="G345" t="s">
        <v>28</v>
      </c>
      <c r="H345" t="s">
        <v>20</v>
      </c>
      <c r="I345">
        <v>1</v>
      </c>
      <c r="J345" t="s">
        <v>24</v>
      </c>
      <c r="K345" t="s">
        <v>19</v>
      </c>
      <c r="L345">
        <v>32</v>
      </c>
      <c r="M345" t="str" cm="1">
        <f t="array" ref="M345">_xlfn.IFS(
L345&lt;=12,"Children",
L345&lt;=19,"Teens",
L345&lt;=29,"Young Adults",
L345&lt;=39,"Adults",
L345&lt;=59,"Middle-Aged",
L345&gt;=60,"Seniors"
)</f>
        <v>Adults</v>
      </c>
      <c r="N345" t="s">
        <v>20</v>
      </c>
    </row>
    <row r="346" spans="1:14" x14ac:dyDescent="0.3">
      <c r="A346">
        <v>17848</v>
      </c>
      <c r="B346" t="s">
        <v>40</v>
      </c>
      <c r="C346" t="s">
        <v>39</v>
      </c>
      <c r="D346" s="3">
        <v>30000</v>
      </c>
      <c r="E346">
        <v>0</v>
      </c>
      <c r="F346" t="s">
        <v>21</v>
      </c>
      <c r="G346" t="s">
        <v>22</v>
      </c>
      <c r="H346" t="s">
        <v>20</v>
      </c>
      <c r="I346">
        <v>1</v>
      </c>
      <c r="J346" t="s">
        <v>24</v>
      </c>
      <c r="K346" t="s">
        <v>19</v>
      </c>
      <c r="L346">
        <v>31</v>
      </c>
      <c r="M346" t="str" cm="1">
        <f t="array" ref="M346">_xlfn.IFS(
L346&lt;=12,"Children",
L346&lt;=19,"Teens",
L346&lt;=29,"Young Adults",
L346&lt;=39,"Adults",
L346&lt;=59,"Middle-Aged",
L346&gt;=60,"Seniors"
)</f>
        <v>Adults</v>
      </c>
      <c r="N346" t="s">
        <v>17</v>
      </c>
    </row>
    <row r="347" spans="1:14" x14ac:dyDescent="0.3">
      <c r="A347">
        <v>17894</v>
      </c>
      <c r="B347" t="s">
        <v>37</v>
      </c>
      <c r="C347" t="s">
        <v>38</v>
      </c>
      <c r="D347" s="3">
        <v>20000</v>
      </c>
      <c r="E347">
        <v>1</v>
      </c>
      <c r="F347" t="s">
        <v>15</v>
      </c>
      <c r="G347" t="s">
        <v>22</v>
      </c>
      <c r="H347" t="s">
        <v>17</v>
      </c>
      <c r="I347">
        <v>0</v>
      </c>
      <c r="J347" t="s">
        <v>18</v>
      </c>
      <c r="K347" t="s">
        <v>19</v>
      </c>
      <c r="L347">
        <v>50</v>
      </c>
      <c r="M347" t="str" cm="1">
        <f t="array" ref="M347">_xlfn.IFS(
L347&lt;=12,"Children",
L347&lt;=19,"Teens",
L347&lt;=29,"Young Adults",
L347&lt;=39,"Adults",
L347&lt;=59,"Middle-Aged",
L347&gt;=60,"Seniors"
)</f>
        <v>Middle-Aged</v>
      </c>
      <c r="N347" t="s">
        <v>17</v>
      </c>
    </row>
    <row r="348" spans="1:14" x14ac:dyDescent="0.3">
      <c r="A348">
        <v>25651</v>
      </c>
      <c r="B348" t="s">
        <v>37</v>
      </c>
      <c r="C348" t="s">
        <v>39</v>
      </c>
      <c r="D348" s="3">
        <v>40000</v>
      </c>
      <c r="E348">
        <v>1</v>
      </c>
      <c r="F348" t="s">
        <v>15</v>
      </c>
      <c r="G348" t="s">
        <v>16</v>
      </c>
      <c r="H348" t="s">
        <v>20</v>
      </c>
      <c r="I348">
        <v>0</v>
      </c>
      <c r="J348" t="s">
        <v>18</v>
      </c>
      <c r="K348" t="s">
        <v>19</v>
      </c>
      <c r="L348">
        <v>43</v>
      </c>
      <c r="M348" t="str" cm="1">
        <f t="array" ref="M348">_xlfn.IFS(
L348&lt;=12,"Children",
L348&lt;=19,"Teens",
L348&lt;=29,"Young Adults",
L348&lt;=39,"Adults",
L348&lt;=59,"Middle-Aged",
L348&gt;=60,"Seniors"
)</f>
        <v>Middle-Aged</v>
      </c>
      <c r="N348" t="s">
        <v>17</v>
      </c>
    </row>
    <row r="349" spans="1:14" x14ac:dyDescent="0.3">
      <c r="A349">
        <v>22936</v>
      </c>
      <c r="B349" t="s">
        <v>40</v>
      </c>
      <c r="C349" t="s">
        <v>38</v>
      </c>
      <c r="D349" s="3">
        <v>60000</v>
      </c>
      <c r="E349">
        <v>1</v>
      </c>
      <c r="F349" t="s">
        <v>21</v>
      </c>
      <c r="G349" t="s">
        <v>16</v>
      </c>
      <c r="H349" t="s">
        <v>20</v>
      </c>
      <c r="I349">
        <v>1</v>
      </c>
      <c r="J349" t="s">
        <v>18</v>
      </c>
      <c r="K349" t="s">
        <v>27</v>
      </c>
      <c r="L349">
        <v>45</v>
      </c>
      <c r="M349" t="str" cm="1">
        <f t="array" ref="M349">_xlfn.IFS(
L349&lt;=12,"Children",
L349&lt;=19,"Teens",
L349&lt;=29,"Young Adults",
L349&lt;=39,"Adults",
L349&lt;=59,"Middle-Aged",
L349&gt;=60,"Seniors"
)</f>
        <v>Middle-Aged</v>
      </c>
      <c r="N349" t="s">
        <v>17</v>
      </c>
    </row>
    <row r="350" spans="1:14" x14ac:dyDescent="0.3">
      <c r="A350">
        <v>23915</v>
      </c>
      <c r="B350" t="s">
        <v>37</v>
      </c>
      <c r="C350" t="s">
        <v>39</v>
      </c>
      <c r="D350" s="3">
        <v>20000</v>
      </c>
      <c r="E350">
        <v>2</v>
      </c>
      <c r="F350" t="s">
        <v>30</v>
      </c>
      <c r="G350" t="s">
        <v>28</v>
      </c>
      <c r="H350" t="s">
        <v>17</v>
      </c>
      <c r="I350">
        <v>2</v>
      </c>
      <c r="J350" t="s">
        <v>18</v>
      </c>
      <c r="K350" t="s">
        <v>19</v>
      </c>
      <c r="L350">
        <v>42</v>
      </c>
      <c r="M350" t="str" cm="1">
        <f t="array" ref="M350">_xlfn.IFS(
L350&lt;=12,"Children",
L350&lt;=19,"Teens",
L350&lt;=29,"Young Adults",
L350&lt;=39,"Adults",
L350&lt;=59,"Middle-Aged",
L350&gt;=60,"Seniors"
)</f>
        <v>Middle-Aged</v>
      </c>
      <c r="N350" t="s">
        <v>20</v>
      </c>
    </row>
    <row r="351" spans="1:14" x14ac:dyDescent="0.3">
      <c r="A351">
        <v>24121</v>
      </c>
      <c r="B351" t="s">
        <v>40</v>
      </c>
      <c r="C351" t="s">
        <v>38</v>
      </c>
      <c r="D351" s="3">
        <v>30000</v>
      </c>
      <c r="E351">
        <v>0</v>
      </c>
      <c r="F351" t="s">
        <v>21</v>
      </c>
      <c r="G351" t="s">
        <v>22</v>
      </c>
      <c r="H351" t="s">
        <v>20</v>
      </c>
      <c r="I351">
        <v>1</v>
      </c>
      <c r="J351" t="s">
        <v>18</v>
      </c>
      <c r="K351" t="s">
        <v>19</v>
      </c>
      <c r="L351">
        <v>29</v>
      </c>
      <c r="M351" t="str" cm="1">
        <f t="array" ref="M351">_xlfn.IFS(
L351&lt;=12,"Children",
L351&lt;=19,"Teens",
L351&lt;=29,"Young Adults",
L351&lt;=39,"Adults",
L351&lt;=59,"Middle-Aged",
L351&gt;=60,"Seniors"
)</f>
        <v>Young Adults</v>
      </c>
      <c r="N351" t="s">
        <v>17</v>
      </c>
    </row>
    <row r="352" spans="1:14" x14ac:dyDescent="0.3">
      <c r="A352">
        <v>27878</v>
      </c>
      <c r="B352" t="s">
        <v>40</v>
      </c>
      <c r="C352" t="s">
        <v>39</v>
      </c>
      <c r="D352" s="3">
        <v>20000</v>
      </c>
      <c r="E352">
        <v>0</v>
      </c>
      <c r="F352" t="s">
        <v>21</v>
      </c>
      <c r="G352" t="s">
        <v>28</v>
      </c>
      <c r="H352" t="s">
        <v>20</v>
      </c>
      <c r="I352">
        <v>0</v>
      </c>
      <c r="J352" t="s">
        <v>18</v>
      </c>
      <c r="K352" t="s">
        <v>27</v>
      </c>
      <c r="L352">
        <v>28</v>
      </c>
      <c r="M352" t="str" cm="1">
        <f t="array" ref="M352">_xlfn.IFS(
L352&lt;=12,"Children",
L352&lt;=19,"Teens",
L352&lt;=29,"Young Adults",
L352&lt;=39,"Adults",
L352&lt;=59,"Middle-Aged",
L352&gt;=60,"Seniors"
)</f>
        <v>Young Adults</v>
      </c>
      <c r="N352" t="s">
        <v>17</v>
      </c>
    </row>
    <row r="353" spans="1:14" x14ac:dyDescent="0.3">
      <c r="A353">
        <v>13572</v>
      </c>
      <c r="B353" t="s">
        <v>40</v>
      </c>
      <c r="C353" t="s">
        <v>39</v>
      </c>
      <c r="D353" s="3">
        <v>10000</v>
      </c>
      <c r="E353">
        <v>3</v>
      </c>
      <c r="F353" t="s">
        <v>30</v>
      </c>
      <c r="G353" t="s">
        <v>28</v>
      </c>
      <c r="H353" t="s">
        <v>17</v>
      </c>
      <c r="I353">
        <v>0</v>
      </c>
      <c r="J353" t="s">
        <v>18</v>
      </c>
      <c r="K353" t="s">
        <v>19</v>
      </c>
      <c r="L353">
        <v>37</v>
      </c>
      <c r="M353" t="str" cm="1">
        <f t="array" ref="M353">_xlfn.IFS(
L353&lt;=12,"Children",
L353&lt;=19,"Teens",
L353&lt;=29,"Young Adults",
L353&lt;=39,"Adults",
L353&lt;=59,"Middle-Aged",
L353&gt;=60,"Seniors"
)</f>
        <v>Adults</v>
      </c>
      <c r="N353" t="s">
        <v>17</v>
      </c>
    </row>
    <row r="354" spans="1:14" x14ac:dyDescent="0.3">
      <c r="A354">
        <v>27941</v>
      </c>
      <c r="B354" t="s">
        <v>37</v>
      </c>
      <c r="C354" t="s">
        <v>38</v>
      </c>
      <c r="D354" s="3">
        <v>80000</v>
      </c>
      <c r="E354">
        <v>4</v>
      </c>
      <c r="F354" t="s">
        <v>21</v>
      </c>
      <c r="G354" t="s">
        <v>23</v>
      </c>
      <c r="H354" t="s">
        <v>17</v>
      </c>
      <c r="I354">
        <v>2</v>
      </c>
      <c r="J354" t="s">
        <v>24</v>
      </c>
      <c r="K354" t="s">
        <v>19</v>
      </c>
      <c r="L354">
        <v>53</v>
      </c>
      <c r="M354" t="str" cm="1">
        <f t="array" ref="M354">_xlfn.IFS(
L354&lt;=12,"Children",
L354&lt;=19,"Teens",
L354&lt;=29,"Young Adults",
L354&lt;=39,"Adults",
L354&lt;=59,"Middle-Aged",
L354&gt;=60,"Seniors"
)</f>
        <v>Middle-Aged</v>
      </c>
      <c r="N354" t="s">
        <v>20</v>
      </c>
    </row>
    <row r="355" spans="1:14" x14ac:dyDescent="0.3">
      <c r="A355">
        <v>26354</v>
      </c>
      <c r="B355" t="s">
        <v>40</v>
      </c>
      <c r="C355" t="s">
        <v>39</v>
      </c>
      <c r="D355" s="3">
        <v>40000</v>
      </c>
      <c r="E355">
        <v>0</v>
      </c>
      <c r="F355" t="s">
        <v>34</v>
      </c>
      <c r="G355" t="s">
        <v>22</v>
      </c>
      <c r="H355" t="s">
        <v>20</v>
      </c>
      <c r="I355">
        <v>0</v>
      </c>
      <c r="J355" t="s">
        <v>18</v>
      </c>
      <c r="K355" t="s">
        <v>19</v>
      </c>
      <c r="L355">
        <v>38</v>
      </c>
      <c r="M355" t="str" cm="1">
        <f t="array" ref="M355">_xlfn.IFS(
L355&lt;=12,"Children",
L355&lt;=19,"Teens",
L355&lt;=29,"Young Adults",
L355&lt;=39,"Adults",
L355&lt;=59,"Middle-Aged",
L355&gt;=60,"Seniors"
)</f>
        <v>Adults</v>
      </c>
      <c r="N355" t="s">
        <v>17</v>
      </c>
    </row>
    <row r="356" spans="1:14" x14ac:dyDescent="0.3">
      <c r="A356">
        <v>14785</v>
      </c>
      <c r="B356" t="s">
        <v>40</v>
      </c>
      <c r="C356" t="s">
        <v>39</v>
      </c>
      <c r="D356" s="3">
        <v>30000</v>
      </c>
      <c r="E356">
        <v>1</v>
      </c>
      <c r="F356" t="s">
        <v>15</v>
      </c>
      <c r="G356" t="s">
        <v>22</v>
      </c>
      <c r="H356" t="s">
        <v>20</v>
      </c>
      <c r="I356">
        <v>1</v>
      </c>
      <c r="J356" t="s">
        <v>29</v>
      </c>
      <c r="K356" t="s">
        <v>19</v>
      </c>
      <c r="L356">
        <v>39</v>
      </c>
      <c r="M356" t="str" cm="1">
        <f t="array" ref="M356">_xlfn.IFS(
L356&lt;=12,"Children",
L356&lt;=19,"Teens",
L356&lt;=29,"Young Adults",
L356&lt;=39,"Adults",
L356&lt;=59,"Middle-Aged",
L356&gt;=60,"Seniors"
)</f>
        <v>Adults</v>
      </c>
      <c r="N356" t="s">
        <v>20</v>
      </c>
    </row>
    <row r="357" spans="1:14" x14ac:dyDescent="0.3">
      <c r="A357">
        <v>17238</v>
      </c>
      <c r="B357" t="s">
        <v>40</v>
      </c>
      <c r="C357" t="s">
        <v>39</v>
      </c>
      <c r="D357" s="3">
        <v>80000</v>
      </c>
      <c r="E357">
        <v>0</v>
      </c>
      <c r="F357" t="s">
        <v>15</v>
      </c>
      <c r="G357" t="s">
        <v>23</v>
      </c>
      <c r="H357" t="s">
        <v>17</v>
      </c>
      <c r="I357">
        <v>3</v>
      </c>
      <c r="J357" t="s">
        <v>41</v>
      </c>
      <c r="K357" t="s">
        <v>27</v>
      </c>
      <c r="L357">
        <v>32</v>
      </c>
      <c r="M357" t="str" cm="1">
        <f t="array" ref="M357">_xlfn.IFS(
L357&lt;=12,"Children",
L357&lt;=19,"Teens",
L357&lt;=29,"Young Adults",
L357&lt;=39,"Adults",
L357&lt;=59,"Middle-Aged",
L357&gt;=60,"Seniors"
)</f>
        <v>Adults</v>
      </c>
      <c r="N357" t="s">
        <v>20</v>
      </c>
    </row>
    <row r="358" spans="1:14" x14ac:dyDescent="0.3">
      <c r="A358">
        <v>23608</v>
      </c>
      <c r="B358" t="s">
        <v>37</v>
      </c>
      <c r="C358" t="s">
        <v>38</v>
      </c>
      <c r="D358" s="3">
        <v>150000</v>
      </c>
      <c r="E358">
        <v>3</v>
      </c>
      <c r="F358" t="s">
        <v>30</v>
      </c>
      <c r="G358" t="s">
        <v>23</v>
      </c>
      <c r="H358" t="s">
        <v>17</v>
      </c>
      <c r="I358">
        <v>3</v>
      </c>
      <c r="J358" t="s">
        <v>18</v>
      </c>
      <c r="K358" t="s">
        <v>19</v>
      </c>
      <c r="L358">
        <v>51</v>
      </c>
      <c r="M358" t="str" cm="1">
        <f t="array" ref="M358">_xlfn.IFS(
L358&lt;=12,"Children",
L358&lt;=19,"Teens",
L358&lt;=29,"Young Adults",
L358&lt;=39,"Adults",
L358&lt;=59,"Middle-Aged",
L358&gt;=60,"Seniors"
)</f>
        <v>Middle-Aged</v>
      </c>
      <c r="N358" t="s">
        <v>17</v>
      </c>
    </row>
    <row r="359" spans="1:14" x14ac:dyDescent="0.3">
      <c r="A359">
        <v>22538</v>
      </c>
      <c r="B359" t="s">
        <v>40</v>
      </c>
      <c r="C359" t="s">
        <v>38</v>
      </c>
      <c r="D359" s="3">
        <v>10000</v>
      </c>
      <c r="E359">
        <v>0</v>
      </c>
      <c r="F359" t="s">
        <v>32</v>
      </c>
      <c r="G359" t="s">
        <v>28</v>
      </c>
      <c r="H359" t="s">
        <v>17</v>
      </c>
      <c r="I359">
        <v>2</v>
      </c>
      <c r="J359" t="s">
        <v>29</v>
      </c>
      <c r="K359" t="s">
        <v>19</v>
      </c>
      <c r="L359">
        <v>33</v>
      </c>
      <c r="M359" t="str" cm="1">
        <f t="array" ref="M359">_xlfn.IFS(
L359&lt;=12,"Children",
L359&lt;=19,"Teens",
L359&lt;=29,"Young Adults",
L359&lt;=39,"Adults",
L359&lt;=59,"Middle-Aged",
L359&gt;=60,"Seniors"
)</f>
        <v>Adults</v>
      </c>
      <c r="N359" t="s">
        <v>20</v>
      </c>
    </row>
    <row r="360" spans="1:14" x14ac:dyDescent="0.3">
      <c r="A360">
        <v>12332</v>
      </c>
      <c r="B360" t="s">
        <v>37</v>
      </c>
      <c r="C360" t="s">
        <v>39</v>
      </c>
      <c r="D360" s="3">
        <v>90000</v>
      </c>
      <c r="E360">
        <v>4</v>
      </c>
      <c r="F360" t="s">
        <v>30</v>
      </c>
      <c r="G360" t="s">
        <v>31</v>
      </c>
      <c r="H360" t="s">
        <v>17</v>
      </c>
      <c r="I360">
        <v>3</v>
      </c>
      <c r="J360" t="s">
        <v>26</v>
      </c>
      <c r="K360" t="s">
        <v>19</v>
      </c>
      <c r="L360">
        <v>58</v>
      </c>
      <c r="M360" t="str" cm="1">
        <f t="array" ref="M360">_xlfn.IFS(
L360&lt;=12,"Children",
L360&lt;=19,"Teens",
L360&lt;=29,"Young Adults",
L360&lt;=39,"Adults",
L360&lt;=59,"Middle-Aged",
L360&gt;=60,"Seniors"
)</f>
        <v>Middle-Aged</v>
      </c>
      <c r="N360" t="s">
        <v>17</v>
      </c>
    </row>
    <row r="361" spans="1:14" x14ac:dyDescent="0.3">
      <c r="A361">
        <v>17230</v>
      </c>
      <c r="B361" t="s">
        <v>37</v>
      </c>
      <c r="C361" t="s">
        <v>39</v>
      </c>
      <c r="D361" s="3">
        <v>80000</v>
      </c>
      <c r="E361">
        <v>0</v>
      </c>
      <c r="F361" t="s">
        <v>15</v>
      </c>
      <c r="G361" t="s">
        <v>23</v>
      </c>
      <c r="H361" t="s">
        <v>17</v>
      </c>
      <c r="I361">
        <v>3</v>
      </c>
      <c r="J361" t="s">
        <v>41</v>
      </c>
      <c r="K361" t="s">
        <v>27</v>
      </c>
      <c r="L361">
        <v>30</v>
      </c>
      <c r="M361" t="str" cm="1">
        <f t="array" ref="M361">_xlfn.IFS(
L361&lt;=12,"Children",
L361&lt;=19,"Teens",
L361&lt;=29,"Young Adults",
L361&lt;=39,"Adults",
L361&lt;=59,"Middle-Aged",
L361&gt;=60,"Seniors"
)</f>
        <v>Adults</v>
      </c>
      <c r="N361" t="s">
        <v>20</v>
      </c>
    </row>
    <row r="362" spans="1:14" x14ac:dyDescent="0.3">
      <c r="A362">
        <v>13082</v>
      </c>
      <c r="B362" t="s">
        <v>40</v>
      </c>
      <c r="C362" t="s">
        <v>39</v>
      </c>
      <c r="D362" s="3">
        <v>130000</v>
      </c>
      <c r="E362">
        <v>0</v>
      </c>
      <c r="F362" t="s">
        <v>34</v>
      </c>
      <c r="G362" t="s">
        <v>31</v>
      </c>
      <c r="H362" t="s">
        <v>17</v>
      </c>
      <c r="I362">
        <v>0</v>
      </c>
      <c r="J362" t="s">
        <v>24</v>
      </c>
      <c r="K362" t="s">
        <v>27</v>
      </c>
      <c r="L362">
        <v>48</v>
      </c>
      <c r="M362" t="str" cm="1">
        <f t="array" ref="M362">_xlfn.IFS(
L362&lt;=12,"Children",
L362&lt;=19,"Teens",
L362&lt;=29,"Young Adults",
L362&lt;=39,"Adults",
L362&lt;=59,"Middle-Aged",
L362&gt;=60,"Seniors"
)</f>
        <v>Middle-Aged</v>
      </c>
      <c r="N362" t="s">
        <v>17</v>
      </c>
    </row>
    <row r="363" spans="1:14" x14ac:dyDescent="0.3">
      <c r="A363">
        <v>22518</v>
      </c>
      <c r="B363" t="s">
        <v>40</v>
      </c>
      <c r="C363" t="s">
        <v>38</v>
      </c>
      <c r="D363" s="3">
        <v>30000</v>
      </c>
      <c r="E363">
        <v>3</v>
      </c>
      <c r="F363" t="s">
        <v>21</v>
      </c>
      <c r="G363" t="s">
        <v>22</v>
      </c>
      <c r="H363" t="s">
        <v>20</v>
      </c>
      <c r="I363">
        <v>2</v>
      </c>
      <c r="J363" t="s">
        <v>18</v>
      </c>
      <c r="K363" t="s">
        <v>19</v>
      </c>
      <c r="L363">
        <v>27</v>
      </c>
      <c r="M363" t="str" cm="1">
        <f t="array" ref="M363">_xlfn.IFS(
L363&lt;=12,"Children",
L363&lt;=19,"Teens",
L363&lt;=29,"Young Adults",
L363&lt;=39,"Adults",
L363&lt;=59,"Middle-Aged",
L363&gt;=60,"Seniors"
)</f>
        <v>Young Adults</v>
      </c>
      <c r="N363" t="s">
        <v>17</v>
      </c>
    </row>
    <row r="364" spans="1:14" x14ac:dyDescent="0.3">
      <c r="A364">
        <v>13687</v>
      </c>
      <c r="B364" t="s">
        <v>37</v>
      </c>
      <c r="C364" t="s">
        <v>39</v>
      </c>
      <c r="D364" s="3">
        <v>40000</v>
      </c>
      <c r="E364">
        <v>1</v>
      </c>
      <c r="F364" t="s">
        <v>15</v>
      </c>
      <c r="G364" t="s">
        <v>16</v>
      </c>
      <c r="H364" t="s">
        <v>17</v>
      </c>
      <c r="I364">
        <v>1</v>
      </c>
      <c r="J364" t="s">
        <v>18</v>
      </c>
      <c r="K364" t="s">
        <v>19</v>
      </c>
      <c r="L364">
        <v>33</v>
      </c>
      <c r="M364" t="str" cm="1">
        <f t="array" ref="M364">_xlfn.IFS(
L364&lt;=12,"Children",
L364&lt;=19,"Teens",
L364&lt;=29,"Young Adults",
L364&lt;=39,"Adults",
L364&lt;=59,"Middle-Aged",
L364&gt;=60,"Seniors"
)</f>
        <v>Adults</v>
      </c>
      <c r="N364" t="s">
        <v>17</v>
      </c>
    </row>
    <row r="365" spans="1:14" x14ac:dyDescent="0.3">
      <c r="A365">
        <v>23571</v>
      </c>
      <c r="B365" t="s">
        <v>37</v>
      </c>
      <c r="C365" t="s">
        <v>38</v>
      </c>
      <c r="D365" s="3">
        <v>40000</v>
      </c>
      <c r="E365">
        <v>2</v>
      </c>
      <c r="F365" t="s">
        <v>15</v>
      </c>
      <c r="G365" t="s">
        <v>31</v>
      </c>
      <c r="H365" t="s">
        <v>17</v>
      </c>
      <c r="I365">
        <v>2</v>
      </c>
      <c r="J365" t="s">
        <v>18</v>
      </c>
      <c r="K365" t="s">
        <v>27</v>
      </c>
      <c r="L365">
        <v>66</v>
      </c>
      <c r="M365" t="str" cm="1">
        <f t="array" ref="M365">_xlfn.IFS(
L365&lt;=12,"Children",
L365&lt;=19,"Teens",
L365&lt;=29,"Young Adults",
L365&lt;=39,"Adults",
L365&lt;=59,"Middle-Aged",
L365&gt;=60,"Seniors"
)</f>
        <v>Seniors</v>
      </c>
      <c r="N365" t="s">
        <v>17</v>
      </c>
    </row>
    <row r="366" spans="1:14" x14ac:dyDescent="0.3">
      <c r="A366">
        <v>19305</v>
      </c>
      <c r="B366" t="s">
        <v>40</v>
      </c>
      <c r="C366" t="s">
        <v>38</v>
      </c>
      <c r="D366" s="3">
        <v>10000</v>
      </c>
      <c r="E366">
        <v>2</v>
      </c>
      <c r="F366" t="s">
        <v>30</v>
      </c>
      <c r="G366" t="s">
        <v>28</v>
      </c>
      <c r="H366" t="s">
        <v>17</v>
      </c>
      <c r="I366">
        <v>1</v>
      </c>
      <c r="J366" t="s">
        <v>18</v>
      </c>
      <c r="K366" t="s">
        <v>19</v>
      </c>
      <c r="L366">
        <v>38</v>
      </c>
      <c r="M366" t="str" cm="1">
        <f t="array" ref="M366">_xlfn.IFS(
L366&lt;=12,"Children",
L366&lt;=19,"Teens",
L366&lt;=29,"Young Adults",
L366&lt;=39,"Adults",
L366&lt;=59,"Middle-Aged",
L366&gt;=60,"Seniors"
)</f>
        <v>Adults</v>
      </c>
      <c r="N366" t="s">
        <v>17</v>
      </c>
    </row>
    <row r="367" spans="1:14" x14ac:dyDescent="0.3">
      <c r="A367">
        <v>22636</v>
      </c>
      <c r="B367" t="s">
        <v>40</v>
      </c>
      <c r="C367" t="s">
        <v>38</v>
      </c>
      <c r="D367" s="3">
        <v>40000</v>
      </c>
      <c r="E367">
        <v>0</v>
      </c>
      <c r="F367" t="s">
        <v>15</v>
      </c>
      <c r="G367" t="s">
        <v>22</v>
      </c>
      <c r="H367" t="s">
        <v>20</v>
      </c>
      <c r="I367">
        <v>0</v>
      </c>
      <c r="J367" t="s">
        <v>18</v>
      </c>
      <c r="K367" t="s">
        <v>19</v>
      </c>
      <c r="L367">
        <v>38</v>
      </c>
      <c r="M367" t="str" cm="1">
        <f t="array" ref="M367">_xlfn.IFS(
L367&lt;=12,"Children",
L367&lt;=19,"Teens",
L367&lt;=29,"Young Adults",
L367&lt;=39,"Adults",
L367&lt;=59,"Middle-Aged",
L367&gt;=60,"Seniors"
)</f>
        <v>Adults</v>
      </c>
      <c r="N367" t="s">
        <v>17</v>
      </c>
    </row>
    <row r="368" spans="1:14" x14ac:dyDescent="0.3">
      <c r="A368">
        <v>17310</v>
      </c>
      <c r="B368" t="s">
        <v>37</v>
      </c>
      <c r="C368" t="s">
        <v>39</v>
      </c>
      <c r="D368" s="3">
        <v>60000</v>
      </c>
      <c r="E368">
        <v>1</v>
      </c>
      <c r="F368" t="s">
        <v>21</v>
      </c>
      <c r="G368" t="s">
        <v>16</v>
      </c>
      <c r="H368" t="s">
        <v>17</v>
      </c>
      <c r="I368">
        <v>1</v>
      </c>
      <c r="J368" t="s">
        <v>18</v>
      </c>
      <c r="K368" t="s">
        <v>27</v>
      </c>
      <c r="L368">
        <v>45</v>
      </c>
      <c r="M368" t="str" cm="1">
        <f t="array" ref="M368">_xlfn.IFS(
L368&lt;=12,"Children",
L368&lt;=19,"Teens",
L368&lt;=29,"Young Adults",
L368&lt;=39,"Adults",
L368&lt;=59,"Middle-Aged",
L368&gt;=60,"Seniors"
)</f>
        <v>Middle-Aged</v>
      </c>
      <c r="N368" t="s">
        <v>17</v>
      </c>
    </row>
    <row r="369" spans="1:14" x14ac:dyDescent="0.3">
      <c r="A369">
        <v>12133</v>
      </c>
      <c r="B369" t="s">
        <v>37</v>
      </c>
      <c r="C369" t="s">
        <v>38</v>
      </c>
      <c r="D369" s="3">
        <v>130000</v>
      </c>
      <c r="E369">
        <v>3</v>
      </c>
      <c r="F369" t="s">
        <v>21</v>
      </c>
      <c r="G369" t="s">
        <v>23</v>
      </c>
      <c r="H369" t="s">
        <v>17</v>
      </c>
      <c r="I369">
        <v>3</v>
      </c>
      <c r="J369" t="s">
        <v>26</v>
      </c>
      <c r="K369" t="s">
        <v>19</v>
      </c>
      <c r="L369">
        <v>50</v>
      </c>
      <c r="M369" t="str" cm="1">
        <f t="array" ref="M369">_xlfn.IFS(
L369&lt;=12,"Children",
L369&lt;=19,"Teens",
L369&lt;=29,"Young Adults",
L369&lt;=39,"Adults",
L369&lt;=59,"Middle-Aged",
L369&gt;=60,"Seniors"
)</f>
        <v>Middle-Aged</v>
      </c>
      <c r="N369" t="s">
        <v>17</v>
      </c>
    </row>
    <row r="370" spans="1:14" x14ac:dyDescent="0.3">
      <c r="A370">
        <v>25918</v>
      </c>
      <c r="B370" t="s">
        <v>40</v>
      </c>
      <c r="C370" t="s">
        <v>38</v>
      </c>
      <c r="D370" s="3">
        <v>30000</v>
      </c>
      <c r="E370">
        <v>2</v>
      </c>
      <c r="F370" t="s">
        <v>21</v>
      </c>
      <c r="G370" t="s">
        <v>22</v>
      </c>
      <c r="H370" t="s">
        <v>20</v>
      </c>
      <c r="I370">
        <v>2</v>
      </c>
      <c r="J370" t="s">
        <v>26</v>
      </c>
      <c r="K370" t="s">
        <v>27</v>
      </c>
      <c r="L370">
        <v>60</v>
      </c>
      <c r="M370" t="str" cm="1">
        <f t="array" ref="M370">_xlfn.IFS(
L370&lt;=12,"Children",
L370&lt;=19,"Teens",
L370&lt;=29,"Young Adults",
L370&lt;=39,"Adults",
L370&lt;=59,"Middle-Aged",
L370&gt;=60,"Seniors"
)</f>
        <v>Seniors</v>
      </c>
      <c r="N370" t="s">
        <v>17</v>
      </c>
    </row>
    <row r="371" spans="1:14" x14ac:dyDescent="0.3">
      <c r="A371">
        <v>25752</v>
      </c>
      <c r="B371" t="s">
        <v>40</v>
      </c>
      <c r="C371" t="s">
        <v>38</v>
      </c>
      <c r="D371" s="3">
        <v>20000</v>
      </c>
      <c r="E371">
        <v>2</v>
      </c>
      <c r="F371" t="s">
        <v>21</v>
      </c>
      <c r="G371" t="s">
        <v>28</v>
      </c>
      <c r="H371" t="s">
        <v>20</v>
      </c>
      <c r="I371">
        <v>1</v>
      </c>
      <c r="J371" t="s">
        <v>18</v>
      </c>
      <c r="K371" t="s">
        <v>19</v>
      </c>
      <c r="L371">
        <v>53</v>
      </c>
      <c r="M371" t="str" cm="1">
        <f t="array" ref="M371">_xlfn.IFS(
L371&lt;=12,"Children",
L371&lt;=19,"Teens",
L371&lt;=29,"Young Adults",
L371&lt;=39,"Adults",
L371&lt;=59,"Middle-Aged",
L371&gt;=60,"Seniors"
)</f>
        <v>Middle-Aged</v>
      </c>
      <c r="N371" t="s">
        <v>17</v>
      </c>
    </row>
    <row r="372" spans="1:14" x14ac:dyDescent="0.3">
      <c r="A372">
        <v>17324</v>
      </c>
      <c r="B372" t="s">
        <v>37</v>
      </c>
      <c r="C372" t="s">
        <v>38</v>
      </c>
      <c r="D372" s="3">
        <v>100000</v>
      </c>
      <c r="E372">
        <v>4</v>
      </c>
      <c r="F372" t="s">
        <v>15</v>
      </c>
      <c r="G372" t="s">
        <v>23</v>
      </c>
      <c r="H372" t="s">
        <v>17</v>
      </c>
      <c r="I372">
        <v>1</v>
      </c>
      <c r="J372" t="s">
        <v>41</v>
      </c>
      <c r="K372" t="s">
        <v>27</v>
      </c>
      <c r="L372">
        <v>46</v>
      </c>
      <c r="M372" t="str" cm="1">
        <f t="array" ref="M372">_xlfn.IFS(
L372&lt;=12,"Children",
L372&lt;=19,"Teens",
L372&lt;=29,"Young Adults",
L372&lt;=39,"Adults",
L372&lt;=59,"Middle-Aged",
L372&gt;=60,"Seniors"
)</f>
        <v>Middle-Aged</v>
      </c>
      <c r="N372" t="s">
        <v>20</v>
      </c>
    </row>
    <row r="373" spans="1:14" x14ac:dyDescent="0.3">
      <c r="A373">
        <v>22918</v>
      </c>
      <c r="B373" t="s">
        <v>40</v>
      </c>
      <c r="C373" t="s">
        <v>39</v>
      </c>
      <c r="D373" s="3">
        <v>80000</v>
      </c>
      <c r="E373">
        <v>5</v>
      </c>
      <c r="F373" t="s">
        <v>34</v>
      </c>
      <c r="G373" t="s">
        <v>31</v>
      </c>
      <c r="H373" t="s">
        <v>17</v>
      </c>
      <c r="I373">
        <v>3</v>
      </c>
      <c r="J373" t="s">
        <v>18</v>
      </c>
      <c r="K373" t="s">
        <v>27</v>
      </c>
      <c r="L373">
        <v>50</v>
      </c>
      <c r="M373" t="str" cm="1">
        <f t="array" ref="M373">_xlfn.IFS(
L373&lt;=12,"Children",
L373&lt;=19,"Teens",
L373&lt;=29,"Young Adults",
L373&lt;=39,"Adults",
L373&lt;=59,"Middle-Aged",
L373&gt;=60,"Seniors"
)</f>
        <v>Middle-Aged</v>
      </c>
      <c r="N373" t="s">
        <v>20</v>
      </c>
    </row>
    <row r="374" spans="1:14" x14ac:dyDescent="0.3">
      <c r="A374">
        <v>12510</v>
      </c>
      <c r="B374" t="s">
        <v>37</v>
      </c>
      <c r="C374" t="s">
        <v>39</v>
      </c>
      <c r="D374" s="3">
        <v>40000</v>
      </c>
      <c r="E374">
        <v>1</v>
      </c>
      <c r="F374" t="s">
        <v>15</v>
      </c>
      <c r="G374" t="s">
        <v>16</v>
      </c>
      <c r="H374" t="s">
        <v>17</v>
      </c>
      <c r="I374">
        <v>1</v>
      </c>
      <c r="J374" t="s">
        <v>18</v>
      </c>
      <c r="K374" t="s">
        <v>19</v>
      </c>
      <c r="L374">
        <v>43</v>
      </c>
      <c r="M374" t="str" cm="1">
        <f t="array" ref="M374">_xlfn.IFS(
L374&lt;=12,"Children",
L374&lt;=19,"Teens",
L374&lt;=29,"Young Adults",
L374&lt;=39,"Adults",
L374&lt;=59,"Middle-Aged",
L374&gt;=60,"Seniors"
)</f>
        <v>Middle-Aged</v>
      </c>
      <c r="N374" t="s">
        <v>17</v>
      </c>
    </row>
    <row r="375" spans="1:14" x14ac:dyDescent="0.3">
      <c r="A375">
        <v>25512</v>
      </c>
      <c r="B375" t="s">
        <v>40</v>
      </c>
      <c r="C375" t="s">
        <v>39</v>
      </c>
      <c r="D375" s="3">
        <v>20000</v>
      </c>
      <c r="E375">
        <v>0</v>
      </c>
      <c r="F375" t="s">
        <v>30</v>
      </c>
      <c r="G375" t="s">
        <v>28</v>
      </c>
      <c r="H375" t="s">
        <v>20</v>
      </c>
      <c r="I375">
        <v>1</v>
      </c>
      <c r="J375" t="s">
        <v>24</v>
      </c>
      <c r="K375" t="s">
        <v>19</v>
      </c>
      <c r="L375">
        <v>30</v>
      </c>
      <c r="M375" t="str" cm="1">
        <f t="array" ref="M375">_xlfn.IFS(
L375&lt;=12,"Children",
L375&lt;=19,"Teens",
L375&lt;=29,"Young Adults",
L375&lt;=39,"Adults",
L375&lt;=59,"Middle-Aged",
L375&gt;=60,"Seniors"
)</f>
        <v>Adults</v>
      </c>
      <c r="N375" t="s">
        <v>20</v>
      </c>
    </row>
    <row r="376" spans="1:14" x14ac:dyDescent="0.3">
      <c r="A376">
        <v>16179</v>
      </c>
      <c r="B376" t="s">
        <v>40</v>
      </c>
      <c r="C376" t="s">
        <v>38</v>
      </c>
      <c r="D376" s="3">
        <v>80000</v>
      </c>
      <c r="E376">
        <v>5</v>
      </c>
      <c r="F376" t="s">
        <v>15</v>
      </c>
      <c r="G376" t="s">
        <v>23</v>
      </c>
      <c r="H376" t="s">
        <v>17</v>
      </c>
      <c r="I376">
        <v>4</v>
      </c>
      <c r="J376" t="s">
        <v>29</v>
      </c>
      <c r="K376" t="s">
        <v>27</v>
      </c>
      <c r="L376">
        <v>38</v>
      </c>
      <c r="M376" t="str" cm="1">
        <f t="array" ref="M376">_xlfn.IFS(
L376&lt;=12,"Children",
L376&lt;=19,"Teens",
L376&lt;=29,"Young Adults",
L376&lt;=39,"Adults",
L376&lt;=59,"Middle-Aged",
L376&gt;=60,"Seniors"
)</f>
        <v>Adults</v>
      </c>
      <c r="N376" t="s">
        <v>20</v>
      </c>
    </row>
    <row r="377" spans="1:14" x14ac:dyDescent="0.3">
      <c r="A377">
        <v>15628</v>
      </c>
      <c r="B377" t="s">
        <v>37</v>
      </c>
      <c r="C377" t="s">
        <v>38</v>
      </c>
      <c r="D377" s="3">
        <v>40000</v>
      </c>
      <c r="E377">
        <v>1</v>
      </c>
      <c r="F377" t="s">
        <v>15</v>
      </c>
      <c r="G377" t="s">
        <v>16</v>
      </c>
      <c r="H377" t="s">
        <v>17</v>
      </c>
      <c r="I377">
        <v>1</v>
      </c>
      <c r="J377" t="s">
        <v>18</v>
      </c>
      <c r="K377" t="s">
        <v>19</v>
      </c>
      <c r="L377">
        <v>89</v>
      </c>
      <c r="M377" t="str" cm="1">
        <f t="array" ref="M377">_xlfn.IFS(
L377&lt;=12,"Children",
L377&lt;=19,"Teens",
L377&lt;=29,"Young Adults",
L377&lt;=39,"Adults",
L377&lt;=59,"Middle-Aged",
L377&gt;=60,"Seniors"
)</f>
        <v>Seniors</v>
      </c>
      <c r="N377" t="s">
        <v>20</v>
      </c>
    </row>
    <row r="378" spans="1:14" x14ac:dyDescent="0.3">
      <c r="A378">
        <v>20977</v>
      </c>
      <c r="B378" t="s">
        <v>37</v>
      </c>
      <c r="C378" t="s">
        <v>39</v>
      </c>
      <c r="D378" s="3">
        <v>20000</v>
      </c>
      <c r="E378">
        <v>1</v>
      </c>
      <c r="F378" t="s">
        <v>15</v>
      </c>
      <c r="G378" t="s">
        <v>22</v>
      </c>
      <c r="H378" t="s">
        <v>17</v>
      </c>
      <c r="I378">
        <v>0</v>
      </c>
      <c r="J378" t="s">
        <v>18</v>
      </c>
      <c r="K378" t="s">
        <v>19</v>
      </c>
      <c r="L378">
        <v>64</v>
      </c>
      <c r="M378" t="str" cm="1">
        <f t="array" ref="M378">_xlfn.IFS(
L378&lt;=12,"Children",
L378&lt;=19,"Teens",
L378&lt;=29,"Young Adults",
L378&lt;=39,"Adults",
L378&lt;=59,"Middle-Aged",
L378&gt;=60,"Seniors"
)</f>
        <v>Seniors</v>
      </c>
      <c r="N378" t="s">
        <v>17</v>
      </c>
    </row>
    <row r="379" spans="1:14" x14ac:dyDescent="0.3">
      <c r="A379">
        <v>18140</v>
      </c>
      <c r="B379" t="s">
        <v>37</v>
      </c>
      <c r="C379" t="s">
        <v>39</v>
      </c>
      <c r="D379" s="3">
        <v>130000</v>
      </c>
      <c r="E379">
        <v>3</v>
      </c>
      <c r="F379" t="s">
        <v>21</v>
      </c>
      <c r="G379" t="s">
        <v>23</v>
      </c>
      <c r="H379" t="s">
        <v>20</v>
      </c>
      <c r="I379">
        <v>3</v>
      </c>
      <c r="J379" t="s">
        <v>26</v>
      </c>
      <c r="K379" t="s">
        <v>19</v>
      </c>
      <c r="L379">
        <v>51</v>
      </c>
      <c r="M379" t="str" cm="1">
        <f t="array" ref="M379">_xlfn.IFS(
L379&lt;=12,"Children",
L379&lt;=19,"Teens",
L379&lt;=29,"Young Adults",
L379&lt;=39,"Adults",
L379&lt;=59,"Middle-Aged",
L379&gt;=60,"Seniors"
)</f>
        <v>Middle-Aged</v>
      </c>
      <c r="N379" t="s">
        <v>17</v>
      </c>
    </row>
    <row r="380" spans="1:14" x14ac:dyDescent="0.3">
      <c r="A380">
        <v>20417</v>
      </c>
      <c r="B380" t="s">
        <v>37</v>
      </c>
      <c r="C380" t="s">
        <v>39</v>
      </c>
      <c r="D380" s="3">
        <v>30000</v>
      </c>
      <c r="E380">
        <v>3</v>
      </c>
      <c r="F380" t="s">
        <v>21</v>
      </c>
      <c r="G380" t="s">
        <v>22</v>
      </c>
      <c r="H380" t="s">
        <v>20</v>
      </c>
      <c r="I380">
        <v>2</v>
      </c>
      <c r="J380" t="s">
        <v>26</v>
      </c>
      <c r="K380" t="s">
        <v>27</v>
      </c>
      <c r="L380">
        <v>56</v>
      </c>
      <c r="M380" t="str" cm="1">
        <f t="array" ref="M380">_xlfn.IFS(
L380&lt;=12,"Children",
L380&lt;=19,"Teens",
L380&lt;=29,"Young Adults",
L380&lt;=39,"Adults",
L380&lt;=59,"Middle-Aged",
L380&gt;=60,"Seniors"
)</f>
        <v>Middle-Aged</v>
      </c>
      <c r="N380" t="s">
        <v>20</v>
      </c>
    </row>
    <row r="381" spans="1:14" x14ac:dyDescent="0.3">
      <c r="A381">
        <v>18267</v>
      </c>
      <c r="B381" t="s">
        <v>37</v>
      </c>
      <c r="C381" t="s">
        <v>39</v>
      </c>
      <c r="D381" s="3">
        <v>60000</v>
      </c>
      <c r="E381">
        <v>3</v>
      </c>
      <c r="F381" t="s">
        <v>15</v>
      </c>
      <c r="G381" t="s">
        <v>23</v>
      </c>
      <c r="H381" t="s">
        <v>17</v>
      </c>
      <c r="I381">
        <v>2</v>
      </c>
      <c r="J381" t="s">
        <v>26</v>
      </c>
      <c r="K381" t="s">
        <v>27</v>
      </c>
      <c r="L381">
        <v>43</v>
      </c>
      <c r="M381" t="str" cm="1">
        <f t="array" ref="M381">_xlfn.IFS(
L381&lt;=12,"Children",
L381&lt;=19,"Teens",
L381&lt;=29,"Young Adults",
L381&lt;=39,"Adults",
L381&lt;=59,"Middle-Aged",
L381&gt;=60,"Seniors"
)</f>
        <v>Middle-Aged</v>
      </c>
      <c r="N381" t="s">
        <v>20</v>
      </c>
    </row>
    <row r="382" spans="1:14" x14ac:dyDescent="0.3">
      <c r="A382">
        <v>13620</v>
      </c>
      <c r="B382" t="s">
        <v>40</v>
      </c>
      <c r="C382" t="s">
        <v>39</v>
      </c>
      <c r="D382" s="3">
        <v>70000</v>
      </c>
      <c r="E382">
        <v>0</v>
      </c>
      <c r="F382" t="s">
        <v>15</v>
      </c>
      <c r="G382" t="s">
        <v>23</v>
      </c>
      <c r="H382" t="s">
        <v>20</v>
      </c>
      <c r="I382">
        <v>3</v>
      </c>
      <c r="J382" t="s">
        <v>41</v>
      </c>
      <c r="K382" t="s">
        <v>27</v>
      </c>
      <c r="L382">
        <v>30</v>
      </c>
      <c r="M382" t="str" cm="1">
        <f t="array" ref="M382">_xlfn.IFS(
L382&lt;=12,"Children",
L382&lt;=19,"Teens",
L382&lt;=29,"Young Adults",
L382&lt;=39,"Adults",
L382&lt;=59,"Middle-Aged",
L382&gt;=60,"Seniors"
)</f>
        <v>Adults</v>
      </c>
      <c r="N382" t="s">
        <v>17</v>
      </c>
    </row>
    <row r="383" spans="1:14" x14ac:dyDescent="0.3">
      <c r="A383">
        <v>22974</v>
      </c>
      <c r="B383" t="s">
        <v>37</v>
      </c>
      <c r="C383" t="s">
        <v>38</v>
      </c>
      <c r="D383" s="3">
        <v>30000</v>
      </c>
      <c r="E383">
        <v>2</v>
      </c>
      <c r="F383" t="s">
        <v>21</v>
      </c>
      <c r="G383" t="s">
        <v>22</v>
      </c>
      <c r="H383" t="s">
        <v>17</v>
      </c>
      <c r="I383">
        <v>2</v>
      </c>
      <c r="J383" t="s">
        <v>26</v>
      </c>
      <c r="K383" t="s">
        <v>27</v>
      </c>
      <c r="L383">
        <v>69</v>
      </c>
      <c r="M383" t="str" cm="1">
        <f t="array" ref="M383">_xlfn.IFS(
L383&lt;=12,"Children",
L383&lt;=19,"Teens",
L383&lt;=29,"Young Adults",
L383&lt;=39,"Adults",
L383&lt;=59,"Middle-Aged",
L383&gt;=60,"Seniors"
)</f>
        <v>Seniors</v>
      </c>
      <c r="N383" t="s">
        <v>20</v>
      </c>
    </row>
    <row r="384" spans="1:14" x14ac:dyDescent="0.3">
      <c r="A384">
        <v>13586</v>
      </c>
      <c r="B384" t="s">
        <v>37</v>
      </c>
      <c r="C384" t="s">
        <v>39</v>
      </c>
      <c r="D384" s="3">
        <v>80000</v>
      </c>
      <c r="E384">
        <v>4</v>
      </c>
      <c r="F384" t="s">
        <v>21</v>
      </c>
      <c r="G384" t="s">
        <v>23</v>
      </c>
      <c r="H384" t="s">
        <v>17</v>
      </c>
      <c r="I384">
        <v>2</v>
      </c>
      <c r="J384" t="s">
        <v>41</v>
      </c>
      <c r="K384" t="s">
        <v>19</v>
      </c>
      <c r="L384">
        <v>53</v>
      </c>
      <c r="M384" t="str" cm="1">
        <f t="array" ref="M384">_xlfn.IFS(
L384&lt;=12,"Children",
L384&lt;=19,"Teens",
L384&lt;=29,"Young Adults",
L384&lt;=39,"Adults",
L384&lt;=59,"Middle-Aged",
L384&gt;=60,"Seniors"
)</f>
        <v>Middle-Aged</v>
      </c>
      <c r="N384" t="s">
        <v>20</v>
      </c>
    </row>
    <row r="385" spans="1:14" x14ac:dyDescent="0.3">
      <c r="A385">
        <v>17978</v>
      </c>
      <c r="B385" t="s">
        <v>37</v>
      </c>
      <c r="C385" t="s">
        <v>39</v>
      </c>
      <c r="D385" s="3">
        <v>40000</v>
      </c>
      <c r="E385">
        <v>0</v>
      </c>
      <c r="F385" t="s">
        <v>34</v>
      </c>
      <c r="G385" t="s">
        <v>22</v>
      </c>
      <c r="H385" t="s">
        <v>17</v>
      </c>
      <c r="I385">
        <v>0</v>
      </c>
      <c r="J385" t="s">
        <v>18</v>
      </c>
      <c r="K385" t="s">
        <v>19</v>
      </c>
      <c r="L385">
        <v>37</v>
      </c>
      <c r="M385" t="str" cm="1">
        <f t="array" ref="M385">_xlfn.IFS(
L385&lt;=12,"Children",
L385&lt;=19,"Teens",
L385&lt;=29,"Young Adults",
L385&lt;=39,"Adults",
L385&lt;=59,"Middle-Aged",
L385&gt;=60,"Seniors"
)</f>
        <v>Adults</v>
      </c>
      <c r="N385" t="s">
        <v>17</v>
      </c>
    </row>
    <row r="386" spans="1:14" x14ac:dyDescent="0.3">
      <c r="A386">
        <v>12581</v>
      </c>
      <c r="B386" t="s">
        <v>40</v>
      </c>
      <c r="C386" t="s">
        <v>38</v>
      </c>
      <c r="D386" s="3">
        <v>10000</v>
      </c>
      <c r="E386">
        <v>0</v>
      </c>
      <c r="F386" t="s">
        <v>21</v>
      </c>
      <c r="G386" t="s">
        <v>28</v>
      </c>
      <c r="H386" t="s">
        <v>20</v>
      </c>
      <c r="I386">
        <v>1</v>
      </c>
      <c r="J386" t="s">
        <v>18</v>
      </c>
      <c r="K386" t="s">
        <v>27</v>
      </c>
      <c r="L386">
        <v>28</v>
      </c>
      <c r="M386" t="str" cm="1">
        <f t="array" ref="M386">_xlfn.IFS(
L386&lt;=12,"Children",
L386&lt;=19,"Teens",
L386&lt;=29,"Young Adults",
L386&lt;=39,"Adults",
L386&lt;=59,"Middle-Aged",
L386&gt;=60,"Seniors"
)</f>
        <v>Young Adults</v>
      </c>
      <c r="N386" t="s">
        <v>17</v>
      </c>
    </row>
    <row r="387" spans="1:14" x14ac:dyDescent="0.3">
      <c r="A387">
        <v>18018</v>
      </c>
      <c r="B387" t="s">
        <v>40</v>
      </c>
      <c r="C387" t="s">
        <v>39</v>
      </c>
      <c r="D387" s="3">
        <v>30000</v>
      </c>
      <c r="E387">
        <v>3</v>
      </c>
      <c r="F387" t="s">
        <v>21</v>
      </c>
      <c r="G387" t="s">
        <v>22</v>
      </c>
      <c r="H387" t="s">
        <v>17</v>
      </c>
      <c r="I387">
        <v>0</v>
      </c>
      <c r="J387" t="s">
        <v>18</v>
      </c>
      <c r="K387" t="s">
        <v>19</v>
      </c>
      <c r="L387">
        <v>43</v>
      </c>
      <c r="M387" t="str" cm="1">
        <f t="array" ref="M387">_xlfn.IFS(
L387&lt;=12,"Children",
L387&lt;=19,"Teens",
L387&lt;=29,"Young Adults",
L387&lt;=39,"Adults",
L387&lt;=59,"Middle-Aged",
L387&gt;=60,"Seniors"
)</f>
        <v>Middle-Aged</v>
      </c>
      <c r="N387" t="s">
        <v>20</v>
      </c>
    </row>
    <row r="388" spans="1:14" x14ac:dyDescent="0.3">
      <c r="A388">
        <v>28957</v>
      </c>
      <c r="B388" t="s">
        <v>40</v>
      </c>
      <c r="C388" t="s">
        <v>38</v>
      </c>
      <c r="D388" s="3">
        <v>120000</v>
      </c>
      <c r="E388">
        <v>0</v>
      </c>
      <c r="F388" t="s">
        <v>32</v>
      </c>
      <c r="G388" t="s">
        <v>23</v>
      </c>
      <c r="H388" t="s">
        <v>17</v>
      </c>
      <c r="I388">
        <v>4</v>
      </c>
      <c r="J388" t="s">
        <v>41</v>
      </c>
      <c r="K388" t="s">
        <v>27</v>
      </c>
      <c r="L388">
        <v>34</v>
      </c>
      <c r="M388" t="str" cm="1">
        <f t="array" ref="M388">_xlfn.IFS(
L388&lt;=12,"Children",
L388&lt;=19,"Teens",
L388&lt;=29,"Young Adults",
L388&lt;=39,"Adults",
L388&lt;=59,"Middle-Aged",
L388&gt;=60,"Seniors"
)</f>
        <v>Adults</v>
      </c>
      <c r="N388" t="s">
        <v>17</v>
      </c>
    </row>
    <row r="389" spans="1:14" x14ac:dyDescent="0.3">
      <c r="A389">
        <v>13690</v>
      </c>
      <c r="B389" t="s">
        <v>40</v>
      </c>
      <c r="C389" t="s">
        <v>38</v>
      </c>
      <c r="D389" s="3">
        <v>20000</v>
      </c>
      <c r="E389">
        <v>0</v>
      </c>
      <c r="F389" t="s">
        <v>32</v>
      </c>
      <c r="G389" t="s">
        <v>28</v>
      </c>
      <c r="H389" t="s">
        <v>20</v>
      </c>
      <c r="I389">
        <v>2</v>
      </c>
      <c r="J389" t="s">
        <v>29</v>
      </c>
      <c r="K389" t="s">
        <v>19</v>
      </c>
      <c r="L389">
        <v>34</v>
      </c>
      <c r="M389" t="str" cm="1">
        <f t="array" ref="M389">_xlfn.IFS(
L389&lt;=12,"Children",
L389&lt;=19,"Teens",
L389&lt;=29,"Young Adults",
L389&lt;=39,"Adults",
L389&lt;=59,"Middle-Aged",
L389&gt;=60,"Seniors"
)</f>
        <v>Adults</v>
      </c>
      <c r="N389" t="s">
        <v>17</v>
      </c>
    </row>
    <row r="390" spans="1:14" x14ac:dyDescent="0.3">
      <c r="A390">
        <v>12568</v>
      </c>
      <c r="B390" t="s">
        <v>37</v>
      </c>
      <c r="C390" t="s">
        <v>38</v>
      </c>
      <c r="D390" s="3">
        <v>30000</v>
      </c>
      <c r="E390">
        <v>1</v>
      </c>
      <c r="F390" t="s">
        <v>15</v>
      </c>
      <c r="G390" t="s">
        <v>22</v>
      </c>
      <c r="H390" t="s">
        <v>17</v>
      </c>
      <c r="I390">
        <v>0</v>
      </c>
      <c r="J390" t="s">
        <v>18</v>
      </c>
      <c r="K390" t="s">
        <v>19</v>
      </c>
      <c r="L390">
        <v>64</v>
      </c>
      <c r="M390" t="str" cm="1">
        <f t="array" ref="M390">_xlfn.IFS(
L390&lt;=12,"Children",
L390&lt;=19,"Teens",
L390&lt;=29,"Young Adults",
L390&lt;=39,"Adults",
L390&lt;=59,"Middle-Aged",
L390&gt;=60,"Seniors"
)</f>
        <v>Seniors</v>
      </c>
      <c r="N390" t="s">
        <v>20</v>
      </c>
    </row>
    <row r="391" spans="1:14" x14ac:dyDescent="0.3">
      <c r="A391">
        <v>13122</v>
      </c>
      <c r="B391" t="s">
        <v>37</v>
      </c>
      <c r="C391" t="s">
        <v>38</v>
      </c>
      <c r="D391" s="3">
        <v>80000</v>
      </c>
      <c r="E391">
        <v>0</v>
      </c>
      <c r="F391" t="s">
        <v>15</v>
      </c>
      <c r="G391" t="s">
        <v>23</v>
      </c>
      <c r="H391" t="s">
        <v>17</v>
      </c>
      <c r="I391">
        <v>1</v>
      </c>
      <c r="J391" t="s">
        <v>29</v>
      </c>
      <c r="K391" t="s">
        <v>27</v>
      </c>
      <c r="L391">
        <v>41</v>
      </c>
      <c r="M391" t="str" cm="1">
        <f t="array" ref="M391">_xlfn.IFS(
L391&lt;=12,"Children",
L391&lt;=19,"Teens",
L391&lt;=29,"Young Adults",
L391&lt;=39,"Adults",
L391&lt;=59,"Middle-Aged",
L391&gt;=60,"Seniors"
)</f>
        <v>Middle-Aged</v>
      </c>
      <c r="N391" t="s">
        <v>17</v>
      </c>
    </row>
    <row r="392" spans="1:14" x14ac:dyDescent="0.3">
      <c r="A392">
        <v>21184</v>
      </c>
      <c r="B392" t="s">
        <v>40</v>
      </c>
      <c r="C392" t="s">
        <v>39</v>
      </c>
      <c r="D392" s="3">
        <v>70000</v>
      </c>
      <c r="E392">
        <v>0</v>
      </c>
      <c r="F392" t="s">
        <v>15</v>
      </c>
      <c r="G392" t="s">
        <v>23</v>
      </c>
      <c r="H392" t="s">
        <v>20</v>
      </c>
      <c r="I392">
        <v>1</v>
      </c>
      <c r="J392" t="s">
        <v>26</v>
      </c>
      <c r="K392" t="s">
        <v>27</v>
      </c>
      <c r="L392">
        <v>38</v>
      </c>
      <c r="M392" t="str" cm="1">
        <f t="array" ref="M392">_xlfn.IFS(
L392&lt;=12,"Children",
L392&lt;=19,"Teens",
L392&lt;=29,"Young Adults",
L392&lt;=39,"Adults",
L392&lt;=59,"Middle-Aged",
L392&gt;=60,"Seniors"
)</f>
        <v>Adults</v>
      </c>
      <c r="N392" t="s">
        <v>20</v>
      </c>
    </row>
    <row r="393" spans="1:14" x14ac:dyDescent="0.3">
      <c r="A393">
        <v>26150</v>
      </c>
      <c r="B393" t="s">
        <v>40</v>
      </c>
      <c r="C393" t="s">
        <v>38</v>
      </c>
      <c r="D393" s="3">
        <v>70000</v>
      </c>
      <c r="E393">
        <v>0</v>
      </c>
      <c r="F393" t="s">
        <v>15</v>
      </c>
      <c r="G393" t="s">
        <v>23</v>
      </c>
      <c r="H393" t="s">
        <v>20</v>
      </c>
      <c r="I393">
        <v>1</v>
      </c>
      <c r="J393" t="s">
        <v>18</v>
      </c>
      <c r="K393" t="s">
        <v>27</v>
      </c>
      <c r="L393">
        <v>41</v>
      </c>
      <c r="M393" t="str" cm="1">
        <f t="array" ref="M393">_xlfn.IFS(
L393&lt;=12,"Children",
L393&lt;=19,"Teens",
L393&lt;=29,"Young Adults",
L393&lt;=39,"Adults",
L393&lt;=59,"Middle-Aged",
L393&gt;=60,"Seniors"
)</f>
        <v>Middle-Aged</v>
      </c>
      <c r="N393" t="s">
        <v>17</v>
      </c>
    </row>
    <row r="394" spans="1:14" x14ac:dyDescent="0.3">
      <c r="A394">
        <v>24151</v>
      </c>
      <c r="B394" t="s">
        <v>40</v>
      </c>
      <c r="C394" t="s">
        <v>39</v>
      </c>
      <c r="D394" s="3">
        <v>20000</v>
      </c>
      <c r="E394">
        <v>1</v>
      </c>
      <c r="F394" t="s">
        <v>15</v>
      </c>
      <c r="G394" t="s">
        <v>22</v>
      </c>
      <c r="H394" t="s">
        <v>20</v>
      </c>
      <c r="I394">
        <v>0</v>
      </c>
      <c r="J394" t="s">
        <v>18</v>
      </c>
      <c r="K394" t="s">
        <v>19</v>
      </c>
      <c r="L394">
        <v>51</v>
      </c>
      <c r="M394" t="str" cm="1">
        <f t="array" ref="M394">_xlfn.IFS(
L394&lt;=12,"Children",
L394&lt;=19,"Teens",
L394&lt;=29,"Young Adults",
L394&lt;=39,"Adults",
L394&lt;=59,"Middle-Aged",
L394&gt;=60,"Seniors"
)</f>
        <v>Middle-Aged</v>
      </c>
      <c r="N394" t="s">
        <v>20</v>
      </c>
    </row>
    <row r="395" spans="1:14" x14ac:dyDescent="0.3">
      <c r="A395">
        <v>23962</v>
      </c>
      <c r="B395" t="s">
        <v>37</v>
      </c>
      <c r="C395" t="s">
        <v>38</v>
      </c>
      <c r="D395" s="3">
        <v>10000</v>
      </c>
      <c r="E395">
        <v>0</v>
      </c>
      <c r="F395" t="s">
        <v>32</v>
      </c>
      <c r="G395" t="s">
        <v>28</v>
      </c>
      <c r="H395" t="s">
        <v>17</v>
      </c>
      <c r="I395">
        <v>2</v>
      </c>
      <c r="J395" t="s">
        <v>29</v>
      </c>
      <c r="K395" t="s">
        <v>19</v>
      </c>
      <c r="L395">
        <v>32</v>
      </c>
      <c r="M395" t="str" cm="1">
        <f t="array" ref="M395">_xlfn.IFS(
L395&lt;=12,"Children",
L395&lt;=19,"Teens",
L395&lt;=29,"Young Adults",
L395&lt;=39,"Adults",
L395&lt;=59,"Middle-Aged",
L395&gt;=60,"Seniors"
)</f>
        <v>Adults</v>
      </c>
      <c r="N395" t="s">
        <v>20</v>
      </c>
    </row>
    <row r="396" spans="1:14" x14ac:dyDescent="0.3">
      <c r="A396">
        <v>17793</v>
      </c>
      <c r="B396" t="s">
        <v>37</v>
      </c>
      <c r="C396" t="s">
        <v>38</v>
      </c>
      <c r="D396" s="3">
        <v>40000</v>
      </c>
      <c r="E396">
        <v>0</v>
      </c>
      <c r="F396" t="s">
        <v>15</v>
      </c>
      <c r="G396" t="s">
        <v>22</v>
      </c>
      <c r="H396" t="s">
        <v>17</v>
      </c>
      <c r="I396">
        <v>0</v>
      </c>
      <c r="J396" t="s">
        <v>18</v>
      </c>
      <c r="K396" t="s">
        <v>19</v>
      </c>
      <c r="L396">
        <v>38</v>
      </c>
      <c r="M396" t="str" cm="1">
        <f t="array" ref="M396">_xlfn.IFS(
L396&lt;=12,"Children",
L396&lt;=19,"Teens",
L396&lt;=29,"Young Adults",
L396&lt;=39,"Adults",
L396&lt;=59,"Middle-Aged",
L396&gt;=60,"Seniors"
)</f>
        <v>Adults</v>
      </c>
      <c r="N396" t="s">
        <v>17</v>
      </c>
    </row>
    <row r="397" spans="1:14" x14ac:dyDescent="0.3">
      <c r="A397">
        <v>14926</v>
      </c>
      <c r="B397" t="s">
        <v>37</v>
      </c>
      <c r="C397" t="s">
        <v>39</v>
      </c>
      <c r="D397" s="3">
        <v>30000</v>
      </c>
      <c r="E397">
        <v>1</v>
      </c>
      <c r="F397" t="s">
        <v>15</v>
      </c>
      <c r="G397" t="s">
        <v>22</v>
      </c>
      <c r="H397" t="s">
        <v>17</v>
      </c>
      <c r="I397">
        <v>0</v>
      </c>
      <c r="J397" t="s">
        <v>18</v>
      </c>
      <c r="K397" t="s">
        <v>19</v>
      </c>
      <c r="L397">
        <v>38</v>
      </c>
      <c r="M397" t="str" cm="1">
        <f t="array" ref="M397">_xlfn.IFS(
L397&lt;=12,"Children",
L397&lt;=19,"Teens",
L397&lt;=29,"Young Adults",
L397&lt;=39,"Adults",
L397&lt;=59,"Middle-Aged",
L397&gt;=60,"Seniors"
)</f>
        <v>Adults</v>
      </c>
      <c r="N397" t="s">
        <v>17</v>
      </c>
    </row>
    <row r="398" spans="1:14" x14ac:dyDescent="0.3">
      <c r="A398">
        <v>16163</v>
      </c>
      <c r="B398" t="s">
        <v>40</v>
      </c>
      <c r="C398" t="s">
        <v>39</v>
      </c>
      <c r="D398" s="3">
        <v>60000</v>
      </c>
      <c r="E398">
        <v>2</v>
      </c>
      <c r="F398" t="s">
        <v>15</v>
      </c>
      <c r="G398" t="s">
        <v>23</v>
      </c>
      <c r="H398" t="s">
        <v>17</v>
      </c>
      <c r="I398">
        <v>1</v>
      </c>
      <c r="J398" t="s">
        <v>24</v>
      </c>
      <c r="K398" t="s">
        <v>27</v>
      </c>
      <c r="L398">
        <v>38</v>
      </c>
      <c r="M398" t="str" cm="1">
        <f t="array" ref="M398">_xlfn.IFS(
L398&lt;=12,"Children",
L398&lt;=19,"Teens",
L398&lt;=29,"Young Adults",
L398&lt;=39,"Adults",
L398&lt;=59,"Middle-Aged",
L398&gt;=60,"Seniors"
)</f>
        <v>Adults</v>
      </c>
      <c r="N398" t="s">
        <v>17</v>
      </c>
    </row>
    <row r="399" spans="1:14" x14ac:dyDescent="0.3">
      <c r="A399">
        <v>21365</v>
      </c>
      <c r="B399" t="s">
        <v>37</v>
      </c>
      <c r="C399" t="s">
        <v>38</v>
      </c>
      <c r="D399" s="3">
        <v>10000</v>
      </c>
      <c r="E399">
        <v>2</v>
      </c>
      <c r="F399" t="s">
        <v>32</v>
      </c>
      <c r="G399" t="s">
        <v>22</v>
      </c>
      <c r="H399" t="s">
        <v>17</v>
      </c>
      <c r="I399">
        <v>2</v>
      </c>
      <c r="J399" t="s">
        <v>26</v>
      </c>
      <c r="K399" t="s">
        <v>27</v>
      </c>
      <c r="L399">
        <v>58</v>
      </c>
      <c r="M399" t="str" cm="1">
        <f t="array" ref="M399">_xlfn.IFS(
L399&lt;=12,"Children",
L399&lt;=19,"Teens",
L399&lt;=29,"Young Adults",
L399&lt;=39,"Adults",
L399&lt;=59,"Middle-Aged",
L399&gt;=60,"Seniors"
)</f>
        <v>Middle-Aged</v>
      </c>
      <c r="N399" t="s">
        <v>20</v>
      </c>
    </row>
    <row r="400" spans="1:14" x14ac:dyDescent="0.3">
      <c r="A400">
        <v>27771</v>
      </c>
      <c r="B400" t="s">
        <v>40</v>
      </c>
      <c r="C400" t="s">
        <v>39</v>
      </c>
      <c r="D400" s="3">
        <v>30000</v>
      </c>
      <c r="E400">
        <v>1</v>
      </c>
      <c r="F400" t="s">
        <v>15</v>
      </c>
      <c r="G400" t="s">
        <v>22</v>
      </c>
      <c r="H400" t="s">
        <v>17</v>
      </c>
      <c r="I400">
        <v>1</v>
      </c>
      <c r="J400" t="s">
        <v>29</v>
      </c>
      <c r="K400" t="s">
        <v>19</v>
      </c>
      <c r="L400">
        <v>39</v>
      </c>
      <c r="M400" t="str" cm="1">
        <f t="array" ref="M400">_xlfn.IFS(
L400&lt;=12,"Children",
L400&lt;=19,"Teens",
L400&lt;=29,"Young Adults",
L400&lt;=39,"Adults",
L400&lt;=59,"Middle-Aged",
L400&gt;=60,"Seniors"
)</f>
        <v>Adults</v>
      </c>
      <c r="N400" t="s">
        <v>17</v>
      </c>
    </row>
    <row r="401" spans="1:14" x14ac:dyDescent="0.3">
      <c r="A401">
        <v>26167</v>
      </c>
      <c r="B401" t="s">
        <v>40</v>
      </c>
      <c r="C401" t="s">
        <v>38</v>
      </c>
      <c r="D401" s="3">
        <v>40000</v>
      </c>
      <c r="E401">
        <v>2</v>
      </c>
      <c r="F401" t="s">
        <v>15</v>
      </c>
      <c r="G401" t="s">
        <v>31</v>
      </c>
      <c r="H401" t="s">
        <v>20</v>
      </c>
      <c r="I401">
        <v>1</v>
      </c>
      <c r="J401" t="s">
        <v>26</v>
      </c>
      <c r="K401" t="s">
        <v>27</v>
      </c>
      <c r="L401">
        <v>53</v>
      </c>
      <c r="M401" t="str" cm="1">
        <f t="array" ref="M401">_xlfn.IFS(
L401&lt;=12,"Children",
L401&lt;=19,"Teens",
L401&lt;=29,"Young Adults",
L401&lt;=39,"Adults",
L401&lt;=59,"Middle-Aged",
L401&gt;=60,"Seniors"
)</f>
        <v>Middle-Aged</v>
      </c>
      <c r="N401" t="s">
        <v>17</v>
      </c>
    </row>
    <row r="402" spans="1:14" x14ac:dyDescent="0.3">
      <c r="A402">
        <v>25792</v>
      </c>
      <c r="B402" t="s">
        <v>40</v>
      </c>
      <c r="C402" t="s">
        <v>38</v>
      </c>
      <c r="D402" s="3">
        <v>110000</v>
      </c>
      <c r="E402">
        <v>3</v>
      </c>
      <c r="F402" t="s">
        <v>15</v>
      </c>
      <c r="G402" t="s">
        <v>31</v>
      </c>
      <c r="H402" t="s">
        <v>17</v>
      </c>
      <c r="I402">
        <v>4</v>
      </c>
      <c r="J402" t="s">
        <v>41</v>
      </c>
      <c r="K402" t="s">
        <v>19</v>
      </c>
      <c r="L402">
        <v>53</v>
      </c>
      <c r="M402" t="str" cm="1">
        <f t="array" ref="M402">_xlfn.IFS(
L402&lt;=12,"Children",
L402&lt;=19,"Teens",
L402&lt;=29,"Young Adults",
L402&lt;=39,"Adults",
L402&lt;=59,"Middle-Aged",
L402&gt;=60,"Seniors"
)</f>
        <v>Middle-Aged</v>
      </c>
      <c r="N402" t="s">
        <v>20</v>
      </c>
    </row>
    <row r="403" spans="1:14" x14ac:dyDescent="0.3">
      <c r="A403">
        <v>11555</v>
      </c>
      <c r="B403" t="s">
        <v>37</v>
      </c>
      <c r="C403" t="s">
        <v>38</v>
      </c>
      <c r="D403" s="3">
        <v>40000</v>
      </c>
      <c r="E403">
        <v>1</v>
      </c>
      <c r="F403" t="s">
        <v>15</v>
      </c>
      <c r="G403" t="s">
        <v>22</v>
      </c>
      <c r="H403" t="s">
        <v>17</v>
      </c>
      <c r="I403">
        <v>0</v>
      </c>
      <c r="J403" t="s">
        <v>18</v>
      </c>
      <c r="K403" t="s">
        <v>19</v>
      </c>
      <c r="L403">
        <v>80</v>
      </c>
      <c r="M403" t="str" cm="1">
        <f t="array" ref="M403">_xlfn.IFS(
L403&lt;=12,"Children",
L403&lt;=19,"Teens",
L403&lt;=29,"Young Adults",
L403&lt;=39,"Adults",
L403&lt;=59,"Middle-Aged",
L403&gt;=60,"Seniors"
)</f>
        <v>Seniors</v>
      </c>
      <c r="N403" t="s">
        <v>20</v>
      </c>
    </row>
    <row r="404" spans="1:14" x14ac:dyDescent="0.3">
      <c r="A404">
        <v>22381</v>
      </c>
      <c r="B404" t="s">
        <v>37</v>
      </c>
      <c r="C404" t="s">
        <v>39</v>
      </c>
      <c r="D404" s="3">
        <v>10000</v>
      </c>
      <c r="E404">
        <v>1</v>
      </c>
      <c r="F404" t="s">
        <v>34</v>
      </c>
      <c r="G404" t="s">
        <v>28</v>
      </c>
      <c r="H404" t="s">
        <v>17</v>
      </c>
      <c r="I404">
        <v>0</v>
      </c>
      <c r="J404" t="s">
        <v>18</v>
      </c>
      <c r="K404" t="s">
        <v>19</v>
      </c>
      <c r="L404">
        <v>44</v>
      </c>
      <c r="M404" t="str" cm="1">
        <f t="array" ref="M404">_xlfn.IFS(
L404&lt;=12,"Children",
L404&lt;=19,"Teens",
L404&lt;=29,"Young Adults",
L404&lt;=39,"Adults",
L404&lt;=59,"Middle-Aged",
L404&gt;=60,"Seniors"
)</f>
        <v>Middle-Aged</v>
      </c>
      <c r="N404" t="s">
        <v>20</v>
      </c>
    </row>
    <row r="405" spans="1:14" x14ac:dyDescent="0.3">
      <c r="A405">
        <v>17882</v>
      </c>
      <c r="B405" t="s">
        <v>37</v>
      </c>
      <c r="C405" t="s">
        <v>39</v>
      </c>
      <c r="D405" s="3">
        <v>20000</v>
      </c>
      <c r="E405">
        <v>1</v>
      </c>
      <c r="F405" t="s">
        <v>34</v>
      </c>
      <c r="G405" t="s">
        <v>22</v>
      </c>
      <c r="H405" t="s">
        <v>17</v>
      </c>
      <c r="I405">
        <v>0</v>
      </c>
      <c r="J405" t="s">
        <v>18</v>
      </c>
      <c r="K405" t="s">
        <v>19</v>
      </c>
      <c r="L405">
        <v>44</v>
      </c>
      <c r="M405" t="str" cm="1">
        <f t="array" ref="M405">_xlfn.IFS(
L405&lt;=12,"Children",
L405&lt;=19,"Teens",
L405&lt;=29,"Young Adults",
L405&lt;=39,"Adults",
L405&lt;=59,"Middle-Aged",
L405&gt;=60,"Seniors"
)</f>
        <v>Middle-Aged</v>
      </c>
      <c r="N405" t="s">
        <v>20</v>
      </c>
    </row>
    <row r="406" spans="1:14" x14ac:dyDescent="0.3">
      <c r="A406">
        <v>22174</v>
      </c>
      <c r="B406" t="s">
        <v>37</v>
      </c>
      <c r="C406" t="s">
        <v>39</v>
      </c>
      <c r="D406" s="3">
        <v>30000</v>
      </c>
      <c r="E406">
        <v>3</v>
      </c>
      <c r="F406" t="s">
        <v>30</v>
      </c>
      <c r="G406" t="s">
        <v>16</v>
      </c>
      <c r="H406" t="s">
        <v>17</v>
      </c>
      <c r="I406">
        <v>2</v>
      </c>
      <c r="J406" t="s">
        <v>26</v>
      </c>
      <c r="K406" t="s">
        <v>27</v>
      </c>
      <c r="L406">
        <v>54</v>
      </c>
      <c r="M406" t="str" cm="1">
        <f t="array" ref="M406">_xlfn.IFS(
L406&lt;=12,"Children",
L406&lt;=19,"Teens",
L406&lt;=29,"Young Adults",
L406&lt;=39,"Adults",
L406&lt;=59,"Middle-Aged",
L406&gt;=60,"Seniors"
)</f>
        <v>Middle-Aged</v>
      </c>
      <c r="N406" t="s">
        <v>17</v>
      </c>
    </row>
    <row r="407" spans="1:14" x14ac:dyDescent="0.3">
      <c r="A407">
        <v>22439</v>
      </c>
      <c r="B407" t="s">
        <v>37</v>
      </c>
      <c r="C407" t="s">
        <v>38</v>
      </c>
      <c r="D407" s="3">
        <v>30000</v>
      </c>
      <c r="E407">
        <v>0</v>
      </c>
      <c r="F407" t="s">
        <v>15</v>
      </c>
      <c r="G407" t="s">
        <v>22</v>
      </c>
      <c r="H407" t="s">
        <v>17</v>
      </c>
      <c r="I407">
        <v>0</v>
      </c>
      <c r="J407" t="s">
        <v>18</v>
      </c>
      <c r="K407" t="s">
        <v>19</v>
      </c>
      <c r="L407">
        <v>37</v>
      </c>
      <c r="M407" t="str" cm="1">
        <f t="array" ref="M407">_xlfn.IFS(
L407&lt;=12,"Children",
L407&lt;=19,"Teens",
L407&lt;=29,"Young Adults",
L407&lt;=39,"Adults",
L407&lt;=59,"Middle-Aged",
L407&gt;=60,"Seniors"
)</f>
        <v>Adults</v>
      </c>
      <c r="N407" t="s">
        <v>17</v>
      </c>
    </row>
    <row r="408" spans="1:14" x14ac:dyDescent="0.3">
      <c r="A408">
        <v>18012</v>
      </c>
      <c r="B408" t="s">
        <v>37</v>
      </c>
      <c r="C408" t="s">
        <v>38</v>
      </c>
      <c r="D408" s="3">
        <v>40000</v>
      </c>
      <c r="E408">
        <v>1</v>
      </c>
      <c r="F408" t="s">
        <v>15</v>
      </c>
      <c r="G408" t="s">
        <v>16</v>
      </c>
      <c r="H408" t="s">
        <v>17</v>
      </c>
      <c r="I408">
        <v>0</v>
      </c>
      <c r="J408" t="s">
        <v>18</v>
      </c>
      <c r="K408" t="s">
        <v>19</v>
      </c>
      <c r="L408">
        <v>41</v>
      </c>
      <c r="M408" t="str" cm="1">
        <f t="array" ref="M408">_xlfn.IFS(
L408&lt;=12,"Children",
L408&lt;=19,"Teens",
L408&lt;=29,"Young Adults",
L408&lt;=39,"Adults",
L408&lt;=59,"Middle-Aged",
L408&gt;=60,"Seniors"
)</f>
        <v>Middle-Aged</v>
      </c>
      <c r="N408" t="s">
        <v>20</v>
      </c>
    </row>
    <row r="409" spans="1:14" x14ac:dyDescent="0.3">
      <c r="A409">
        <v>27582</v>
      </c>
      <c r="B409" t="s">
        <v>40</v>
      </c>
      <c r="C409" t="s">
        <v>38</v>
      </c>
      <c r="D409" s="3">
        <v>90000</v>
      </c>
      <c r="E409">
        <v>2</v>
      </c>
      <c r="F409" t="s">
        <v>15</v>
      </c>
      <c r="G409" t="s">
        <v>23</v>
      </c>
      <c r="H409" t="s">
        <v>20</v>
      </c>
      <c r="I409">
        <v>0</v>
      </c>
      <c r="J409" t="s">
        <v>18</v>
      </c>
      <c r="K409" t="s">
        <v>27</v>
      </c>
      <c r="L409">
        <v>36</v>
      </c>
      <c r="M409" t="str" cm="1">
        <f t="array" ref="M409">_xlfn.IFS(
L409&lt;=12,"Children",
L409&lt;=19,"Teens",
L409&lt;=29,"Young Adults",
L409&lt;=39,"Adults",
L409&lt;=59,"Middle-Aged",
L409&gt;=60,"Seniors"
)</f>
        <v>Adults</v>
      </c>
      <c r="N409" t="s">
        <v>17</v>
      </c>
    </row>
    <row r="410" spans="1:14" x14ac:dyDescent="0.3">
      <c r="A410">
        <v>12744</v>
      </c>
      <c r="B410" t="s">
        <v>40</v>
      </c>
      <c r="C410" t="s">
        <v>38</v>
      </c>
      <c r="D410" s="3">
        <v>40000</v>
      </c>
      <c r="E410">
        <v>2</v>
      </c>
      <c r="F410" t="s">
        <v>21</v>
      </c>
      <c r="G410" t="s">
        <v>22</v>
      </c>
      <c r="H410" t="s">
        <v>17</v>
      </c>
      <c r="I410">
        <v>0</v>
      </c>
      <c r="J410" t="s">
        <v>18</v>
      </c>
      <c r="K410" t="s">
        <v>19</v>
      </c>
      <c r="L410">
        <v>33</v>
      </c>
      <c r="M410" t="str" cm="1">
        <f t="array" ref="M410">_xlfn.IFS(
L410&lt;=12,"Children",
L410&lt;=19,"Teens",
L410&lt;=29,"Young Adults",
L410&lt;=39,"Adults",
L410&lt;=59,"Middle-Aged",
L410&gt;=60,"Seniors"
)</f>
        <v>Adults</v>
      </c>
      <c r="N410" t="s">
        <v>20</v>
      </c>
    </row>
    <row r="411" spans="1:14" x14ac:dyDescent="0.3">
      <c r="A411">
        <v>22821</v>
      </c>
      <c r="B411" t="s">
        <v>37</v>
      </c>
      <c r="C411" t="s">
        <v>38</v>
      </c>
      <c r="D411" s="3">
        <v>130000</v>
      </c>
      <c r="E411">
        <v>3</v>
      </c>
      <c r="F411" t="s">
        <v>21</v>
      </c>
      <c r="G411" t="s">
        <v>23</v>
      </c>
      <c r="H411" t="s">
        <v>17</v>
      </c>
      <c r="I411">
        <v>4</v>
      </c>
      <c r="J411" t="s">
        <v>18</v>
      </c>
      <c r="K411" t="s">
        <v>19</v>
      </c>
      <c r="L411">
        <v>52</v>
      </c>
      <c r="M411" t="str" cm="1">
        <f t="array" ref="M411">_xlfn.IFS(
L411&lt;=12,"Children",
L411&lt;=19,"Teens",
L411&lt;=29,"Young Adults",
L411&lt;=39,"Adults",
L411&lt;=59,"Middle-Aged",
L411&gt;=60,"Seniors"
)</f>
        <v>Middle-Aged</v>
      </c>
      <c r="N411" t="s">
        <v>20</v>
      </c>
    </row>
    <row r="412" spans="1:14" x14ac:dyDescent="0.3">
      <c r="A412">
        <v>20171</v>
      </c>
      <c r="B412" t="s">
        <v>37</v>
      </c>
      <c r="C412" t="s">
        <v>38</v>
      </c>
      <c r="D412" s="3">
        <v>20000</v>
      </c>
      <c r="E412">
        <v>2</v>
      </c>
      <c r="F412" t="s">
        <v>21</v>
      </c>
      <c r="G412" t="s">
        <v>28</v>
      </c>
      <c r="H412" t="s">
        <v>17</v>
      </c>
      <c r="I412">
        <v>1</v>
      </c>
      <c r="J412" t="s">
        <v>18</v>
      </c>
      <c r="K412" t="s">
        <v>19</v>
      </c>
      <c r="L412">
        <v>46</v>
      </c>
      <c r="M412" t="str" cm="1">
        <f t="array" ref="M412">_xlfn.IFS(
L412&lt;=12,"Children",
L412&lt;=19,"Teens",
L412&lt;=29,"Young Adults",
L412&lt;=39,"Adults",
L412&lt;=59,"Middle-Aged",
L412&gt;=60,"Seniors"
)</f>
        <v>Middle-Aged</v>
      </c>
      <c r="N412" t="s">
        <v>17</v>
      </c>
    </row>
    <row r="413" spans="1:14" x14ac:dyDescent="0.3">
      <c r="A413">
        <v>11116</v>
      </c>
      <c r="B413" t="s">
        <v>37</v>
      </c>
      <c r="C413" t="s">
        <v>39</v>
      </c>
      <c r="D413" s="3">
        <v>70000</v>
      </c>
      <c r="E413">
        <v>5</v>
      </c>
      <c r="F413" t="s">
        <v>21</v>
      </c>
      <c r="G413" t="s">
        <v>16</v>
      </c>
      <c r="H413" t="s">
        <v>17</v>
      </c>
      <c r="I413">
        <v>2</v>
      </c>
      <c r="J413" t="s">
        <v>26</v>
      </c>
      <c r="K413" t="s">
        <v>27</v>
      </c>
      <c r="L413">
        <v>43</v>
      </c>
      <c r="M413" t="str" cm="1">
        <f t="array" ref="M413">_xlfn.IFS(
L413&lt;=12,"Children",
L413&lt;=19,"Teens",
L413&lt;=29,"Young Adults",
L413&lt;=39,"Adults",
L413&lt;=59,"Middle-Aged",
L413&gt;=60,"Seniors"
)</f>
        <v>Middle-Aged</v>
      </c>
      <c r="N413" t="s">
        <v>20</v>
      </c>
    </row>
    <row r="414" spans="1:14" x14ac:dyDescent="0.3">
      <c r="A414">
        <v>20053</v>
      </c>
      <c r="B414" t="s">
        <v>40</v>
      </c>
      <c r="C414" t="s">
        <v>39</v>
      </c>
      <c r="D414" s="3">
        <v>40000</v>
      </c>
      <c r="E414">
        <v>2</v>
      </c>
      <c r="F414" t="s">
        <v>21</v>
      </c>
      <c r="G414" t="s">
        <v>22</v>
      </c>
      <c r="H414" t="s">
        <v>17</v>
      </c>
      <c r="I414">
        <v>0</v>
      </c>
      <c r="J414" t="s">
        <v>18</v>
      </c>
      <c r="K414" t="s">
        <v>19</v>
      </c>
      <c r="L414">
        <v>34</v>
      </c>
      <c r="M414" t="str" cm="1">
        <f t="array" ref="M414">_xlfn.IFS(
L414&lt;=12,"Children",
L414&lt;=19,"Teens",
L414&lt;=29,"Young Adults",
L414&lt;=39,"Adults",
L414&lt;=59,"Middle-Aged",
L414&gt;=60,"Seniors"
)</f>
        <v>Adults</v>
      </c>
      <c r="N414" t="s">
        <v>20</v>
      </c>
    </row>
    <row r="415" spans="1:14" x14ac:dyDescent="0.3">
      <c r="A415">
        <v>25266</v>
      </c>
      <c r="B415" t="s">
        <v>40</v>
      </c>
      <c r="C415" t="s">
        <v>38</v>
      </c>
      <c r="D415" s="3">
        <v>30000</v>
      </c>
      <c r="E415">
        <v>2</v>
      </c>
      <c r="F415" t="s">
        <v>21</v>
      </c>
      <c r="G415" t="s">
        <v>22</v>
      </c>
      <c r="H415" t="s">
        <v>20</v>
      </c>
      <c r="I415">
        <v>2</v>
      </c>
      <c r="J415" t="s">
        <v>26</v>
      </c>
      <c r="K415" t="s">
        <v>27</v>
      </c>
      <c r="L415">
        <v>67</v>
      </c>
      <c r="M415" t="str" cm="1">
        <f t="array" ref="M415">_xlfn.IFS(
L415&lt;=12,"Children",
L415&lt;=19,"Teens",
L415&lt;=29,"Young Adults",
L415&lt;=39,"Adults",
L415&lt;=59,"Middle-Aged",
L415&gt;=60,"Seniors"
)</f>
        <v>Seniors</v>
      </c>
      <c r="N415" t="s">
        <v>20</v>
      </c>
    </row>
    <row r="416" spans="1:14" x14ac:dyDescent="0.3">
      <c r="A416">
        <v>17960</v>
      </c>
      <c r="B416" t="s">
        <v>37</v>
      </c>
      <c r="C416" t="s">
        <v>38</v>
      </c>
      <c r="D416" s="3">
        <v>40000</v>
      </c>
      <c r="E416">
        <v>0</v>
      </c>
      <c r="F416" t="s">
        <v>34</v>
      </c>
      <c r="G416" t="s">
        <v>22</v>
      </c>
      <c r="H416" t="s">
        <v>17</v>
      </c>
      <c r="I416">
        <v>0</v>
      </c>
      <c r="J416" t="s">
        <v>18</v>
      </c>
      <c r="K416" t="s">
        <v>19</v>
      </c>
      <c r="L416">
        <v>35</v>
      </c>
      <c r="M416" t="str" cm="1">
        <f t="array" ref="M416">_xlfn.IFS(
L416&lt;=12,"Children",
L416&lt;=19,"Teens",
L416&lt;=29,"Young Adults",
L416&lt;=39,"Adults",
L416&lt;=59,"Middle-Aged",
L416&gt;=60,"Seniors"
)</f>
        <v>Adults</v>
      </c>
      <c r="N416" t="s">
        <v>17</v>
      </c>
    </row>
    <row r="417" spans="1:14" x14ac:dyDescent="0.3">
      <c r="A417">
        <v>13961</v>
      </c>
      <c r="B417" t="s">
        <v>37</v>
      </c>
      <c r="C417" t="s">
        <v>38</v>
      </c>
      <c r="D417" s="3">
        <v>80000</v>
      </c>
      <c r="E417">
        <v>5</v>
      </c>
      <c r="F417" t="s">
        <v>34</v>
      </c>
      <c r="G417" t="s">
        <v>31</v>
      </c>
      <c r="H417" t="s">
        <v>17</v>
      </c>
      <c r="I417">
        <v>3</v>
      </c>
      <c r="J417" t="s">
        <v>18</v>
      </c>
      <c r="K417" t="s">
        <v>27</v>
      </c>
      <c r="L417">
        <v>40</v>
      </c>
      <c r="M417" t="str" cm="1">
        <f t="array" ref="M417">_xlfn.IFS(
L417&lt;=12,"Children",
L417&lt;=19,"Teens",
L417&lt;=29,"Young Adults",
L417&lt;=39,"Adults",
L417&lt;=59,"Middle-Aged",
L417&gt;=60,"Seniors"
)</f>
        <v>Middle-Aged</v>
      </c>
      <c r="N417" t="s">
        <v>20</v>
      </c>
    </row>
    <row r="418" spans="1:14" x14ac:dyDescent="0.3">
      <c r="A418">
        <v>11897</v>
      </c>
      <c r="B418" t="s">
        <v>40</v>
      </c>
      <c r="C418" t="s">
        <v>39</v>
      </c>
      <c r="D418" s="3">
        <v>60000</v>
      </c>
      <c r="E418">
        <v>2</v>
      </c>
      <c r="F418" t="s">
        <v>15</v>
      </c>
      <c r="G418" t="s">
        <v>23</v>
      </c>
      <c r="H418" t="s">
        <v>20</v>
      </c>
      <c r="I418">
        <v>1</v>
      </c>
      <c r="J418" t="s">
        <v>18</v>
      </c>
      <c r="K418" t="s">
        <v>27</v>
      </c>
      <c r="L418">
        <v>37</v>
      </c>
      <c r="M418" t="str" cm="1">
        <f t="array" ref="M418">_xlfn.IFS(
L418&lt;=12,"Children",
L418&lt;=19,"Teens",
L418&lt;=29,"Young Adults",
L418&lt;=39,"Adults",
L418&lt;=59,"Middle-Aged",
L418&gt;=60,"Seniors"
)</f>
        <v>Adults</v>
      </c>
      <c r="N418" t="s">
        <v>17</v>
      </c>
    </row>
    <row r="419" spans="1:14" x14ac:dyDescent="0.3">
      <c r="A419">
        <v>11139</v>
      </c>
      <c r="B419" t="s">
        <v>40</v>
      </c>
      <c r="C419" t="s">
        <v>38</v>
      </c>
      <c r="D419" s="3">
        <v>30000</v>
      </c>
      <c r="E419">
        <v>2</v>
      </c>
      <c r="F419" t="s">
        <v>21</v>
      </c>
      <c r="G419" t="s">
        <v>22</v>
      </c>
      <c r="H419" t="s">
        <v>20</v>
      </c>
      <c r="I419">
        <v>2</v>
      </c>
      <c r="J419" t="s">
        <v>26</v>
      </c>
      <c r="K419" t="s">
        <v>27</v>
      </c>
      <c r="L419">
        <v>67</v>
      </c>
      <c r="M419" t="str" cm="1">
        <f t="array" ref="M419">_xlfn.IFS(
L419&lt;=12,"Children",
L419&lt;=19,"Teens",
L419&lt;=29,"Young Adults",
L419&lt;=39,"Adults",
L419&lt;=59,"Middle-Aged",
L419&gt;=60,"Seniors"
)</f>
        <v>Seniors</v>
      </c>
      <c r="N419" t="s">
        <v>20</v>
      </c>
    </row>
    <row r="420" spans="1:14" x14ac:dyDescent="0.3">
      <c r="A420">
        <v>11576</v>
      </c>
      <c r="B420" t="s">
        <v>37</v>
      </c>
      <c r="C420" t="s">
        <v>39</v>
      </c>
      <c r="D420" s="3">
        <v>30000</v>
      </c>
      <c r="E420">
        <v>1</v>
      </c>
      <c r="F420" t="s">
        <v>15</v>
      </c>
      <c r="G420" t="s">
        <v>16</v>
      </c>
      <c r="H420" t="s">
        <v>17</v>
      </c>
      <c r="I420">
        <v>2</v>
      </c>
      <c r="J420" t="s">
        <v>18</v>
      </c>
      <c r="K420" t="s">
        <v>19</v>
      </c>
      <c r="L420">
        <v>41</v>
      </c>
      <c r="M420" t="str" cm="1">
        <f t="array" ref="M420">_xlfn.IFS(
L420&lt;=12,"Children",
L420&lt;=19,"Teens",
L420&lt;=29,"Young Adults",
L420&lt;=39,"Adults",
L420&lt;=59,"Middle-Aged",
L420&gt;=60,"Seniors"
)</f>
        <v>Middle-Aged</v>
      </c>
      <c r="N420" t="s">
        <v>17</v>
      </c>
    </row>
    <row r="421" spans="1:14" x14ac:dyDescent="0.3">
      <c r="A421">
        <v>19255</v>
      </c>
      <c r="B421" t="s">
        <v>40</v>
      </c>
      <c r="C421" t="s">
        <v>39</v>
      </c>
      <c r="D421" s="3">
        <v>10000</v>
      </c>
      <c r="E421">
        <v>2</v>
      </c>
      <c r="F421" t="s">
        <v>21</v>
      </c>
      <c r="G421" t="s">
        <v>28</v>
      </c>
      <c r="H421" t="s">
        <v>17</v>
      </c>
      <c r="I421">
        <v>1</v>
      </c>
      <c r="J421" t="s">
        <v>18</v>
      </c>
      <c r="K421" t="s">
        <v>19</v>
      </c>
      <c r="L421">
        <v>51</v>
      </c>
      <c r="M421" t="str" cm="1">
        <f t="array" ref="M421">_xlfn.IFS(
L421&lt;=12,"Children",
L421&lt;=19,"Teens",
L421&lt;=29,"Young Adults",
L421&lt;=39,"Adults",
L421&lt;=59,"Middle-Aged",
L421&gt;=60,"Seniors"
)</f>
        <v>Middle-Aged</v>
      </c>
      <c r="N421" t="s">
        <v>17</v>
      </c>
    </row>
    <row r="422" spans="1:14" x14ac:dyDescent="0.3">
      <c r="A422">
        <v>18153</v>
      </c>
      <c r="B422" t="s">
        <v>37</v>
      </c>
      <c r="C422" t="s">
        <v>38</v>
      </c>
      <c r="D422" s="3">
        <v>100000</v>
      </c>
      <c r="E422">
        <v>2</v>
      </c>
      <c r="F422" t="s">
        <v>15</v>
      </c>
      <c r="G422" t="s">
        <v>31</v>
      </c>
      <c r="H422" t="s">
        <v>17</v>
      </c>
      <c r="I422">
        <v>4</v>
      </c>
      <c r="J422" t="s">
        <v>41</v>
      </c>
      <c r="K422" t="s">
        <v>19</v>
      </c>
      <c r="L422">
        <v>59</v>
      </c>
      <c r="M422" t="str" cm="1">
        <f t="array" ref="M422">_xlfn.IFS(
L422&lt;=12,"Children",
L422&lt;=19,"Teens",
L422&lt;=29,"Young Adults",
L422&lt;=39,"Adults",
L422&lt;=59,"Middle-Aged",
L422&gt;=60,"Seniors"
)</f>
        <v>Middle-Aged</v>
      </c>
      <c r="N422" t="s">
        <v>20</v>
      </c>
    </row>
    <row r="423" spans="1:14" x14ac:dyDescent="0.3">
      <c r="A423">
        <v>14547</v>
      </c>
      <c r="B423" t="s">
        <v>37</v>
      </c>
      <c r="C423" t="s">
        <v>39</v>
      </c>
      <c r="D423" s="3">
        <v>10000</v>
      </c>
      <c r="E423">
        <v>2</v>
      </c>
      <c r="F423" t="s">
        <v>21</v>
      </c>
      <c r="G423" t="s">
        <v>28</v>
      </c>
      <c r="H423" t="s">
        <v>17</v>
      </c>
      <c r="I423">
        <v>0</v>
      </c>
      <c r="J423" t="s">
        <v>29</v>
      </c>
      <c r="K423" t="s">
        <v>19</v>
      </c>
      <c r="L423">
        <v>51</v>
      </c>
      <c r="M423" t="str" cm="1">
        <f t="array" ref="M423">_xlfn.IFS(
L423&lt;=12,"Children",
L423&lt;=19,"Teens",
L423&lt;=29,"Young Adults",
L423&lt;=39,"Adults",
L423&lt;=59,"Middle-Aged",
L423&gt;=60,"Seniors"
)</f>
        <v>Middle-Aged</v>
      </c>
      <c r="N423" t="s">
        <v>20</v>
      </c>
    </row>
    <row r="424" spans="1:14" x14ac:dyDescent="0.3">
      <c r="A424">
        <v>24901</v>
      </c>
      <c r="B424" t="s">
        <v>40</v>
      </c>
      <c r="C424" t="s">
        <v>39</v>
      </c>
      <c r="D424" s="3">
        <v>110000</v>
      </c>
      <c r="E424">
        <v>0</v>
      </c>
      <c r="F424" t="s">
        <v>21</v>
      </c>
      <c r="G424" t="s">
        <v>31</v>
      </c>
      <c r="H424" t="s">
        <v>20</v>
      </c>
      <c r="I424">
        <v>3</v>
      </c>
      <c r="J424" t="s">
        <v>41</v>
      </c>
      <c r="K424" t="s">
        <v>27</v>
      </c>
      <c r="L424">
        <v>32</v>
      </c>
      <c r="M424" t="str" cm="1">
        <f t="array" ref="M424">_xlfn.IFS(
L424&lt;=12,"Children",
L424&lt;=19,"Teens",
L424&lt;=29,"Young Adults",
L424&lt;=39,"Adults",
L424&lt;=59,"Middle-Aged",
L424&gt;=60,"Seniors"
)</f>
        <v>Adults</v>
      </c>
      <c r="N424" t="s">
        <v>17</v>
      </c>
    </row>
    <row r="425" spans="1:14" x14ac:dyDescent="0.3">
      <c r="A425">
        <v>27169</v>
      </c>
      <c r="B425" t="s">
        <v>40</v>
      </c>
      <c r="C425" t="s">
        <v>39</v>
      </c>
      <c r="D425" s="3">
        <v>30000</v>
      </c>
      <c r="E425">
        <v>0</v>
      </c>
      <c r="F425" t="s">
        <v>30</v>
      </c>
      <c r="G425" t="s">
        <v>28</v>
      </c>
      <c r="H425" t="s">
        <v>17</v>
      </c>
      <c r="I425">
        <v>1</v>
      </c>
      <c r="J425" t="s">
        <v>24</v>
      </c>
      <c r="K425" t="s">
        <v>19</v>
      </c>
      <c r="L425">
        <v>34</v>
      </c>
      <c r="M425" t="str" cm="1">
        <f t="array" ref="M425">_xlfn.IFS(
L425&lt;=12,"Children",
L425&lt;=19,"Teens",
L425&lt;=29,"Young Adults",
L425&lt;=39,"Adults",
L425&lt;=59,"Middle-Aged",
L425&gt;=60,"Seniors"
)</f>
        <v>Adults</v>
      </c>
      <c r="N425" t="s">
        <v>17</v>
      </c>
    </row>
    <row r="426" spans="1:14" x14ac:dyDescent="0.3">
      <c r="A426">
        <v>14805</v>
      </c>
      <c r="B426" t="s">
        <v>40</v>
      </c>
      <c r="C426" t="s">
        <v>38</v>
      </c>
      <c r="D426" s="3">
        <v>10000</v>
      </c>
      <c r="E426">
        <v>3</v>
      </c>
      <c r="F426" t="s">
        <v>32</v>
      </c>
      <c r="G426" t="s">
        <v>28</v>
      </c>
      <c r="H426" t="s">
        <v>17</v>
      </c>
      <c r="I426">
        <v>2</v>
      </c>
      <c r="J426" t="s">
        <v>18</v>
      </c>
      <c r="K426" t="s">
        <v>19</v>
      </c>
      <c r="L426">
        <v>43</v>
      </c>
      <c r="M426" t="str" cm="1">
        <f t="array" ref="M426">_xlfn.IFS(
L426&lt;=12,"Children",
L426&lt;=19,"Teens",
L426&lt;=29,"Young Adults",
L426&lt;=39,"Adults",
L426&lt;=59,"Middle-Aged",
L426&gt;=60,"Seniors"
)</f>
        <v>Middle-Aged</v>
      </c>
      <c r="N426" t="s">
        <v>20</v>
      </c>
    </row>
    <row r="427" spans="1:14" x14ac:dyDescent="0.3">
      <c r="A427">
        <v>15822</v>
      </c>
      <c r="B427" t="s">
        <v>37</v>
      </c>
      <c r="C427" t="s">
        <v>39</v>
      </c>
      <c r="D427" s="3">
        <v>40000</v>
      </c>
      <c r="E427">
        <v>2</v>
      </c>
      <c r="F427" t="s">
        <v>15</v>
      </c>
      <c r="G427" t="s">
        <v>31</v>
      </c>
      <c r="H427" t="s">
        <v>17</v>
      </c>
      <c r="I427">
        <v>2</v>
      </c>
      <c r="J427" t="s">
        <v>18</v>
      </c>
      <c r="K427" t="s">
        <v>27</v>
      </c>
      <c r="L427">
        <v>67</v>
      </c>
      <c r="M427" t="str" cm="1">
        <f t="array" ref="M427">_xlfn.IFS(
L427&lt;=12,"Children",
L427&lt;=19,"Teens",
L427&lt;=29,"Young Adults",
L427&lt;=39,"Adults",
L427&lt;=59,"Middle-Aged",
L427&gt;=60,"Seniors"
)</f>
        <v>Seniors</v>
      </c>
      <c r="N427" t="s">
        <v>20</v>
      </c>
    </row>
    <row r="428" spans="1:14" x14ac:dyDescent="0.3">
      <c r="A428">
        <v>19389</v>
      </c>
      <c r="B428" t="s">
        <v>40</v>
      </c>
      <c r="C428" t="s">
        <v>39</v>
      </c>
      <c r="D428" s="3">
        <v>30000</v>
      </c>
      <c r="E428">
        <v>0</v>
      </c>
      <c r="F428" t="s">
        <v>21</v>
      </c>
      <c r="G428" t="s">
        <v>22</v>
      </c>
      <c r="H428" t="s">
        <v>20</v>
      </c>
      <c r="I428">
        <v>1</v>
      </c>
      <c r="J428" t="s">
        <v>24</v>
      </c>
      <c r="K428" t="s">
        <v>19</v>
      </c>
      <c r="L428">
        <v>28</v>
      </c>
      <c r="M428" t="str" cm="1">
        <f t="array" ref="M428">_xlfn.IFS(
L428&lt;=12,"Children",
L428&lt;=19,"Teens",
L428&lt;=29,"Young Adults",
L428&lt;=39,"Adults",
L428&lt;=59,"Middle-Aged",
L428&gt;=60,"Seniors"
)</f>
        <v>Young Adults</v>
      </c>
      <c r="N428" t="s">
        <v>20</v>
      </c>
    </row>
    <row r="429" spans="1:14" x14ac:dyDescent="0.3">
      <c r="A429">
        <v>17048</v>
      </c>
      <c r="B429" t="s">
        <v>40</v>
      </c>
      <c r="C429" t="s">
        <v>38</v>
      </c>
      <c r="D429" s="3">
        <v>90000</v>
      </c>
      <c r="E429">
        <v>1</v>
      </c>
      <c r="F429" t="s">
        <v>34</v>
      </c>
      <c r="G429" t="s">
        <v>31</v>
      </c>
      <c r="H429" t="s">
        <v>17</v>
      </c>
      <c r="I429">
        <v>0</v>
      </c>
      <c r="J429" t="s">
        <v>18</v>
      </c>
      <c r="K429" t="s">
        <v>27</v>
      </c>
      <c r="L429">
        <v>36</v>
      </c>
      <c r="M429" t="str" cm="1">
        <f t="array" ref="M429">_xlfn.IFS(
L429&lt;=12,"Children",
L429&lt;=19,"Teens",
L429&lt;=29,"Young Adults",
L429&lt;=39,"Adults",
L429&lt;=59,"Middle-Aged",
L429&gt;=60,"Seniors"
)</f>
        <v>Adults</v>
      </c>
      <c r="N429" t="s">
        <v>17</v>
      </c>
    </row>
    <row r="430" spans="1:14" x14ac:dyDescent="0.3">
      <c r="A430">
        <v>22204</v>
      </c>
      <c r="B430" t="s">
        <v>37</v>
      </c>
      <c r="C430" t="s">
        <v>39</v>
      </c>
      <c r="D430" s="3">
        <v>110000</v>
      </c>
      <c r="E430">
        <v>4</v>
      </c>
      <c r="F430" t="s">
        <v>15</v>
      </c>
      <c r="G430" t="s">
        <v>31</v>
      </c>
      <c r="H430" t="s">
        <v>17</v>
      </c>
      <c r="I430">
        <v>3</v>
      </c>
      <c r="J430" t="s">
        <v>24</v>
      </c>
      <c r="K430" t="s">
        <v>27</v>
      </c>
      <c r="L430">
        <v>48</v>
      </c>
      <c r="M430" t="str" cm="1">
        <f t="array" ref="M430">_xlfn.IFS(
L430&lt;=12,"Children",
L430&lt;=19,"Teens",
L430&lt;=29,"Young Adults",
L430&lt;=39,"Adults",
L430&lt;=59,"Middle-Aged",
L430&gt;=60,"Seniors"
)</f>
        <v>Middle-Aged</v>
      </c>
      <c r="N430" t="s">
        <v>20</v>
      </c>
    </row>
    <row r="431" spans="1:14" x14ac:dyDescent="0.3">
      <c r="A431">
        <v>12718</v>
      </c>
      <c r="B431" t="s">
        <v>40</v>
      </c>
      <c r="C431" t="s">
        <v>38</v>
      </c>
      <c r="D431" s="3">
        <v>30000</v>
      </c>
      <c r="E431">
        <v>0</v>
      </c>
      <c r="F431" t="s">
        <v>21</v>
      </c>
      <c r="G431" t="s">
        <v>22</v>
      </c>
      <c r="H431" t="s">
        <v>17</v>
      </c>
      <c r="I431">
        <v>1</v>
      </c>
      <c r="J431" t="s">
        <v>24</v>
      </c>
      <c r="K431" t="s">
        <v>19</v>
      </c>
      <c r="L431">
        <v>31</v>
      </c>
      <c r="M431" t="str" cm="1">
        <f t="array" ref="M431">_xlfn.IFS(
L431&lt;=12,"Children",
L431&lt;=19,"Teens",
L431&lt;=29,"Young Adults",
L431&lt;=39,"Adults",
L431&lt;=59,"Middle-Aged",
L431&gt;=60,"Seniors"
)</f>
        <v>Adults</v>
      </c>
      <c r="N431" t="s">
        <v>20</v>
      </c>
    </row>
    <row r="432" spans="1:14" x14ac:dyDescent="0.3">
      <c r="A432">
        <v>15019</v>
      </c>
      <c r="B432" t="s">
        <v>40</v>
      </c>
      <c r="C432" t="s">
        <v>38</v>
      </c>
      <c r="D432" s="3">
        <v>30000</v>
      </c>
      <c r="E432">
        <v>3</v>
      </c>
      <c r="F432" t="s">
        <v>30</v>
      </c>
      <c r="G432" t="s">
        <v>16</v>
      </c>
      <c r="H432" t="s">
        <v>17</v>
      </c>
      <c r="I432">
        <v>2</v>
      </c>
      <c r="J432" t="s">
        <v>26</v>
      </c>
      <c r="K432" t="s">
        <v>27</v>
      </c>
      <c r="L432">
        <v>55</v>
      </c>
      <c r="M432" t="str" cm="1">
        <f t="array" ref="M432">_xlfn.IFS(
L432&lt;=12,"Children",
L432&lt;=19,"Teens",
L432&lt;=29,"Young Adults",
L432&lt;=39,"Adults",
L432&lt;=59,"Middle-Aged",
L432&gt;=60,"Seniors"
)</f>
        <v>Middle-Aged</v>
      </c>
      <c r="N432" t="s">
        <v>20</v>
      </c>
    </row>
    <row r="433" spans="1:14" x14ac:dyDescent="0.3">
      <c r="A433">
        <v>28488</v>
      </c>
      <c r="B433" t="s">
        <v>40</v>
      </c>
      <c r="C433" t="s">
        <v>39</v>
      </c>
      <c r="D433" s="3">
        <v>20000</v>
      </c>
      <c r="E433">
        <v>0</v>
      </c>
      <c r="F433" t="s">
        <v>21</v>
      </c>
      <c r="G433" t="s">
        <v>28</v>
      </c>
      <c r="H433" t="s">
        <v>17</v>
      </c>
      <c r="I433">
        <v>0</v>
      </c>
      <c r="J433" t="s">
        <v>18</v>
      </c>
      <c r="K433" t="s">
        <v>27</v>
      </c>
      <c r="L433">
        <v>28</v>
      </c>
      <c r="M433" t="str" cm="1">
        <f t="array" ref="M433">_xlfn.IFS(
L433&lt;=12,"Children",
L433&lt;=19,"Teens",
L433&lt;=29,"Young Adults",
L433&lt;=39,"Adults",
L433&lt;=59,"Middle-Aged",
L433&gt;=60,"Seniors"
)</f>
        <v>Young Adults</v>
      </c>
      <c r="N433" t="s">
        <v>17</v>
      </c>
    </row>
    <row r="434" spans="1:14" x14ac:dyDescent="0.3">
      <c r="A434">
        <v>21891</v>
      </c>
      <c r="B434" t="s">
        <v>37</v>
      </c>
      <c r="C434" t="s">
        <v>38</v>
      </c>
      <c r="D434" s="3">
        <v>110000</v>
      </c>
      <c r="E434">
        <v>0</v>
      </c>
      <c r="F434" t="s">
        <v>30</v>
      </c>
      <c r="G434" t="s">
        <v>31</v>
      </c>
      <c r="H434" t="s">
        <v>17</v>
      </c>
      <c r="I434">
        <v>3</v>
      </c>
      <c r="J434" t="s">
        <v>41</v>
      </c>
      <c r="K434" t="s">
        <v>27</v>
      </c>
      <c r="L434">
        <v>34</v>
      </c>
      <c r="M434" t="str" cm="1">
        <f t="array" ref="M434">_xlfn.IFS(
L434&lt;=12,"Children",
L434&lt;=19,"Teens",
L434&lt;=29,"Young Adults",
L434&lt;=39,"Adults",
L434&lt;=59,"Middle-Aged",
L434&gt;=60,"Seniors"
)</f>
        <v>Adults</v>
      </c>
      <c r="N434" t="s">
        <v>17</v>
      </c>
    </row>
    <row r="435" spans="1:14" x14ac:dyDescent="0.3">
      <c r="A435">
        <v>27814</v>
      </c>
      <c r="B435" t="s">
        <v>40</v>
      </c>
      <c r="C435" t="s">
        <v>38</v>
      </c>
      <c r="D435" s="3">
        <v>30000</v>
      </c>
      <c r="E435">
        <v>3</v>
      </c>
      <c r="F435" t="s">
        <v>21</v>
      </c>
      <c r="G435" t="s">
        <v>22</v>
      </c>
      <c r="H435" t="s">
        <v>20</v>
      </c>
      <c r="I435">
        <v>1</v>
      </c>
      <c r="J435" t="s">
        <v>18</v>
      </c>
      <c r="K435" t="s">
        <v>19</v>
      </c>
      <c r="L435">
        <v>26</v>
      </c>
      <c r="M435" t="str" cm="1">
        <f t="array" ref="M435">_xlfn.IFS(
L435&lt;=12,"Children",
L435&lt;=19,"Teens",
L435&lt;=29,"Young Adults",
L435&lt;=39,"Adults",
L435&lt;=59,"Middle-Aged",
L435&gt;=60,"Seniors"
)</f>
        <v>Young Adults</v>
      </c>
      <c r="N435" t="s">
        <v>20</v>
      </c>
    </row>
    <row r="436" spans="1:14" x14ac:dyDescent="0.3">
      <c r="A436">
        <v>22175</v>
      </c>
      <c r="B436" t="s">
        <v>37</v>
      </c>
      <c r="C436" t="s">
        <v>38</v>
      </c>
      <c r="D436" s="3">
        <v>30000</v>
      </c>
      <c r="E436">
        <v>3</v>
      </c>
      <c r="F436" t="s">
        <v>30</v>
      </c>
      <c r="G436" t="s">
        <v>16</v>
      </c>
      <c r="H436" t="s">
        <v>17</v>
      </c>
      <c r="I436">
        <v>2</v>
      </c>
      <c r="J436" t="s">
        <v>26</v>
      </c>
      <c r="K436" t="s">
        <v>27</v>
      </c>
      <c r="L436">
        <v>53</v>
      </c>
      <c r="M436" t="str" cm="1">
        <f t="array" ref="M436">_xlfn.IFS(
L436&lt;=12,"Children",
L436&lt;=19,"Teens",
L436&lt;=29,"Young Adults",
L436&lt;=39,"Adults",
L436&lt;=59,"Middle-Aged",
L436&gt;=60,"Seniors"
)</f>
        <v>Middle-Aged</v>
      </c>
      <c r="N436" t="s">
        <v>17</v>
      </c>
    </row>
    <row r="437" spans="1:14" x14ac:dyDescent="0.3">
      <c r="A437">
        <v>29447</v>
      </c>
      <c r="B437" t="s">
        <v>40</v>
      </c>
      <c r="C437" t="s">
        <v>38</v>
      </c>
      <c r="D437" s="3">
        <v>10000</v>
      </c>
      <c r="E437">
        <v>2</v>
      </c>
      <c r="F437" t="s">
        <v>15</v>
      </c>
      <c r="G437" t="s">
        <v>22</v>
      </c>
      <c r="H437" t="s">
        <v>20</v>
      </c>
      <c r="I437">
        <v>1</v>
      </c>
      <c r="J437" t="s">
        <v>24</v>
      </c>
      <c r="K437" t="s">
        <v>19</v>
      </c>
      <c r="L437">
        <v>68</v>
      </c>
      <c r="M437" t="str" cm="1">
        <f t="array" ref="M437">_xlfn.IFS(
L437&lt;=12,"Children",
L437&lt;=19,"Teens",
L437&lt;=29,"Young Adults",
L437&lt;=39,"Adults",
L437&lt;=59,"Middle-Aged",
L437&gt;=60,"Seniors"
)</f>
        <v>Seniors</v>
      </c>
      <c r="N437" t="s">
        <v>20</v>
      </c>
    </row>
    <row r="438" spans="1:14" x14ac:dyDescent="0.3">
      <c r="A438">
        <v>19784</v>
      </c>
      <c r="B438" t="s">
        <v>37</v>
      </c>
      <c r="C438" t="s">
        <v>38</v>
      </c>
      <c r="D438" s="3">
        <v>80000</v>
      </c>
      <c r="E438">
        <v>2</v>
      </c>
      <c r="F438" t="s">
        <v>30</v>
      </c>
      <c r="G438" t="s">
        <v>16</v>
      </c>
      <c r="H438" t="s">
        <v>17</v>
      </c>
      <c r="I438">
        <v>2</v>
      </c>
      <c r="J438" t="s">
        <v>26</v>
      </c>
      <c r="K438" t="s">
        <v>27</v>
      </c>
      <c r="L438">
        <v>50</v>
      </c>
      <c r="M438" t="str" cm="1">
        <f t="array" ref="M438">_xlfn.IFS(
L438&lt;=12,"Children",
L438&lt;=19,"Teens",
L438&lt;=29,"Young Adults",
L438&lt;=39,"Adults",
L438&lt;=59,"Middle-Aged",
L438&gt;=60,"Seniors"
)</f>
        <v>Middle-Aged</v>
      </c>
      <c r="N438" t="s">
        <v>17</v>
      </c>
    </row>
    <row r="439" spans="1:14" x14ac:dyDescent="0.3">
      <c r="A439">
        <v>27824</v>
      </c>
      <c r="B439" t="s">
        <v>40</v>
      </c>
      <c r="C439" t="s">
        <v>38</v>
      </c>
      <c r="D439" s="3">
        <v>30000</v>
      </c>
      <c r="E439">
        <v>3</v>
      </c>
      <c r="F439" t="s">
        <v>21</v>
      </c>
      <c r="G439" t="s">
        <v>22</v>
      </c>
      <c r="H439" t="s">
        <v>17</v>
      </c>
      <c r="I439">
        <v>2</v>
      </c>
      <c r="J439" t="s">
        <v>18</v>
      </c>
      <c r="K439" t="s">
        <v>19</v>
      </c>
      <c r="L439">
        <v>28</v>
      </c>
      <c r="M439" t="str" cm="1">
        <f t="array" ref="M439">_xlfn.IFS(
L439&lt;=12,"Children",
L439&lt;=19,"Teens",
L439&lt;=29,"Young Adults",
L439&lt;=39,"Adults",
L439&lt;=59,"Middle-Aged",
L439&gt;=60,"Seniors"
)</f>
        <v>Young Adults</v>
      </c>
      <c r="N439" t="s">
        <v>17</v>
      </c>
    </row>
    <row r="440" spans="1:14" x14ac:dyDescent="0.3">
      <c r="A440">
        <v>24093</v>
      </c>
      <c r="B440" t="s">
        <v>40</v>
      </c>
      <c r="C440" t="s">
        <v>38</v>
      </c>
      <c r="D440" s="3">
        <v>80000</v>
      </c>
      <c r="E440">
        <v>0</v>
      </c>
      <c r="F440" t="s">
        <v>34</v>
      </c>
      <c r="G440" t="s">
        <v>16</v>
      </c>
      <c r="H440" t="s">
        <v>20</v>
      </c>
      <c r="I440">
        <v>0</v>
      </c>
      <c r="J440" t="s">
        <v>18</v>
      </c>
      <c r="K440" t="s">
        <v>19</v>
      </c>
      <c r="L440">
        <v>40</v>
      </c>
      <c r="M440" t="str" cm="1">
        <f t="array" ref="M440">_xlfn.IFS(
L440&lt;=12,"Children",
L440&lt;=19,"Teens",
L440&lt;=29,"Young Adults",
L440&lt;=39,"Adults",
L440&lt;=59,"Middle-Aged",
L440&gt;=60,"Seniors"
)</f>
        <v>Middle-Aged</v>
      </c>
      <c r="N440" t="s">
        <v>17</v>
      </c>
    </row>
    <row r="441" spans="1:14" x14ac:dyDescent="0.3">
      <c r="A441">
        <v>19618</v>
      </c>
      <c r="B441" t="s">
        <v>37</v>
      </c>
      <c r="C441" t="s">
        <v>39</v>
      </c>
      <c r="D441" s="3">
        <v>70000</v>
      </c>
      <c r="E441">
        <v>5</v>
      </c>
      <c r="F441" t="s">
        <v>21</v>
      </c>
      <c r="G441" t="s">
        <v>16</v>
      </c>
      <c r="H441" t="s">
        <v>17</v>
      </c>
      <c r="I441">
        <v>2</v>
      </c>
      <c r="J441" t="s">
        <v>18</v>
      </c>
      <c r="K441" t="s">
        <v>27</v>
      </c>
      <c r="L441">
        <v>44</v>
      </c>
      <c r="M441" t="str" cm="1">
        <f t="array" ref="M441">_xlfn.IFS(
L441&lt;=12,"Children",
L441&lt;=19,"Teens",
L441&lt;=29,"Young Adults",
L441&lt;=39,"Adults",
L441&lt;=59,"Middle-Aged",
L441&gt;=60,"Seniors"
)</f>
        <v>Middle-Aged</v>
      </c>
      <c r="N441" t="s">
        <v>20</v>
      </c>
    </row>
    <row r="442" spans="1:14" x14ac:dyDescent="0.3">
      <c r="A442">
        <v>21561</v>
      </c>
      <c r="B442" t="s">
        <v>40</v>
      </c>
      <c r="C442" t="s">
        <v>39</v>
      </c>
      <c r="D442" s="3">
        <v>90000</v>
      </c>
      <c r="E442">
        <v>0</v>
      </c>
      <c r="F442" t="s">
        <v>15</v>
      </c>
      <c r="G442" t="s">
        <v>23</v>
      </c>
      <c r="H442" t="s">
        <v>20</v>
      </c>
      <c r="I442">
        <v>3</v>
      </c>
      <c r="J442" t="s">
        <v>41</v>
      </c>
      <c r="K442" t="s">
        <v>27</v>
      </c>
      <c r="L442">
        <v>34</v>
      </c>
      <c r="M442" t="str" cm="1">
        <f t="array" ref="M442">_xlfn.IFS(
L442&lt;=12,"Children",
L442&lt;=19,"Teens",
L442&lt;=29,"Young Adults",
L442&lt;=39,"Adults",
L442&lt;=59,"Middle-Aged",
L442&gt;=60,"Seniors"
)</f>
        <v>Adults</v>
      </c>
      <c r="N442" t="s">
        <v>17</v>
      </c>
    </row>
    <row r="443" spans="1:14" x14ac:dyDescent="0.3">
      <c r="A443">
        <v>11061</v>
      </c>
      <c r="B443" t="s">
        <v>37</v>
      </c>
      <c r="C443" t="s">
        <v>39</v>
      </c>
      <c r="D443" s="3">
        <v>70000</v>
      </c>
      <c r="E443">
        <v>2</v>
      </c>
      <c r="F443" t="s">
        <v>21</v>
      </c>
      <c r="G443" t="s">
        <v>16</v>
      </c>
      <c r="H443" t="s">
        <v>17</v>
      </c>
      <c r="I443">
        <v>2</v>
      </c>
      <c r="J443" t="s">
        <v>26</v>
      </c>
      <c r="K443" t="s">
        <v>27</v>
      </c>
      <c r="L443">
        <v>52</v>
      </c>
      <c r="M443" t="str" cm="1">
        <f t="array" ref="M443">_xlfn.IFS(
L443&lt;=12,"Children",
L443&lt;=19,"Teens",
L443&lt;=29,"Young Adults",
L443&lt;=39,"Adults",
L443&lt;=59,"Middle-Aged",
L443&gt;=60,"Seniors"
)</f>
        <v>Middle-Aged</v>
      </c>
      <c r="N443" t="s">
        <v>17</v>
      </c>
    </row>
    <row r="444" spans="1:14" x14ac:dyDescent="0.3">
      <c r="A444">
        <v>26651</v>
      </c>
      <c r="B444" t="s">
        <v>40</v>
      </c>
      <c r="C444" t="s">
        <v>39</v>
      </c>
      <c r="D444" s="3">
        <v>80000</v>
      </c>
      <c r="E444">
        <v>4</v>
      </c>
      <c r="F444" t="s">
        <v>34</v>
      </c>
      <c r="G444" t="s">
        <v>31</v>
      </c>
      <c r="H444" t="s">
        <v>17</v>
      </c>
      <c r="I444">
        <v>0</v>
      </c>
      <c r="J444" t="s">
        <v>18</v>
      </c>
      <c r="K444" t="s">
        <v>27</v>
      </c>
      <c r="L444">
        <v>36</v>
      </c>
      <c r="M444" t="str" cm="1">
        <f t="array" ref="M444">_xlfn.IFS(
L444&lt;=12,"Children",
L444&lt;=19,"Teens",
L444&lt;=29,"Young Adults",
L444&lt;=39,"Adults",
L444&lt;=59,"Middle-Aged",
L444&gt;=60,"Seniors"
)</f>
        <v>Adults</v>
      </c>
      <c r="N444" t="s">
        <v>17</v>
      </c>
    </row>
    <row r="445" spans="1:14" x14ac:dyDescent="0.3">
      <c r="A445">
        <v>21108</v>
      </c>
      <c r="B445" t="s">
        <v>37</v>
      </c>
      <c r="C445" t="s">
        <v>38</v>
      </c>
      <c r="D445" s="3">
        <v>40000</v>
      </c>
      <c r="E445">
        <v>1</v>
      </c>
      <c r="F445" t="s">
        <v>15</v>
      </c>
      <c r="G445" t="s">
        <v>16</v>
      </c>
      <c r="H445" t="s">
        <v>17</v>
      </c>
      <c r="I445">
        <v>1</v>
      </c>
      <c r="J445" t="s">
        <v>18</v>
      </c>
      <c r="K445" t="s">
        <v>19</v>
      </c>
      <c r="L445">
        <v>43</v>
      </c>
      <c r="M445" t="str" cm="1">
        <f t="array" ref="M445">_xlfn.IFS(
L445&lt;=12,"Children",
L445&lt;=19,"Teens",
L445&lt;=29,"Young Adults",
L445&lt;=39,"Adults",
L445&lt;=59,"Middle-Aged",
L445&gt;=60,"Seniors"
)</f>
        <v>Middle-Aged</v>
      </c>
      <c r="N445" t="s">
        <v>17</v>
      </c>
    </row>
    <row r="446" spans="1:14" x14ac:dyDescent="0.3">
      <c r="A446">
        <v>12731</v>
      </c>
      <c r="B446" t="s">
        <v>40</v>
      </c>
      <c r="C446" t="s">
        <v>39</v>
      </c>
      <c r="D446" s="3">
        <v>30000</v>
      </c>
      <c r="E446">
        <v>0</v>
      </c>
      <c r="F446" t="s">
        <v>30</v>
      </c>
      <c r="G446" t="s">
        <v>28</v>
      </c>
      <c r="H446" t="s">
        <v>20</v>
      </c>
      <c r="I446">
        <v>1</v>
      </c>
      <c r="J446" t="s">
        <v>29</v>
      </c>
      <c r="K446" t="s">
        <v>19</v>
      </c>
      <c r="L446">
        <v>32</v>
      </c>
      <c r="M446" t="str" cm="1">
        <f t="array" ref="M446">_xlfn.IFS(
L446&lt;=12,"Children",
L446&lt;=19,"Teens",
L446&lt;=29,"Young Adults",
L446&lt;=39,"Adults",
L446&lt;=59,"Middle-Aged",
L446&gt;=60,"Seniors"
)</f>
        <v>Adults</v>
      </c>
      <c r="N446" t="s">
        <v>20</v>
      </c>
    </row>
    <row r="447" spans="1:14" x14ac:dyDescent="0.3">
      <c r="A447">
        <v>25307</v>
      </c>
      <c r="B447" t="s">
        <v>37</v>
      </c>
      <c r="C447" t="s">
        <v>38</v>
      </c>
      <c r="D447" s="3">
        <v>40000</v>
      </c>
      <c r="E447">
        <v>1</v>
      </c>
      <c r="F447" t="s">
        <v>15</v>
      </c>
      <c r="G447" t="s">
        <v>16</v>
      </c>
      <c r="H447" t="s">
        <v>17</v>
      </c>
      <c r="I447">
        <v>1</v>
      </c>
      <c r="J447" t="s">
        <v>29</v>
      </c>
      <c r="K447" t="s">
        <v>19</v>
      </c>
      <c r="L447">
        <v>32</v>
      </c>
      <c r="M447" t="str" cm="1">
        <f t="array" ref="M447">_xlfn.IFS(
L447&lt;=12,"Children",
L447&lt;=19,"Teens",
L447&lt;=29,"Young Adults",
L447&lt;=39,"Adults",
L447&lt;=59,"Middle-Aged",
L447&gt;=60,"Seniors"
)</f>
        <v>Adults</v>
      </c>
      <c r="N447" t="s">
        <v>17</v>
      </c>
    </row>
    <row r="448" spans="1:14" x14ac:dyDescent="0.3">
      <c r="A448">
        <v>14278</v>
      </c>
      <c r="B448" t="s">
        <v>37</v>
      </c>
      <c r="C448" t="s">
        <v>38</v>
      </c>
      <c r="D448" s="3">
        <v>130000</v>
      </c>
      <c r="E448">
        <v>0</v>
      </c>
      <c r="F448" t="s">
        <v>34</v>
      </c>
      <c r="G448" t="s">
        <v>31</v>
      </c>
      <c r="H448" t="s">
        <v>17</v>
      </c>
      <c r="I448">
        <v>1</v>
      </c>
      <c r="J448" t="s">
        <v>41</v>
      </c>
      <c r="K448" t="s">
        <v>27</v>
      </c>
      <c r="L448">
        <v>48</v>
      </c>
      <c r="M448" t="str" cm="1">
        <f t="array" ref="M448">_xlfn.IFS(
L448&lt;=12,"Children",
L448&lt;=19,"Teens",
L448&lt;=29,"Young Adults",
L448&lt;=39,"Adults",
L448&lt;=59,"Middle-Aged",
L448&gt;=60,"Seniors"
)</f>
        <v>Middle-Aged</v>
      </c>
      <c r="N448" t="s">
        <v>20</v>
      </c>
    </row>
    <row r="449" spans="1:14" x14ac:dyDescent="0.3">
      <c r="A449">
        <v>20711</v>
      </c>
      <c r="B449" t="s">
        <v>37</v>
      </c>
      <c r="C449" t="s">
        <v>38</v>
      </c>
      <c r="D449" s="3">
        <v>40000</v>
      </c>
      <c r="E449">
        <v>1</v>
      </c>
      <c r="F449" t="s">
        <v>15</v>
      </c>
      <c r="G449" t="s">
        <v>16</v>
      </c>
      <c r="H449" t="s">
        <v>17</v>
      </c>
      <c r="I449">
        <v>0</v>
      </c>
      <c r="J449" t="s">
        <v>29</v>
      </c>
      <c r="K449" t="s">
        <v>19</v>
      </c>
      <c r="L449">
        <v>32</v>
      </c>
      <c r="M449" t="str" cm="1">
        <f t="array" ref="M449">_xlfn.IFS(
L449&lt;=12,"Children",
L449&lt;=19,"Teens",
L449&lt;=29,"Young Adults",
L449&lt;=39,"Adults",
L449&lt;=59,"Middle-Aged",
L449&gt;=60,"Seniors"
)</f>
        <v>Adults</v>
      </c>
      <c r="N449" t="s">
        <v>17</v>
      </c>
    </row>
    <row r="450" spans="1:14" x14ac:dyDescent="0.3">
      <c r="A450">
        <v>11383</v>
      </c>
      <c r="B450" t="s">
        <v>37</v>
      </c>
      <c r="C450" t="s">
        <v>38</v>
      </c>
      <c r="D450" s="3">
        <v>30000</v>
      </c>
      <c r="E450">
        <v>3</v>
      </c>
      <c r="F450" t="s">
        <v>34</v>
      </c>
      <c r="G450" t="s">
        <v>22</v>
      </c>
      <c r="H450" t="s">
        <v>17</v>
      </c>
      <c r="I450">
        <v>0</v>
      </c>
      <c r="J450" t="s">
        <v>18</v>
      </c>
      <c r="K450" t="s">
        <v>19</v>
      </c>
      <c r="L450">
        <v>46</v>
      </c>
      <c r="M450" t="str" cm="1">
        <f t="array" ref="M450">_xlfn.IFS(
L450&lt;=12,"Children",
L450&lt;=19,"Teens",
L450&lt;=29,"Young Adults",
L450&lt;=39,"Adults",
L450&lt;=59,"Middle-Aged",
L450&gt;=60,"Seniors"
)</f>
        <v>Middle-Aged</v>
      </c>
      <c r="N450" t="s">
        <v>20</v>
      </c>
    </row>
    <row r="451" spans="1:14" x14ac:dyDescent="0.3">
      <c r="A451">
        <v>12497</v>
      </c>
      <c r="B451" t="s">
        <v>37</v>
      </c>
      <c r="C451" t="s">
        <v>38</v>
      </c>
      <c r="D451" s="3">
        <v>40000</v>
      </c>
      <c r="E451">
        <v>1</v>
      </c>
      <c r="F451" t="s">
        <v>15</v>
      </c>
      <c r="G451" t="s">
        <v>16</v>
      </c>
      <c r="H451" t="s">
        <v>17</v>
      </c>
      <c r="I451">
        <v>0</v>
      </c>
      <c r="J451" t="s">
        <v>18</v>
      </c>
      <c r="K451" t="s">
        <v>19</v>
      </c>
      <c r="L451">
        <v>42</v>
      </c>
      <c r="M451" t="str" cm="1">
        <f t="array" ref="M451">_xlfn.IFS(
L451&lt;=12,"Children",
L451&lt;=19,"Teens",
L451&lt;=29,"Young Adults",
L451&lt;=39,"Adults",
L451&lt;=59,"Middle-Aged",
L451&gt;=60,"Seniors"
)</f>
        <v>Middle-Aged</v>
      </c>
      <c r="N451" t="s">
        <v>20</v>
      </c>
    </row>
    <row r="452" spans="1:14" x14ac:dyDescent="0.3">
      <c r="A452">
        <v>16559</v>
      </c>
      <c r="B452" t="s">
        <v>40</v>
      </c>
      <c r="C452" t="s">
        <v>38</v>
      </c>
      <c r="D452" s="3">
        <v>10000</v>
      </c>
      <c r="E452">
        <v>2</v>
      </c>
      <c r="F452" t="s">
        <v>30</v>
      </c>
      <c r="G452" t="s">
        <v>28</v>
      </c>
      <c r="H452" t="s">
        <v>17</v>
      </c>
      <c r="I452">
        <v>0</v>
      </c>
      <c r="J452" t="s">
        <v>18</v>
      </c>
      <c r="K452" t="s">
        <v>19</v>
      </c>
      <c r="L452">
        <v>36</v>
      </c>
      <c r="M452" t="str" cm="1">
        <f t="array" ref="M452">_xlfn.IFS(
L452&lt;=12,"Children",
L452&lt;=19,"Teens",
L452&lt;=29,"Young Adults",
L452&lt;=39,"Adults",
L452&lt;=59,"Middle-Aged",
L452&gt;=60,"Seniors"
)</f>
        <v>Adults</v>
      </c>
      <c r="N452" t="s">
        <v>17</v>
      </c>
    </row>
    <row r="453" spans="1:14" x14ac:dyDescent="0.3">
      <c r="A453">
        <v>11585</v>
      </c>
      <c r="B453" t="s">
        <v>37</v>
      </c>
      <c r="C453" t="s">
        <v>38</v>
      </c>
      <c r="D453" s="3">
        <v>40000</v>
      </c>
      <c r="E453">
        <v>1</v>
      </c>
      <c r="F453" t="s">
        <v>15</v>
      </c>
      <c r="G453" t="s">
        <v>16</v>
      </c>
      <c r="H453" t="s">
        <v>17</v>
      </c>
      <c r="I453">
        <v>0</v>
      </c>
      <c r="J453" t="s">
        <v>18</v>
      </c>
      <c r="K453" t="s">
        <v>19</v>
      </c>
      <c r="L453">
        <v>41</v>
      </c>
      <c r="M453" t="str" cm="1">
        <f t="array" ref="M453">_xlfn.IFS(
L453&lt;=12,"Children",
L453&lt;=19,"Teens",
L453&lt;=29,"Young Adults",
L453&lt;=39,"Adults",
L453&lt;=59,"Middle-Aged",
L453&gt;=60,"Seniors"
)</f>
        <v>Middle-Aged</v>
      </c>
      <c r="N453" t="s">
        <v>20</v>
      </c>
    </row>
    <row r="454" spans="1:14" x14ac:dyDescent="0.3">
      <c r="A454">
        <v>20277</v>
      </c>
      <c r="B454" t="s">
        <v>37</v>
      </c>
      <c r="C454" t="s">
        <v>38</v>
      </c>
      <c r="D454" s="3">
        <v>30000</v>
      </c>
      <c r="E454">
        <v>2</v>
      </c>
      <c r="F454" t="s">
        <v>21</v>
      </c>
      <c r="G454" t="s">
        <v>22</v>
      </c>
      <c r="H454" t="s">
        <v>20</v>
      </c>
      <c r="I454">
        <v>2</v>
      </c>
      <c r="J454" t="s">
        <v>18</v>
      </c>
      <c r="K454" t="s">
        <v>27</v>
      </c>
      <c r="L454">
        <v>69</v>
      </c>
      <c r="M454" t="str" cm="1">
        <f t="array" ref="M454">_xlfn.IFS(
L454&lt;=12,"Children",
L454&lt;=19,"Teens",
L454&lt;=29,"Young Adults",
L454&lt;=39,"Adults",
L454&lt;=59,"Middle-Aged",
L454&gt;=60,"Seniors"
)</f>
        <v>Seniors</v>
      </c>
      <c r="N454" t="s">
        <v>20</v>
      </c>
    </row>
    <row r="455" spans="1:14" x14ac:dyDescent="0.3">
      <c r="A455">
        <v>26765</v>
      </c>
      <c r="B455" t="s">
        <v>40</v>
      </c>
      <c r="C455" t="s">
        <v>38</v>
      </c>
      <c r="D455" s="3">
        <v>70000</v>
      </c>
      <c r="E455">
        <v>5</v>
      </c>
      <c r="F455" t="s">
        <v>21</v>
      </c>
      <c r="G455" t="s">
        <v>16</v>
      </c>
      <c r="H455" t="s">
        <v>17</v>
      </c>
      <c r="I455">
        <v>2</v>
      </c>
      <c r="J455" t="s">
        <v>26</v>
      </c>
      <c r="K455" t="s">
        <v>27</v>
      </c>
      <c r="L455">
        <v>45</v>
      </c>
      <c r="M455" t="str" cm="1">
        <f t="array" ref="M455">_xlfn.IFS(
L455&lt;=12,"Children",
L455&lt;=19,"Teens",
L455&lt;=29,"Young Adults",
L455&lt;=39,"Adults",
L455&lt;=59,"Middle-Aged",
L455&gt;=60,"Seniors"
)</f>
        <v>Middle-Aged</v>
      </c>
      <c r="N455" t="s">
        <v>20</v>
      </c>
    </row>
    <row r="456" spans="1:14" x14ac:dyDescent="0.3">
      <c r="A456">
        <v>12389</v>
      </c>
      <c r="B456" t="s">
        <v>40</v>
      </c>
      <c r="C456" t="s">
        <v>39</v>
      </c>
      <c r="D456" s="3">
        <v>30000</v>
      </c>
      <c r="E456">
        <v>0</v>
      </c>
      <c r="F456" t="s">
        <v>30</v>
      </c>
      <c r="G456" t="s">
        <v>28</v>
      </c>
      <c r="H456" t="s">
        <v>20</v>
      </c>
      <c r="I456">
        <v>1</v>
      </c>
      <c r="J456" t="s">
        <v>24</v>
      </c>
      <c r="K456" t="s">
        <v>19</v>
      </c>
      <c r="L456">
        <v>34</v>
      </c>
      <c r="M456" t="str" cm="1">
        <f t="array" ref="M456">_xlfn.IFS(
L456&lt;=12,"Children",
L456&lt;=19,"Teens",
L456&lt;=29,"Young Adults",
L456&lt;=39,"Adults",
L456&lt;=59,"Middle-Aged",
L456&gt;=60,"Seniors"
)</f>
        <v>Adults</v>
      </c>
      <c r="N456" t="s">
        <v>20</v>
      </c>
    </row>
    <row r="457" spans="1:14" x14ac:dyDescent="0.3">
      <c r="A457">
        <v>13585</v>
      </c>
      <c r="B457" t="s">
        <v>37</v>
      </c>
      <c r="C457" t="s">
        <v>38</v>
      </c>
      <c r="D457" s="3">
        <v>80000</v>
      </c>
      <c r="E457">
        <v>4</v>
      </c>
      <c r="F457" t="s">
        <v>21</v>
      </c>
      <c r="G457" t="s">
        <v>23</v>
      </c>
      <c r="H457" t="s">
        <v>20</v>
      </c>
      <c r="I457">
        <v>1</v>
      </c>
      <c r="J457" t="s">
        <v>24</v>
      </c>
      <c r="K457" t="s">
        <v>19</v>
      </c>
      <c r="L457">
        <v>53</v>
      </c>
      <c r="M457" t="str" cm="1">
        <f t="array" ref="M457">_xlfn.IFS(
L457&lt;=12,"Children",
L457&lt;=19,"Teens",
L457&lt;=29,"Young Adults",
L457&lt;=39,"Adults",
L457&lt;=59,"Middle-Aged",
L457&gt;=60,"Seniors"
)</f>
        <v>Middle-Aged</v>
      </c>
      <c r="N457" t="s">
        <v>17</v>
      </c>
    </row>
    <row r="458" spans="1:14" x14ac:dyDescent="0.3">
      <c r="A458">
        <v>26385</v>
      </c>
      <c r="B458" t="s">
        <v>40</v>
      </c>
      <c r="C458" t="s">
        <v>39</v>
      </c>
      <c r="D458" s="3">
        <v>120000</v>
      </c>
      <c r="E458">
        <v>3</v>
      </c>
      <c r="F458" t="s">
        <v>30</v>
      </c>
      <c r="G458" t="s">
        <v>23</v>
      </c>
      <c r="H458" t="s">
        <v>20</v>
      </c>
      <c r="I458">
        <v>4</v>
      </c>
      <c r="J458" t="s">
        <v>26</v>
      </c>
      <c r="K458" t="s">
        <v>19</v>
      </c>
      <c r="L458">
        <v>50</v>
      </c>
      <c r="M458" t="str" cm="1">
        <f t="array" ref="M458">_xlfn.IFS(
L458&lt;=12,"Children",
L458&lt;=19,"Teens",
L458&lt;=29,"Young Adults",
L458&lt;=39,"Adults",
L458&lt;=59,"Middle-Aged",
L458&gt;=60,"Seniors"
)</f>
        <v>Middle-Aged</v>
      </c>
      <c r="N458" t="s">
        <v>20</v>
      </c>
    </row>
    <row r="459" spans="1:14" x14ac:dyDescent="0.3">
      <c r="A459">
        <v>12236</v>
      </c>
      <c r="B459" t="s">
        <v>37</v>
      </c>
      <c r="C459" t="s">
        <v>38</v>
      </c>
      <c r="D459" s="3">
        <v>20000</v>
      </c>
      <c r="E459">
        <v>1</v>
      </c>
      <c r="F459" t="s">
        <v>21</v>
      </c>
      <c r="G459" t="s">
        <v>28</v>
      </c>
      <c r="H459" t="s">
        <v>17</v>
      </c>
      <c r="I459">
        <v>0</v>
      </c>
      <c r="J459" t="s">
        <v>18</v>
      </c>
      <c r="K459" t="s">
        <v>19</v>
      </c>
      <c r="L459">
        <v>65</v>
      </c>
      <c r="M459" t="str" cm="1">
        <f t="array" ref="M459">_xlfn.IFS(
L459&lt;=12,"Children",
L459&lt;=19,"Teens",
L459&lt;=29,"Young Adults",
L459&lt;=39,"Adults",
L459&lt;=59,"Middle-Aged",
L459&gt;=60,"Seniors"
)</f>
        <v>Seniors</v>
      </c>
      <c r="N459" t="s">
        <v>20</v>
      </c>
    </row>
    <row r="460" spans="1:14" x14ac:dyDescent="0.3">
      <c r="A460">
        <v>21560</v>
      </c>
      <c r="B460" t="s">
        <v>37</v>
      </c>
      <c r="C460" t="s">
        <v>39</v>
      </c>
      <c r="D460" s="3">
        <v>120000</v>
      </c>
      <c r="E460">
        <v>0</v>
      </c>
      <c r="F460" t="s">
        <v>32</v>
      </c>
      <c r="G460" t="s">
        <v>23</v>
      </c>
      <c r="H460" t="s">
        <v>17</v>
      </c>
      <c r="I460">
        <v>4</v>
      </c>
      <c r="J460" t="s">
        <v>41</v>
      </c>
      <c r="K460" t="s">
        <v>27</v>
      </c>
      <c r="L460">
        <v>32</v>
      </c>
      <c r="M460" t="str" cm="1">
        <f t="array" ref="M460">_xlfn.IFS(
L460&lt;=12,"Children",
L460&lt;=19,"Teens",
L460&lt;=29,"Young Adults",
L460&lt;=39,"Adults",
L460&lt;=59,"Middle-Aged",
L460&gt;=60,"Seniors"
)</f>
        <v>Adults</v>
      </c>
      <c r="N460" t="s">
        <v>17</v>
      </c>
    </row>
    <row r="461" spans="1:14" x14ac:dyDescent="0.3">
      <c r="A461">
        <v>21554</v>
      </c>
      <c r="B461" t="s">
        <v>40</v>
      </c>
      <c r="C461" t="s">
        <v>38</v>
      </c>
      <c r="D461" s="3">
        <v>80000</v>
      </c>
      <c r="E461">
        <v>0</v>
      </c>
      <c r="F461" t="s">
        <v>15</v>
      </c>
      <c r="G461" t="s">
        <v>23</v>
      </c>
      <c r="H461" t="s">
        <v>20</v>
      </c>
      <c r="I461">
        <v>3</v>
      </c>
      <c r="J461" t="s">
        <v>41</v>
      </c>
      <c r="K461" t="s">
        <v>27</v>
      </c>
      <c r="L461">
        <v>33</v>
      </c>
      <c r="M461" t="str" cm="1">
        <f t="array" ref="M461">_xlfn.IFS(
L461&lt;=12,"Children",
L461&lt;=19,"Teens",
L461&lt;=29,"Young Adults",
L461&lt;=39,"Adults",
L461&lt;=59,"Middle-Aged",
L461&gt;=60,"Seniors"
)</f>
        <v>Adults</v>
      </c>
      <c r="N461" t="s">
        <v>20</v>
      </c>
    </row>
    <row r="462" spans="1:14" x14ac:dyDescent="0.3">
      <c r="A462">
        <v>13662</v>
      </c>
      <c r="B462" t="s">
        <v>40</v>
      </c>
      <c r="C462" t="s">
        <v>39</v>
      </c>
      <c r="D462" s="3">
        <v>20000</v>
      </c>
      <c r="E462">
        <v>0</v>
      </c>
      <c r="F462" t="s">
        <v>32</v>
      </c>
      <c r="G462" t="s">
        <v>28</v>
      </c>
      <c r="H462" t="s">
        <v>17</v>
      </c>
      <c r="I462">
        <v>2</v>
      </c>
      <c r="J462" t="s">
        <v>29</v>
      </c>
      <c r="K462" t="s">
        <v>19</v>
      </c>
      <c r="L462">
        <v>31</v>
      </c>
      <c r="M462" t="str" cm="1">
        <f t="array" ref="M462">_xlfn.IFS(
L462&lt;=12,"Children",
L462&lt;=19,"Teens",
L462&lt;=29,"Young Adults",
L462&lt;=39,"Adults",
L462&lt;=59,"Middle-Aged",
L462&gt;=60,"Seniors"
)</f>
        <v>Adults</v>
      </c>
      <c r="N462" t="s">
        <v>17</v>
      </c>
    </row>
    <row r="463" spans="1:14" x14ac:dyDescent="0.3">
      <c r="A463">
        <v>13089</v>
      </c>
      <c r="B463" t="s">
        <v>37</v>
      </c>
      <c r="C463" t="s">
        <v>38</v>
      </c>
      <c r="D463" s="3">
        <v>120000</v>
      </c>
      <c r="E463">
        <v>1</v>
      </c>
      <c r="F463" t="s">
        <v>15</v>
      </c>
      <c r="G463" t="s">
        <v>31</v>
      </c>
      <c r="H463" t="s">
        <v>17</v>
      </c>
      <c r="I463">
        <v>2</v>
      </c>
      <c r="J463" t="s">
        <v>18</v>
      </c>
      <c r="K463" t="s">
        <v>27</v>
      </c>
      <c r="L463">
        <v>46</v>
      </c>
      <c r="M463" t="str" cm="1">
        <f t="array" ref="M463">_xlfn.IFS(
L463&lt;=12,"Children",
L463&lt;=19,"Teens",
L463&lt;=29,"Young Adults",
L463&lt;=39,"Adults",
L463&lt;=59,"Middle-Aged",
L463&gt;=60,"Seniors"
)</f>
        <v>Middle-Aged</v>
      </c>
      <c r="N463" t="s">
        <v>17</v>
      </c>
    </row>
    <row r="464" spans="1:14" x14ac:dyDescent="0.3">
      <c r="A464">
        <v>14791</v>
      </c>
      <c r="B464" t="s">
        <v>37</v>
      </c>
      <c r="C464" t="s">
        <v>38</v>
      </c>
      <c r="D464" s="3">
        <v>40000</v>
      </c>
      <c r="E464">
        <v>0</v>
      </c>
      <c r="F464" t="s">
        <v>15</v>
      </c>
      <c r="G464" t="s">
        <v>22</v>
      </c>
      <c r="H464" t="s">
        <v>17</v>
      </c>
      <c r="I464">
        <v>0</v>
      </c>
      <c r="J464" t="s">
        <v>18</v>
      </c>
      <c r="K464" t="s">
        <v>19</v>
      </c>
      <c r="L464">
        <v>39</v>
      </c>
      <c r="M464" t="str" cm="1">
        <f t="array" ref="M464">_xlfn.IFS(
L464&lt;=12,"Children",
L464&lt;=19,"Teens",
L464&lt;=29,"Young Adults",
L464&lt;=39,"Adults",
L464&lt;=59,"Middle-Aged",
L464&gt;=60,"Seniors"
)</f>
        <v>Adults</v>
      </c>
      <c r="N464" t="s">
        <v>17</v>
      </c>
    </row>
    <row r="465" spans="1:14" x14ac:dyDescent="0.3">
      <c r="A465">
        <v>19331</v>
      </c>
      <c r="B465" t="s">
        <v>40</v>
      </c>
      <c r="C465" t="s">
        <v>39</v>
      </c>
      <c r="D465" s="3">
        <v>20000</v>
      </c>
      <c r="E465">
        <v>2</v>
      </c>
      <c r="F465" t="s">
        <v>30</v>
      </c>
      <c r="G465" t="s">
        <v>28</v>
      </c>
      <c r="H465" t="s">
        <v>17</v>
      </c>
      <c r="I465">
        <v>1</v>
      </c>
      <c r="J465" t="s">
        <v>18</v>
      </c>
      <c r="K465" t="s">
        <v>19</v>
      </c>
      <c r="L465">
        <v>40</v>
      </c>
      <c r="M465" t="str" cm="1">
        <f t="array" ref="M465">_xlfn.IFS(
L465&lt;=12,"Children",
L465&lt;=19,"Teens",
L465&lt;=29,"Young Adults",
L465&lt;=39,"Adults",
L465&lt;=59,"Middle-Aged",
L465&gt;=60,"Seniors"
)</f>
        <v>Middle-Aged</v>
      </c>
      <c r="N465" t="s">
        <v>20</v>
      </c>
    </row>
    <row r="466" spans="1:14" x14ac:dyDescent="0.3">
      <c r="A466">
        <v>17754</v>
      </c>
      <c r="B466" t="s">
        <v>40</v>
      </c>
      <c r="C466" t="s">
        <v>38</v>
      </c>
      <c r="D466" s="3">
        <v>30000</v>
      </c>
      <c r="E466">
        <v>3</v>
      </c>
      <c r="F466" t="s">
        <v>15</v>
      </c>
      <c r="G466" t="s">
        <v>22</v>
      </c>
      <c r="H466" t="s">
        <v>17</v>
      </c>
      <c r="I466">
        <v>0</v>
      </c>
      <c r="J466" t="s">
        <v>18</v>
      </c>
      <c r="K466" t="s">
        <v>19</v>
      </c>
      <c r="L466">
        <v>46</v>
      </c>
      <c r="M466" t="str" cm="1">
        <f t="array" ref="M466">_xlfn.IFS(
L466&lt;=12,"Children",
L466&lt;=19,"Teens",
L466&lt;=29,"Young Adults",
L466&lt;=39,"Adults",
L466&lt;=59,"Middle-Aged",
L466&gt;=60,"Seniors"
)</f>
        <v>Middle-Aged</v>
      </c>
      <c r="N466" t="s">
        <v>17</v>
      </c>
    </row>
    <row r="467" spans="1:14" x14ac:dyDescent="0.3">
      <c r="A467">
        <v>11149</v>
      </c>
      <c r="B467" t="s">
        <v>37</v>
      </c>
      <c r="C467" t="s">
        <v>39</v>
      </c>
      <c r="D467" s="3">
        <v>40000</v>
      </c>
      <c r="E467">
        <v>2</v>
      </c>
      <c r="F467" t="s">
        <v>15</v>
      </c>
      <c r="G467" t="s">
        <v>31</v>
      </c>
      <c r="H467" t="s">
        <v>17</v>
      </c>
      <c r="I467">
        <v>2</v>
      </c>
      <c r="J467" t="s">
        <v>18</v>
      </c>
      <c r="K467" t="s">
        <v>27</v>
      </c>
      <c r="L467">
        <v>65</v>
      </c>
      <c r="M467" t="str" cm="1">
        <f t="array" ref="M467">_xlfn.IFS(
L467&lt;=12,"Children",
L467&lt;=19,"Teens",
L467&lt;=29,"Young Adults",
L467&lt;=39,"Adults",
L467&lt;=59,"Middle-Aged",
L467&gt;=60,"Seniors"
)</f>
        <v>Seniors</v>
      </c>
      <c r="N467" t="s">
        <v>20</v>
      </c>
    </row>
    <row r="468" spans="1:14" x14ac:dyDescent="0.3">
      <c r="A468">
        <v>16549</v>
      </c>
      <c r="B468" t="s">
        <v>40</v>
      </c>
      <c r="C468" t="s">
        <v>38</v>
      </c>
      <c r="D468" s="3">
        <v>30000</v>
      </c>
      <c r="E468">
        <v>3</v>
      </c>
      <c r="F468" t="s">
        <v>15</v>
      </c>
      <c r="G468" t="s">
        <v>22</v>
      </c>
      <c r="H468" t="s">
        <v>17</v>
      </c>
      <c r="I468">
        <v>0</v>
      </c>
      <c r="J468" t="s">
        <v>18</v>
      </c>
      <c r="K468" t="s">
        <v>19</v>
      </c>
      <c r="L468">
        <v>47</v>
      </c>
      <c r="M468" t="str" cm="1">
        <f t="array" ref="M468">_xlfn.IFS(
L468&lt;=12,"Children",
L468&lt;=19,"Teens",
L468&lt;=29,"Young Adults",
L468&lt;=39,"Adults",
L468&lt;=59,"Middle-Aged",
L468&gt;=60,"Seniors"
)</f>
        <v>Middle-Aged</v>
      </c>
      <c r="N468" t="s">
        <v>17</v>
      </c>
    </row>
    <row r="469" spans="1:14" x14ac:dyDescent="0.3">
      <c r="A469">
        <v>24305</v>
      </c>
      <c r="B469" t="s">
        <v>40</v>
      </c>
      <c r="C469" t="s">
        <v>39</v>
      </c>
      <c r="D469" s="3">
        <v>100000</v>
      </c>
      <c r="E469">
        <v>1</v>
      </c>
      <c r="F469" t="s">
        <v>15</v>
      </c>
      <c r="G469" t="s">
        <v>31</v>
      </c>
      <c r="H469" t="s">
        <v>20</v>
      </c>
      <c r="I469">
        <v>3</v>
      </c>
      <c r="J469" t="s">
        <v>18</v>
      </c>
      <c r="K469" t="s">
        <v>27</v>
      </c>
      <c r="L469">
        <v>46</v>
      </c>
      <c r="M469" t="str" cm="1">
        <f t="array" ref="M469">_xlfn.IFS(
L469&lt;=12,"Children",
L469&lt;=19,"Teens",
L469&lt;=29,"Young Adults",
L469&lt;=39,"Adults",
L469&lt;=59,"Middle-Aged",
L469&gt;=60,"Seniors"
)</f>
        <v>Middle-Aged</v>
      </c>
      <c r="N469" t="s">
        <v>17</v>
      </c>
    </row>
    <row r="470" spans="1:14" x14ac:dyDescent="0.3">
      <c r="A470">
        <v>18253</v>
      </c>
      <c r="B470" t="s">
        <v>37</v>
      </c>
      <c r="C470" t="s">
        <v>38</v>
      </c>
      <c r="D470" s="3">
        <v>80000</v>
      </c>
      <c r="E470">
        <v>5</v>
      </c>
      <c r="F470" t="s">
        <v>34</v>
      </c>
      <c r="G470" t="s">
        <v>31</v>
      </c>
      <c r="H470" t="s">
        <v>17</v>
      </c>
      <c r="I470">
        <v>3</v>
      </c>
      <c r="J470" t="s">
        <v>18</v>
      </c>
      <c r="K470" t="s">
        <v>27</v>
      </c>
      <c r="L470">
        <v>40</v>
      </c>
      <c r="M470" t="str" cm="1">
        <f t="array" ref="M470">_xlfn.IFS(
L470&lt;=12,"Children",
L470&lt;=19,"Teens",
L470&lt;=29,"Young Adults",
L470&lt;=39,"Adults",
L470&lt;=59,"Middle-Aged",
L470&gt;=60,"Seniors"
)</f>
        <v>Middle-Aged</v>
      </c>
      <c r="N470" t="s">
        <v>20</v>
      </c>
    </row>
    <row r="471" spans="1:14" x14ac:dyDescent="0.3">
      <c r="A471">
        <v>20147</v>
      </c>
      <c r="B471" t="s">
        <v>37</v>
      </c>
      <c r="C471" t="s">
        <v>38</v>
      </c>
      <c r="D471" s="3">
        <v>30000</v>
      </c>
      <c r="E471">
        <v>1</v>
      </c>
      <c r="F471" t="s">
        <v>15</v>
      </c>
      <c r="G471" t="s">
        <v>22</v>
      </c>
      <c r="H471" t="s">
        <v>17</v>
      </c>
      <c r="I471">
        <v>0</v>
      </c>
      <c r="J471" t="s">
        <v>18</v>
      </c>
      <c r="K471" t="s">
        <v>19</v>
      </c>
      <c r="L471">
        <v>65</v>
      </c>
      <c r="M471" t="str" cm="1">
        <f t="array" ref="M471">_xlfn.IFS(
L471&lt;=12,"Children",
L471&lt;=19,"Teens",
L471&lt;=29,"Young Adults",
L471&lt;=39,"Adults",
L471&lt;=59,"Middle-Aged",
L471&gt;=60,"Seniors"
)</f>
        <v>Seniors</v>
      </c>
      <c r="N471" t="s">
        <v>20</v>
      </c>
    </row>
    <row r="472" spans="1:14" x14ac:dyDescent="0.3">
      <c r="A472">
        <v>15612</v>
      </c>
      <c r="B472" t="s">
        <v>40</v>
      </c>
      <c r="C472" t="s">
        <v>39</v>
      </c>
      <c r="D472" s="3">
        <v>30000</v>
      </c>
      <c r="E472">
        <v>0</v>
      </c>
      <c r="F472" t="s">
        <v>30</v>
      </c>
      <c r="G472" t="s">
        <v>28</v>
      </c>
      <c r="H472" t="s">
        <v>20</v>
      </c>
      <c r="I472">
        <v>1</v>
      </c>
      <c r="J472" t="s">
        <v>29</v>
      </c>
      <c r="K472" t="s">
        <v>19</v>
      </c>
      <c r="L472">
        <v>28</v>
      </c>
      <c r="M472" t="str" cm="1">
        <f t="array" ref="M472">_xlfn.IFS(
L472&lt;=12,"Children",
L472&lt;=19,"Teens",
L472&lt;=29,"Young Adults",
L472&lt;=39,"Adults",
L472&lt;=59,"Middle-Aged",
L472&gt;=60,"Seniors"
)</f>
        <v>Young Adults</v>
      </c>
      <c r="N472" t="s">
        <v>20</v>
      </c>
    </row>
    <row r="473" spans="1:14" x14ac:dyDescent="0.3">
      <c r="A473">
        <v>28323</v>
      </c>
      <c r="B473" t="s">
        <v>40</v>
      </c>
      <c r="C473" t="s">
        <v>39</v>
      </c>
      <c r="D473" s="3">
        <v>70000</v>
      </c>
      <c r="E473">
        <v>0</v>
      </c>
      <c r="F473" t="s">
        <v>15</v>
      </c>
      <c r="G473" t="s">
        <v>23</v>
      </c>
      <c r="H473" t="s">
        <v>20</v>
      </c>
      <c r="I473">
        <v>2</v>
      </c>
      <c r="J473" t="s">
        <v>26</v>
      </c>
      <c r="K473" t="s">
        <v>27</v>
      </c>
      <c r="L473">
        <v>43</v>
      </c>
      <c r="M473" t="str" cm="1">
        <f t="array" ref="M473">_xlfn.IFS(
L473&lt;=12,"Children",
L473&lt;=19,"Teens",
L473&lt;=29,"Young Adults",
L473&lt;=39,"Adults",
L473&lt;=59,"Middle-Aged",
L473&gt;=60,"Seniors"
)</f>
        <v>Middle-Aged</v>
      </c>
      <c r="N473" t="s">
        <v>17</v>
      </c>
    </row>
    <row r="474" spans="1:14" x14ac:dyDescent="0.3">
      <c r="A474">
        <v>22634</v>
      </c>
      <c r="B474" t="s">
        <v>40</v>
      </c>
      <c r="C474" t="s">
        <v>38</v>
      </c>
      <c r="D474" s="3">
        <v>40000</v>
      </c>
      <c r="E474">
        <v>0</v>
      </c>
      <c r="F474" t="s">
        <v>34</v>
      </c>
      <c r="G474" t="s">
        <v>22</v>
      </c>
      <c r="H474" t="s">
        <v>17</v>
      </c>
      <c r="I474">
        <v>0</v>
      </c>
      <c r="J474" t="s">
        <v>18</v>
      </c>
      <c r="K474" t="s">
        <v>19</v>
      </c>
      <c r="L474">
        <v>38</v>
      </c>
      <c r="M474" t="str" cm="1">
        <f t="array" ref="M474">_xlfn.IFS(
L474&lt;=12,"Children",
L474&lt;=19,"Teens",
L474&lt;=29,"Young Adults",
L474&lt;=39,"Adults",
L474&lt;=59,"Middle-Aged",
L474&gt;=60,"Seniors"
)</f>
        <v>Adults</v>
      </c>
      <c r="N474" t="s">
        <v>17</v>
      </c>
    </row>
    <row r="475" spans="1:14" x14ac:dyDescent="0.3">
      <c r="A475">
        <v>15665</v>
      </c>
      <c r="B475" t="s">
        <v>37</v>
      </c>
      <c r="C475" t="s">
        <v>38</v>
      </c>
      <c r="D475" s="3">
        <v>30000</v>
      </c>
      <c r="E475">
        <v>0</v>
      </c>
      <c r="F475" t="s">
        <v>15</v>
      </c>
      <c r="G475" t="s">
        <v>22</v>
      </c>
      <c r="H475" t="s">
        <v>17</v>
      </c>
      <c r="I475">
        <v>0</v>
      </c>
      <c r="J475" t="s">
        <v>18</v>
      </c>
      <c r="K475" t="s">
        <v>19</v>
      </c>
      <c r="L475">
        <v>47</v>
      </c>
      <c r="M475" t="str" cm="1">
        <f t="array" ref="M475">_xlfn.IFS(
L475&lt;=12,"Children",
L475&lt;=19,"Teens",
L475&lt;=29,"Young Adults",
L475&lt;=39,"Adults",
L475&lt;=59,"Middle-Aged",
L475&gt;=60,"Seniors"
)</f>
        <v>Middle-Aged</v>
      </c>
      <c r="N475" t="s">
        <v>17</v>
      </c>
    </row>
    <row r="476" spans="1:14" x14ac:dyDescent="0.3">
      <c r="A476">
        <v>27585</v>
      </c>
      <c r="B476" t="s">
        <v>37</v>
      </c>
      <c r="C476" t="s">
        <v>38</v>
      </c>
      <c r="D476" s="3">
        <v>90000</v>
      </c>
      <c r="E476">
        <v>2</v>
      </c>
      <c r="F476" t="s">
        <v>15</v>
      </c>
      <c r="G476" t="s">
        <v>23</v>
      </c>
      <c r="H476" t="s">
        <v>20</v>
      </c>
      <c r="I476">
        <v>0</v>
      </c>
      <c r="J476" t="s">
        <v>18</v>
      </c>
      <c r="K476" t="s">
        <v>27</v>
      </c>
      <c r="L476">
        <v>36</v>
      </c>
      <c r="M476" t="str" cm="1">
        <f t="array" ref="M476">_xlfn.IFS(
L476&lt;=12,"Children",
L476&lt;=19,"Teens",
L476&lt;=29,"Young Adults",
L476&lt;=39,"Adults",
L476&lt;=59,"Middle-Aged",
L476&gt;=60,"Seniors"
)</f>
        <v>Adults</v>
      </c>
      <c r="N476" t="s">
        <v>17</v>
      </c>
    </row>
    <row r="477" spans="1:14" x14ac:dyDescent="0.3">
      <c r="A477">
        <v>19748</v>
      </c>
      <c r="B477" t="s">
        <v>37</v>
      </c>
      <c r="C477" t="s">
        <v>39</v>
      </c>
      <c r="D477" s="3">
        <v>20000</v>
      </c>
      <c r="E477">
        <v>4</v>
      </c>
      <c r="F477" t="s">
        <v>30</v>
      </c>
      <c r="G477" t="s">
        <v>16</v>
      </c>
      <c r="H477" t="s">
        <v>20</v>
      </c>
      <c r="I477">
        <v>2</v>
      </c>
      <c r="J477" t="s">
        <v>29</v>
      </c>
      <c r="K477" t="s">
        <v>27</v>
      </c>
      <c r="L477">
        <v>60</v>
      </c>
      <c r="M477" t="str" cm="1">
        <f t="array" ref="M477">_xlfn.IFS(
L477&lt;=12,"Children",
L477&lt;=19,"Teens",
L477&lt;=29,"Young Adults",
L477&lt;=39,"Adults",
L477&lt;=59,"Middle-Aged",
L477&gt;=60,"Seniors"
)</f>
        <v>Seniors</v>
      </c>
      <c r="N477" t="s">
        <v>20</v>
      </c>
    </row>
    <row r="478" spans="1:14" x14ac:dyDescent="0.3">
      <c r="A478">
        <v>21974</v>
      </c>
      <c r="B478" t="s">
        <v>40</v>
      </c>
      <c r="C478" t="s">
        <v>38</v>
      </c>
      <c r="D478" s="3">
        <v>70000</v>
      </c>
      <c r="E478">
        <v>0</v>
      </c>
      <c r="F478" t="s">
        <v>15</v>
      </c>
      <c r="G478" t="s">
        <v>23</v>
      </c>
      <c r="H478" t="s">
        <v>17</v>
      </c>
      <c r="I478">
        <v>1</v>
      </c>
      <c r="J478" t="s">
        <v>26</v>
      </c>
      <c r="K478" t="s">
        <v>27</v>
      </c>
      <c r="L478">
        <v>42</v>
      </c>
      <c r="M478" t="str" cm="1">
        <f t="array" ref="M478">_xlfn.IFS(
L478&lt;=12,"Children",
L478&lt;=19,"Teens",
L478&lt;=29,"Young Adults",
L478&lt;=39,"Adults",
L478&lt;=59,"Middle-Aged",
L478&gt;=60,"Seniors"
)</f>
        <v>Middle-Aged</v>
      </c>
      <c r="N478" t="s">
        <v>17</v>
      </c>
    </row>
    <row r="479" spans="1:14" x14ac:dyDescent="0.3">
      <c r="A479">
        <v>14032</v>
      </c>
      <c r="B479" t="s">
        <v>37</v>
      </c>
      <c r="C479" t="s">
        <v>39</v>
      </c>
      <c r="D479" s="3">
        <v>70000</v>
      </c>
      <c r="E479">
        <v>2</v>
      </c>
      <c r="F479" t="s">
        <v>30</v>
      </c>
      <c r="G479" t="s">
        <v>16</v>
      </c>
      <c r="H479" t="s">
        <v>20</v>
      </c>
      <c r="I479">
        <v>2</v>
      </c>
      <c r="J479" t="s">
        <v>29</v>
      </c>
      <c r="K479" t="s">
        <v>27</v>
      </c>
      <c r="L479">
        <v>50</v>
      </c>
      <c r="M479" t="str" cm="1">
        <f t="array" ref="M479">_xlfn.IFS(
L479&lt;=12,"Children",
L479&lt;=19,"Teens",
L479&lt;=29,"Young Adults",
L479&lt;=39,"Adults",
L479&lt;=59,"Middle-Aged",
L479&gt;=60,"Seniors"
)</f>
        <v>Middle-Aged</v>
      </c>
      <c r="N479" t="s">
        <v>17</v>
      </c>
    </row>
    <row r="480" spans="1:14" x14ac:dyDescent="0.3">
      <c r="A480">
        <v>22610</v>
      </c>
      <c r="B480" t="s">
        <v>37</v>
      </c>
      <c r="C480" t="s">
        <v>39</v>
      </c>
      <c r="D480" s="3">
        <v>30000</v>
      </c>
      <c r="E480">
        <v>0</v>
      </c>
      <c r="F480" t="s">
        <v>15</v>
      </c>
      <c r="G480" t="s">
        <v>22</v>
      </c>
      <c r="H480" t="s">
        <v>17</v>
      </c>
      <c r="I480">
        <v>0</v>
      </c>
      <c r="J480" t="s">
        <v>18</v>
      </c>
      <c r="K480" t="s">
        <v>19</v>
      </c>
      <c r="L480">
        <v>35</v>
      </c>
      <c r="M480" t="str" cm="1">
        <f t="array" ref="M480">_xlfn.IFS(
L480&lt;=12,"Children",
L480&lt;=19,"Teens",
L480&lt;=29,"Young Adults",
L480&lt;=39,"Adults",
L480&lt;=59,"Middle-Aged",
L480&gt;=60,"Seniors"
)</f>
        <v>Adults</v>
      </c>
      <c r="N480" t="s">
        <v>17</v>
      </c>
    </row>
    <row r="481" spans="1:14" x14ac:dyDescent="0.3">
      <c r="A481">
        <v>26984</v>
      </c>
      <c r="B481" t="s">
        <v>37</v>
      </c>
      <c r="C481" t="s">
        <v>39</v>
      </c>
      <c r="D481" s="3">
        <v>40000</v>
      </c>
      <c r="E481">
        <v>1</v>
      </c>
      <c r="F481" t="s">
        <v>15</v>
      </c>
      <c r="G481" t="s">
        <v>16</v>
      </c>
      <c r="H481" t="s">
        <v>17</v>
      </c>
      <c r="I481">
        <v>1</v>
      </c>
      <c r="J481" t="s">
        <v>18</v>
      </c>
      <c r="K481" t="s">
        <v>19</v>
      </c>
      <c r="L481">
        <v>32</v>
      </c>
      <c r="M481" t="str" cm="1">
        <f t="array" ref="M481">_xlfn.IFS(
L481&lt;=12,"Children",
L481&lt;=19,"Teens",
L481&lt;=29,"Young Adults",
L481&lt;=39,"Adults",
L481&lt;=59,"Middle-Aged",
L481&gt;=60,"Seniors"
)</f>
        <v>Adults</v>
      </c>
      <c r="N481" t="s">
        <v>17</v>
      </c>
    </row>
    <row r="482" spans="1:14" x14ac:dyDescent="0.3">
      <c r="A482">
        <v>18294</v>
      </c>
      <c r="B482" t="s">
        <v>37</v>
      </c>
      <c r="C482" t="s">
        <v>38</v>
      </c>
      <c r="D482" s="3">
        <v>90000</v>
      </c>
      <c r="E482">
        <v>1</v>
      </c>
      <c r="F482" t="s">
        <v>15</v>
      </c>
      <c r="G482" t="s">
        <v>23</v>
      </c>
      <c r="H482" t="s">
        <v>17</v>
      </c>
      <c r="I482">
        <v>1</v>
      </c>
      <c r="J482" t="s">
        <v>26</v>
      </c>
      <c r="K482" t="s">
        <v>27</v>
      </c>
      <c r="L482">
        <v>46</v>
      </c>
      <c r="M482" t="str" cm="1">
        <f t="array" ref="M482">_xlfn.IFS(
L482&lt;=12,"Children",
L482&lt;=19,"Teens",
L482&lt;=29,"Young Adults",
L482&lt;=39,"Adults",
L482&lt;=59,"Middle-Aged",
L482&gt;=60,"Seniors"
)</f>
        <v>Middle-Aged</v>
      </c>
      <c r="N482" t="s">
        <v>20</v>
      </c>
    </row>
    <row r="483" spans="1:14" x14ac:dyDescent="0.3">
      <c r="A483">
        <v>28564</v>
      </c>
      <c r="B483" t="s">
        <v>40</v>
      </c>
      <c r="C483" t="s">
        <v>38</v>
      </c>
      <c r="D483" s="3">
        <v>40000</v>
      </c>
      <c r="E483">
        <v>2</v>
      </c>
      <c r="F483" t="s">
        <v>21</v>
      </c>
      <c r="G483" t="s">
        <v>22</v>
      </c>
      <c r="H483" t="s">
        <v>17</v>
      </c>
      <c r="I483">
        <v>0</v>
      </c>
      <c r="J483" t="s">
        <v>29</v>
      </c>
      <c r="K483" t="s">
        <v>19</v>
      </c>
      <c r="L483">
        <v>33</v>
      </c>
      <c r="M483" t="str" cm="1">
        <f t="array" ref="M483">_xlfn.IFS(
L483&lt;=12,"Children",
L483&lt;=19,"Teens",
L483&lt;=29,"Young Adults",
L483&lt;=39,"Adults",
L483&lt;=59,"Middle-Aged",
L483&gt;=60,"Seniors"
)</f>
        <v>Adults</v>
      </c>
      <c r="N483" t="s">
        <v>17</v>
      </c>
    </row>
    <row r="484" spans="1:14" x14ac:dyDescent="0.3">
      <c r="A484">
        <v>28521</v>
      </c>
      <c r="B484" t="s">
        <v>40</v>
      </c>
      <c r="C484" t="s">
        <v>39</v>
      </c>
      <c r="D484" s="3">
        <v>40000</v>
      </c>
      <c r="E484">
        <v>0</v>
      </c>
      <c r="F484" t="s">
        <v>34</v>
      </c>
      <c r="G484" t="s">
        <v>22</v>
      </c>
      <c r="H484" t="s">
        <v>20</v>
      </c>
      <c r="I484">
        <v>0</v>
      </c>
      <c r="J484" t="s">
        <v>18</v>
      </c>
      <c r="K484" t="s">
        <v>19</v>
      </c>
      <c r="L484">
        <v>36</v>
      </c>
      <c r="M484" t="str" cm="1">
        <f t="array" ref="M484">_xlfn.IFS(
L484&lt;=12,"Children",
L484&lt;=19,"Teens",
L484&lt;=29,"Young Adults",
L484&lt;=39,"Adults",
L484&lt;=59,"Middle-Aged",
L484&gt;=60,"Seniors"
)</f>
        <v>Adults</v>
      </c>
      <c r="N484" t="s">
        <v>17</v>
      </c>
    </row>
    <row r="485" spans="1:14" x14ac:dyDescent="0.3">
      <c r="A485">
        <v>15450</v>
      </c>
      <c r="B485" t="s">
        <v>37</v>
      </c>
      <c r="C485" t="s">
        <v>39</v>
      </c>
      <c r="D485" s="3">
        <v>10000</v>
      </c>
      <c r="E485">
        <v>1</v>
      </c>
      <c r="F485" t="s">
        <v>34</v>
      </c>
      <c r="G485" t="s">
        <v>22</v>
      </c>
      <c r="H485" t="s">
        <v>17</v>
      </c>
      <c r="I485">
        <v>0</v>
      </c>
      <c r="J485" t="s">
        <v>18</v>
      </c>
      <c r="K485" t="s">
        <v>19</v>
      </c>
      <c r="L485">
        <v>70</v>
      </c>
      <c r="M485" t="str" cm="1">
        <f t="array" ref="M485">_xlfn.IFS(
L485&lt;=12,"Children",
L485&lt;=19,"Teens",
L485&lt;=29,"Young Adults",
L485&lt;=39,"Adults",
L485&lt;=59,"Middle-Aged",
L485&gt;=60,"Seniors"
)</f>
        <v>Seniors</v>
      </c>
      <c r="N485" t="s">
        <v>20</v>
      </c>
    </row>
    <row r="486" spans="1:14" x14ac:dyDescent="0.3">
      <c r="A486">
        <v>25681</v>
      </c>
      <c r="B486" t="s">
        <v>40</v>
      </c>
      <c r="C486" t="s">
        <v>38</v>
      </c>
      <c r="D486" s="3">
        <v>30000</v>
      </c>
      <c r="E486">
        <v>0</v>
      </c>
      <c r="F486" t="s">
        <v>21</v>
      </c>
      <c r="G486" t="s">
        <v>22</v>
      </c>
      <c r="H486" t="s">
        <v>20</v>
      </c>
      <c r="I486">
        <v>1</v>
      </c>
      <c r="J486" t="s">
        <v>24</v>
      </c>
      <c r="K486" t="s">
        <v>19</v>
      </c>
      <c r="L486">
        <v>31</v>
      </c>
      <c r="M486" t="str" cm="1">
        <f t="array" ref="M486">_xlfn.IFS(
L486&lt;=12,"Children",
L486&lt;=19,"Teens",
L486&lt;=29,"Young Adults",
L486&lt;=39,"Adults",
L486&lt;=59,"Middle-Aged",
L486&gt;=60,"Seniors"
)</f>
        <v>Adults</v>
      </c>
      <c r="N486" t="s">
        <v>17</v>
      </c>
    </row>
    <row r="487" spans="1:14" x14ac:dyDescent="0.3">
      <c r="A487">
        <v>19491</v>
      </c>
      <c r="B487" t="s">
        <v>40</v>
      </c>
      <c r="C487" t="s">
        <v>39</v>
      </c>
      <c r="D487" s="3">
        <v>30000</v>
      </c>
      <c r="E487">
        <v>2</v>
      </c>
      <c r="F487" t="s">
        <v>21</v>
      </c>
      <c r="G487" t="s">
        <v>22</v>
      </c>
      <c r="H487" t="s">
        <v>17</v>
      </c>
      <c r="I487">
        <v>2</v>
      </c>
      <c r="J487" t="s">
        <v>18</v>
      </c>
      <c r="K487" t="s">
        <v>19</v>
      </c>
      <c r="L487">
        <v>42</v>
      </c>
      <c r="M487" t="str" cm="1">
        <f t="array" ref="M487">_xlfn.IFS(
L487&lt;=12,"Children",
L487&lt;=19,"Teens",
L487&lt;=29,"Young Adults",
L487&lt;=39,"Adults",
L487&lt;=59,"Middle-Aged",
L487&gt;=60,"Seniors"
)</f>
        <v>Middle-Aged</v>
      </c>
      <c r="N487" t="s">
        <v>20</v>
      </c>
    </row>
    <row r="488" spans="1:14" x14ac:dyDescent="0.3">
      <c r="A488">
        <v>26415</v>
      </c>
      <c r="B488" t="s">
        <v>37</v>
      </c>
      <c r="C488" t="s">
        <v>38</v>
      </c>
      <c r="D488" s="3">
        <v>90000</v>
      </c>
      <c r="E488">
        <v>4</v>
      </c>
      <c r="F488" t="s">
        <v>32</v>
      </c>
      <c r="G488" t="s">
        <v>16</v>
      </c>
      <c r="H488" t="s">
        <v>17</v>
      </c>
      <c r="I488">
        <v>4</v>
      </c>
      <c r="J488" t="s">
        <v>41</v>
      </c>
      <c r="K488" t="s">
        <v>19</v>
      </c>
      <c r="L488">
        <v>58</v>
      </c>
      <c r="M488" t="str" cm="1">
        <f t="array" ref="M488">_xlfn.IFS(
L488&lt;=12,"Children",
L488&lt;=19,"Teens",
L488&lt;=29,"Young Adults",
L488&lt;=39,"Adults",
L488&lt;=59,"Middle-Aged",
L488&gt;=60,"Seniors"
)</f>
        <v>Middle-Aged</v>
      </c>
      <c r="N488" t="s">
        <v>20</v>
      </c>
    </row>
    <row r="489" spans="1:14" x14ac:dyDescent="0.3">
      <c r="A489">
        <v>12821</v>
      </c>
      <c r="B489" t="s">
        <v>37</v>
      </c>
      <c r="C489" t="s">
        <v>39</v>
      </c>
      <c r="D489" s="3">
        <v>40000</v>
      </c>
      <c r="E489">
        <v>0</v>
      </c>
      <c r="F489" t="s">
        <v>15</v>
      </c>
      <c r="G489" t="s">
        <v>22</v>
      </c>
      <c r="H489" t="s">
        <v>17</v>
      </c>
      <c r="I489">
        <v>0</v>
      </c>
      <c r="J489" t="s">
        <v>18</v>
      </c>
      <c r="K489" t="s">
        <v>19</v>
      </c>
      <c r="L489">
        <v>39</v>
      </c>
      <c r="M489" t="str" cm="1">
        <f t="array" ref="M489">_xlfn.IFS(
L489&lt;=12,"Children",
L489&lt;=19,"Teens",
L489&lt;=29,"Young Adults",
L489&lt;=39,"Adults",
L489&lt;=59,"Middle-Aged",
L489&gt;=60,"Seniors"
)</f>
        <v>Adults</v>
      </c>
      <c r="N489" t="s">
        <v>20</v>
      </c>
    </row>
    <row r="490" spans="1:14" x14ac:dyDescent="0.3">
      <c r="A490">
        <v>15629</v>
      </c>
      <c r="B490" t="s">
        <v>40</v>
      </c>
      <c r="C490" t="s">
        <v>38</v>
      </c>
      <c r="D490" s="3">
        <v>10000</v>
      </c>
      <c r="E490">
        <v>0</v>
      </c>
      <c r="F490" t="s">
        <v>32</v>
      </c>
      <c r="G490" t="s">
        <v>28</v>
      </c>
      <c r="H490" t="s">
        <v>17</v>
      </c>
      <c r="I490">
        <v>2</v>
      </c>
      <c r="J490" t="s">
        <v>29</v>
      </c>
      <c r="K490" t="s">
        <v>19</v>
      </c>
      <c r="L490">
        <v>34</v>
      </c>
      <c r="M490" t="str" cm="1">
        <f t="array" ref="M490">_xlfn.IFS(
L490&lt;=12,"Children",
L490&lt;=19,"Teens",
L490&lt;=29,"Young Adults",
L490&lt;=39,"Adults",
L490&lt;=59,"Middle-Aged",
L490&gt;=60,"Seniors"
)</f>
        <v>Adults</v>
      </c>
      <c r="N490" t="s">
        <v>20</v>
      </c>
    </row>
    <row r="491" spans="1:14" x14ac:dyDescent="0.3">
      <c r="A491">
        <v>27835</v>
      </c>
      <c r="B491" t="s">
        <v>37</v>
      </c>
      <c r="C491" t="s">
        <v>39</v>
      </c>
      <c r="D491" s="3">
        <v>20000</v>
      </c>
      <c r="E491">
        <v>0</v>
      </c>
      <c r="F491" t="s">
        <v>32</v>
      </c>
      <c r="G491" t="s">
        <v>28</v>
      </c>
      <c r="H491" t="s">
        <v>17</v>
      </c>
      <c r="I491">
        <v>2</v>
      </c>
      <c r="J491" t="s">
        <v>18</v>
      </c>
      <c r="K491" t="s">
        <v>19</v>
      </c>
      <c r="L491">
        <v>32</v>
      </c>
      <c r="M491" t="str" cm="1">
        <f t="array" ref="M491">_xlfn.IFS(
L491&lt;=12,"Children",
L491&lt;=19,"Teens",
L491&lt;=29,"Young Adults",
L491&lt;=39,"Adults",
L491&lt;=59,"Middle-Aged",
L491&gt;=60,"Seniors"
)</f>
        <v>Adults</v>
      </c>
      <c r="N491" t="s">
        <v>20</v>
      </c>
    </row>
    <row r="492" spans="1:14" x14ac:dyDescent="0.3">
      <c r="A492">
        <v>11738</v>
      </c>
      <c r="B492" t="s">
        <v>37</v>
      </c>
      <c r="C492" t="s">
        <v>39</v>
      </c>
      <c r="D492" s="3">
        <v>60000</v>
      </c>
      <c r="E492">
        <v>4</v>
      </c>
      <c r="F492" t="s">
        <v>15</v>
      </c>
      <c r="G492" t="s">
        <v>23</v>
      </c>
      <c r="H492" t="s">
        <v>17</v>
      </c>
      <c r="I492">
        <v>0</v>
      </c>
      <c r="J492" t="s">
        <v>24</v>
      </c>
      <c r="K492" t="s">
        <v>35</v>
      </c>
      <c r="L492">
        <v>46</v>
      </c>
      <c r="M492" t="str" cm="1">
        <f t="array" ref="M492">_xlfn.IFS(
L492&lt;=12,"Children",
L492&lt;=19,"Teens",
L492&lt;=29,"Young Adults",
L492&lt;=39,"Adults",
L492&lt;=59,"Middle-Aged",
L492&gt;=60,"Seniors"
)</f>
        <v>Middle-Aged</v>
      </c>
      <c r="N492" t="s">
        <v>20</v>
      </c>
    </row>
    <row r="493" spans="1:14" x14ac:dyDescent="0.3">
      <c r="A493">
        <v>25065</v>
      </c>
      <c r="B493" t="s">
        <v>37</v>
      </c>
      <c r="C493" t="s">
        <v>39</v>
      </c>
      <c r="D493" s="3">
        <v>70000</v>
      </c>
      <c r="E493">
        <v>2</v>
      </c>
      <c r="F493" t="s">
        <v>32</v>
      </c>
      <c r="G493" t="s">
        <v>16</v>
      </c>
      <c r="H493" t="s">
        <v>17</v>
      </c>
      <c r="I493">
        <v>2</v>
      </c>
      <c r="J493" t="s">
        <v>26</v>
      </c>
      <c r="K493" t="s">
        <v>35</v>
      </c>
      <c r="L493">
        <v>48</v>
      </c>
      <c r="M493" t="str" cm="1">
        <f t="array" ref="M493">_xlfn.IFS(
L493&lt;=12,"Children",
L493&lt;=19,"Teens",
L493&lt;=29,"Young Adults",
L493&lt;=39,"Adults",
L493&lt;=59,"Middle-Aged",
L493&gt;=60,"Seniors"
)</f>
        <v>Middle-Aged</v>
      </c>
      <c r="N493" t="s">
        <v>20</v>
      </c>
    </row>
    <row r="494" spans="1:14" x14ac:dyDescent="0.3">
      <c r="A494">
        <v>26238</v>
      </c>
      <c r="B494" t="s">
        <v>40</v>
      </c>
      <c r="C494" t="s">
        <v>38</v>
      </c>
      <c r="D494" s="3">
        <v>40000</v>
      </c>
      <c r="E494">
        <v>3</v>
      </c>
      <c r="F494" t="s">
        <v>21</v>
      </c>
      <c r="G494" t="s">
        <v>22</v>
      </c>
      <c r="H494" t="s">
        <v>17</v>
      </c>
      <c r="I494">
        <v>1</v>
      </c>
      <c r="J494" t="s">
        <v>29</v>
      </c>
      <c r="K494" t="s">
        <v>35</v>
      </c>
      <c r="L494">
        <v>31</v>
      </c>
      <c r="M494" t="str" cm="1">
        <f t="array" ref="M494">_xlfn.IFS(
L494&lt;=12,"Children",
L494&lt;=19,"Teens",
L494&lt;=29,"Young Adults",
L494&lt;=39,"Adults",
L494&lt;=59,"Middle-Aged",
L494&gt;=60,"Seniors"
)</f>
        <v>Adults</v>
      </c>
      <c r="N494" t="s">
        <v>17</v>
      </c>
    </row>
    <row r="495" spans="1:14" x14ac:dyDescent="0.3">
      <c r="A495">
        <v>23707</v>
      </c>
      <c r="B495" t="s">
        <v>40</v>
      </c>
      <c r="C495" t="s">
        <v>39</v>
      </c>
      <c r="D495" s="3">
        <v>70000</v>
      </c>
      <c r="E495">
        <v>5</v>
      </c>
      <c r="F495" t="s">
        <v>15</v>
      </c>
      <c r="G495" t="s">
        <v>31</v>
      </c>
      <c r="H495" t="s">
        <v>17</v>
      </c>
      <c r="I495">
        <v>3</v>
      </c>
      <c r="J495" t="s">
        <v>41</v>
      </c>
      <c r="K495" t="s">
        <v>35</v>
      </c>
      <c r="L495">
        <v>60</v>
      </c>
      <c r="M495" t="str" cm="1">
        <f t="array" ref="M495">_xlfn.IFS(
L495&lt;=12,"Children",
L495&lt;=19,"Teens",
L495&lt;=29,"Young Adults",
L495&lt;=39,"Adults",
L495&lt;=59,"Middle-Aged",
L495&gt;=60,"Seniors"
)</f>
        <v>Seniors</v>
      </c>
      <c r="N495" t="s">
        <v>17</v>
      </c>
    </row>
    <row r="496" spans="1:14" x14ac:dyDescent="0.3">
      <c r="A496">
        <v>27650</v>
      </c>
      <c r="B496" t="s">
        <v>37</v>
      </c>
      <c r="C496" t="s">
        <v>39</v>
      </c>
      <c r="D496" s="3">
        <v>70000</v>
      </c>
      <c r="E496">
        <v>4</v>
      </c>
      <c r="F496" t="s">
        <v>30</v>
      </c>
      <c r="G496" t="s">
        <v>23</v>
      </c>
      <c r="H496" t="s">
        <v>17</v>
      </c>
      <c r="I496">
        <v>0</v>
      </c>
      <c r="J496" t="s">
        <v>26</v>
      </c>
      <c r="K496" t="s">
        <v>35</v>
      </c>
      <c r="L496">
        <v>51</v>
      </c>
      <c r="M496" t="str" cm="1">
        <f t="array" ref="M496">_xlfn.IFS(
L496&lt;=12,"Children",
L496&lt;=19,"Teens",
L496&lt;=29,"Young Adults",
L496&lt;=39,"Adults",
L496&lt;=59,"Middle-Aged",
L496&gt;=60,"Seniors"
)</f>
        <v>Middle-Aged</v>
      </c>
      <c r="N496" t="s">
        <v>20</v>
      </c>
    </row>
    <row r="497" spans="1:14" x14ac:dyDescent="0.3">
      <c r="A497">
        <v>24981</v>
      </c>
      <c r="B497" t="s">
        <v>37</v>
      </c>
      <c r="C497" t="s">
        <v>39</v>
      </c>
      <c r="D497" s="3">
        <v>60000</v>
      </c>
      <c r="E497">
        <v>2</v>
      </c>
      <c r="F497" t="s">
        <v>21</v>
      </c>
      <c r="G497" t="s">
        <v>23</v>
      </c>
      <c r="H497" t="s">
        <v>17</v>
      </c>
      <c r="I497">
        <v>2</v>
      </c>
      <c r="J497" t="s">
        <v>41</v>
      </c>
      <c r="K497" t="s">
        <v>35</v>
      </c>
      <c r="L497">
        <v>56</v>
      </c>
      <c r="M497" t="str" cm="1">
        <f t="array" ref="M497">_xlfn.IFS(
L497&lt;=12,"Children",
L497&lt;=19,"Teens",
L497&lt;=29,"Young Adults",
L497&lt;=39,"Adults",
L497&lt;=59,"Middle-Aged",
L497&gt;=60,"Seniors"
)</f>
        <v>Middle-Aged</v>
      </c>
      <c r="N497" t="s">
        <v>20</v>
      </c>
    </row>
    <row r="498" spans="1:14" x14ac:dyDescent="0.3">
      <c r="A498">
        <v>20678</v>
      </c>
      <c r="B498" t="s">
        <v>40</v>
      </c>
      <c r="C498" t="s">
        <v>38</v>
      </c>
      <c r="D498" s="3">
        <v>60000</v>
      </c>
      <c r="E498">
        <v>3</v>
      </c>
      <c r="F498" t="s">
        <v>15</v>
      </c>
      <c r="G498" t="s">
        <v>16</v>
      </c>
      <c r="H498" t="s">
        <v>17</v>
      </c>
      <c r="I498">
        <v>1</v>
      </c>
      <c r="J498" t="s">
        <v>24</v>
      </c>
      <c r="K498" t="s">
        <v>35</v>
      </c>
      <c r="L498">
        <v>40</v>
      </c>
      <c r="M498" t="str" cm="1">
        <f t="array" ref="M498">_xlfn.IFS(
L498&lt;=12,"Children",
L498&lt;=19,"Teens",
L498&lt;=29,"Young Adults",
L498&lt;=39,"Adults",
L498&lt;=59,"Middle-Aged",
L498&gt;=60,"Seniors"
)</f>
        <v>Middle-Aged</v>
      </c>
      <c r="N498" t="s">
        <v>17</v>
      </c>
    </row>
    <row r="499" spans="1:14" x14ac:dyDescent="0.3">
      <c r="A499">
        <v>15302</v>
      </c>
      <c r="B499" t="s">
        <v>40</v>
      </c>
      <c r="C499" t="s">
        <v>38</v>
      </c>
      <c r="D499" s="3">
        <v>70000</v>
      </c>
      <c r="E499">
        <v>1</v>
      </c>
      <c r="F499" t="s">
        <v>34</v>
      </c>
      <c r="G499" t="s">
        <v>23</v>
      </c>
      <c r="H499" t="s">
        <v>17</v>
      </c>
      <c r="I499">
        <v>0</v>
      </c>
      <c r="J499" t="s">
        <v>24</v>
      </c>
      <c r="K499" t="s">
        <v>35</v>
      </c>
      <c r="L499">
        <v>34</v>
      </c>
      <c r="M499" t="str" cm="1">
        <f t="array" ref="M499">_xlfn.IFS(
L499&lt;=12,"Children",
L499&lt;=19,"Teens",
L499&lt;=29,"Young Adults",
L499&lt;=39,"Adults",
L499&lt;=59,"Middle-Aged",
L499&gt;=60,"Seniors"
)</f>
        <v>Adults</v>
      </c>
      <c r="N499" t="s">
        <v>17</v>
      </c>
    </row>
    <row r="500" spans="1:14" x14ac:dyDescent="0.3">
      <c r="A500">
        <v>26012</v>
      </c>
      <c r="B500" t="s">
        <v>37</v>
      </c>
      <c r="C500" t="s">
        <v>39</v>
      </c>
      <c r="D500" s="3">
        <v>80000</v>
      </c>
      <c r="E500">
        <v>1</v>
      </c>
      <c r="F500" t="s">
        <v>21</v>
      </c>
      <c r="G500" t="s">
        <v>16</v>
      </c>
      <c r="H500" t="s">
        <v>17</v>
      </c>
      <c r="I500">
        <v>1</v>
      </c>
      <c r="J500" t="s">
        <v>24</v>
      </c>
      <c r="K500" t="s">
        <v>35</v>
      </c>
      <c r="L500">
        <v>48</v>
      </c>
      <c r="M500" t="str" cm="1">
        <f t="array" ref="M500">_xlfn.IFS(
L500&lt;=12,"Children",
L500&lt;=19,"Teens",
L500&lt;=29,"Young Adults",
L500&lt;=39,"Adults",
L500&lt;=59,"Middle-Aged",
L500&gt;=60,"Seniors"
)</f>
        <v>Middle-Aged</v>
      </c>
      <c r="N500" t="s">
        <v>17</v>
      </c>
    </row>
    <row r="501" spans="1:14" x14ac:dyDescent="0.3">
      <c r="A501">
        <v>26575</v>
      </c>
      <c r="B501" t="s">
        <v>40</v>
      </c>
      <c r="C501" t="s">
        <v>38</v>
      </c>
      <c r="D501" s="3">
        <v>40000</v>
      </c>
      <c r="E501">
        <v>0</v>
      </c>
      <c r="F501" t="s">
        <v>30</v>
      </c>
      <c r="G501" t="s">
        <v>16</v>
      </c>
      <c r="H501" t="s">
        <v>20</v>
      </c>
      <c r="I501">
        <v>2</v>
      </c>
      <c r="J501" t="s">
        <v>29</v>
      </c>
      <c r="K501" t="s">
        <v>35</v>
      </c>
      <c r="L501">
        <v>31</v>
      </c>
      <c r="M501" t="str" cm="1">
        <f t="array" ref="M501">_xlfn.IFS(
L501&lt;=12,"Children",
L501&lt;=19,"Teens",
L501&lt;=29,"Young Adults",
L501&lt;=39,"Adults",
L501&lt;=59,"Middle-Aged",
L501&gt;=60,"Seniors"
)</f>
        <v>Adults</v>
      </c>
      <c r="N501" t="s">
        <v>17</v>
      </c>
    </row>
    <row r="502" spans="1:14" x14ac:dyDescent="0.3">
      <c r="A502">
        <v>15559</v>
      </c>
      <c r="B502" t="s">
        <v>37</v>
      </c>
      <c r="C502" t="s">
        <v>39</v>
      </c>
      <c r="D502" s="3">
        <v>60000</v>
      </c>
      <c r="E502">
        <v>5</v>
      </c>
      <c r="F502" t="s">
        <v>15</v>
      </c>
      <c r="G502" t="s">
        <v>23</v>
      </c>
      <c r="H502" t="s">
        <v>17</v>
      </c>
      <c r="I502">
        <v>1</v>
      </c>
      <c r="J502" t="s">
        <v>24</v>
      </c>
      <c r="K502" t="s">
        <v>35</v>
      </c>
      <c r="L502">
        <v>47</v>
      </c>
      <c r="M502" t="str" cm="1">
        <f t="array" ref="M502">_xlfn.IFS(
L502&lt;=12,"Children",
L502&lt;=19,"Teens",
L502&lt;=29,"Young Adults",
L502&lt;=39,"Adults",
L502&lt;=59,"Middle-Aged",
L502&gt;=60,"Seniors"
)</f>
        <v>Middle-Aged</v>
      </c>
      <c r="N502" t="s">
        <v>20</v>
      </c>
    </row>
    <row r="503" spans="1:14" x14ac:dyDescent="0.3">
      <c r="A503">
        <v>19235</v>
      </c>
      <c r="B503" t="s">
        <v>37</v>
      </c>
      <c r="C503" t="s">
        <v>38</v>
      </c>
      <c r="D503" s="3">
        <v>50000</v>
      </c>
      <c r="E503">
        <v>0</v>
      </c>
      <c r="F503" t="s">
        <v>34</v>
      </c>
      <c r="G503" t="s">
        <v>16</v>
      </c>
      <c r="H503" t="s">
        <v>17</v>
      </c>
      <c r="I503">
        <v>0</v>
      </c>
      <c r="J503" t="s">
        <v>18</v>
      </c>
      <c r="K503" t="s">
        <v>35</v>
      </c>
      <c r="L503">
        <v>34</v>
      </c>
      <c r="M503" t="str" cm="1">
        <f t="array" ref="M503">_xlfn.IFS(
L503&lt;=12,"Children",
L503&lt;=19,"Teens",
L503&lt;=29,"Young Adults",
L503&lt;=39,"Adults",
L503&lt;=59,"Middle-Aged",
L503&gt;=60,"Seniors"
)</f>
        <v>Adults</v>
      </c>
      <c r="N503" t="s">
        <v>20</v>
      </c>
    </row>
    <row r="504" spans="1:14" x14ac:dyDescent="0.3">
      <c r="A504">
        <v>15275</v>
      </c>
      <c r="B504" t="s">
        <v>37</v>
      </c>
      <c r="C504" t="s">
        <v>39</v>
      </c>
      <c r="D504" s="3">
        <v>40000</v>
      </c>
      <c r="E504">
        <v>0</v>
      </c>
      <c r="F504" t="s">
        <v>21</v>
      </c>
      <c r="G504" t="s">
        <v>16</v>
      </c>
      <c r="H504" t="s">
        <v>17</v>
      </c>
      <c r="I504">
        <v>1</v>
      </c>
      <c r="J504" t="s">
        <v>26</v>
      </c>
      <c r="K504" t="s">
        <v>35</v>
      </c>
      <c r="L504">
        <v>29</v>
      </c>
      <c r="M504" t="str" cm="1">
        <f t="array" ref="M504">_xlfn.IFS(
L504&lt;=12,"Children",
L504&lt;=19,"Teens",
L504&lt;=29,"Young Adults",
L504&lt;=39,"Adults",
L504&lt;=59,"Middle-Aged",
L504&gt;=60,"Seniors"
)</f>
        <v>Young Adults</v>
      </c>
      <c r="N504" t="s">
        <v>20</v>
      </c>
    </row>
    <row r="505" spans="1:14" x14ac:dyDescent="0.3">
      <c r="A505">
        <v>20339</v>
      </c>
      <c r="B505" t="s">
        <v>37</v>
      </c>
      <c r="C505" t="s">
        <v>38</v>
      </c>
      <c r="D505" s="3">
        <v>130000</v>
      </c>
      <c r="E505">
        <v>1</v>
      </c>
      <c r="F505" t="s">
        <v>15</v>
      </c>
      <c r="G505" t="s">
        <v>31</v>
      </c>
      <c r="H505" t="s">
        <v>17</v>
      </c>
      <c r="I505">
        <v>4</v>
      </c>
      <c r="J505" t="s">
        <v>24</v>
      </c>
      <c r="K505" t="s">
        <v>35</v>
      </c>
      <c r="L505">
        <v>44</v>
      </c>
      <c r="M505" t="str" cm="1">
        <f t="array" ref="M505">_xlfn.IFS(
L505&lt;=12,"Children",
L505&lt;=19,"Teens",
L505&lt;=29,"Young Adults",
L505&lt;=39,"Adults",
L505&lt;=59,"Middle-Aged",
L505&gt;=60,"Seniors"
)</f>
        <v>Middle-Aged</v>
      </c>
      <c r="N505" t="s">
        <v>17</v>
      </c>
    </row>
    <row r="506" spans="1:14" x14ac:dyDescent="0.3">
      <c r="A506">
        <v>25405</v>
      </c>
      <c r="B506" t="s">
        <v>37</v>
      </c>
      <c r="C506" t="s">
        <v>39</v>
      </c>
      <c r="D506" s="3">
        <v>70000</v>
      </c>
      <c r="E506">
        <v>2</v>
      </c>
      <c r="F506" t="s">
        <v>15</v>
      </c>
      <c r="G506" t="s">
        <v>16</v>
      </c>
      <c r="H506" t="s">
        <v>17</v>
      </c>
      <c r="I506">
        <v>1</v>
      </c>
      <c r="J506" t="s">
        <v>24</v>
      </c>
      <c r="K506" t="s">
        <v>35</v>
      </c>
      <c r="L506">
        <v>38</v>
      </c>
      <c r="M506" t="str" cm="1">
        <f t="array" ref="M506">_xlfn.IFS(
L506&lt;=12,"Children",
L506&lt;=19,"Teens",
L506&lt;=29,"Young Adults",
L506&lt;=39,"Adults",
L506&lt;=59,"Middle-Aged",
L506&gt;=60,"Seniors"
)</f>
        <v>Adults</v>
      </c>
      <c r="N506" t="s">
        <v>17</v>
      </c>
    </row>
    <row r="507" spans="1:14" x14ac:dyDescent="0.3">
      <c r="A507">
        <v>15940</v>
      </c>
      <c r="B507" t="s">
        <v>37</v>
      </c>
      <c r="C507" t="s">
        <v>39</v>
      </c>
      <c r="D507" s="3">
        <v>100000</v>
      </c>
      <c r="E507">
        <v>4</v>
      </c>
      <c r="F507" t="s">
        <v>21</v>
      </c>
      <c r="G507" t="s">
        <v>23</v>
      </c>
      <c r="H507" t="s">
        <v>17</v>
      </c>
      <c r="I507">
        <v>4</v>
      </c>
      <c r="J507" t="s">
        <v>18</v>
      </c>
      <c r="K507" t="s">
        <v>35</v>
      </c>
      <c r="L507">
        <v>40</v>
      </c>
      <c r="M507" t="str" cm="1">
        <f t="array" ref="M507">_xlfn.IFS(
L507&lt;=12,"Children",
L507&lt;=19,"Teens",
L507&lt;=29,"Young Adults",
L507&lt;=39,"Adults",
L507&lt;=59,"Middle-Aged",
L507&gt;=60,"Seniors"
)</f>
        <v>Middle-Aged</v>
      </c>
      <c r="N507" t="s">
        <v>20</v>
      </c>
    </row>
    <row r="508" spans="1:14" x14ac:dyDescent="0.3">
      <c r="A508">
        <v>25074</v>
      </c>
      <c r="B508" t="s">
        <v>37</v>
      </c>
      <c r="C508" t="s">
        <v>38</v>
      </c>
      <c r="D508" s="3">
        <v>70000</v>
      </c>
      <c r="E508">
        <v>4</v>
      </c>
      <c r="F508" t="s">
        <v>15</v>
      </c>
      <c r="G508" t="s">
        <v>23</v>
      </c>
      <c r="H508" t="s">
        <v>17</v>
      </c>
      <c r="I508">
        <v>2</v>
      </c>
      <c r="J508" t="s">
        <v>24</v>
      </c>
      <c r="K508" t="s">
        <v>35</v>
      </c>
      <c r="L508">
        <v>42</v>
      </c>
      <c r="M508" t="str" cm="1">
        <f t="array" ref="M508">_xlfn.IFS(
L508&lt;=12,"Children",
L508&lt;=19,"Teens",
L508&lt;=29,"Young Adults",
L508&lt;=39,"Adults",
L508&lt;=59,"Middle-Aged",
L508&gt;=60,"Seniors"
)</f>
        <v>Middle-Aged</v>
      </c>
      <c r="N508" t="s">
        <v>17</v>
      </c>
    </row>
    <row r="509" spans="1:14" x14ac:dyDescent="0.3">
      <c r="A509">
        <v>24738</v>
      </c>
      <c r="B509" t="s">
        <v>37</v>
      </c>
      <c r="C509" t="s">
        <v>38</v>
      </c>
      <c r="D509" s="3">
        <v>40000</v>
      </c>
      <c r="E509">
        <v>1</v>
      </c>
      <c r="F509" t="s">
        <v>21</v>
      </c>
      <c r="G509" t="s">
        <v>22</v>
      </c>
      <c r="H509" t="s">
        <v>17</v>
      </c>
      <c r="I509">
        <v>1</v>
      </c>
      <c r="J509" t="s">
        <v>29</v>
      </c>
      <c r="K509" t="s">
        <v>35</v>
      </c>
      <c r="L509">
        <v>51</v>
      </c>
      <c r="M509" t="str" cm="1">
        <f t="array" ref="M509">_xlfn.IFS(
L509&lt;=12,"Children",
L509&lt;=19,"Teens",
L509&lt;=29,"Young Adults",
L509&lt;=39,"Adults",
L509&lt;=59,"Middle-Aged",
L509&gt;=60,"Seniors"
)</f>
        <v>Middle-Aged</v>
      </c>
      <c r="N509" t="s">
        <v>17</v>
      </c>
    </row>
    <row r="510" spans="1:14" x14ac:dyDescent="0.3">
      <c r="A510">
        <v>16337</v>
      </c>
      <c r="B510" t="s">
        <v>37</v>
      </c>
      <c r="C510" t="s">
        <v>39</v>
      </c>
      <c r="D510" s="3">
        <v>60000</v>
      </c>
      <c r="E510">
        <v>0</v>
      </c>
      <c r="F510" t="s">
        <v>21</v>
      </c>
      <c r="G510" t="s">
        <v>16</v>
      </c>
      <c r="H510" t="s">
        <v>20</v>
      </c>
      <c r="I510">
        <v>2</v>
      </c>
      <c r="J510" t="s">
        <v>29</v>
      </c>
      <c r="K510" t="s">
        <v>35</v>
      </c>
      <c r="L510">
        <v>29</v>
      </c>
      <c r="M510" t="str" cm="1">
        <f t="array" ref="M510">_xlfn.IFS(
L510&lt;=12,"Children",
L510&lt;=19,"Teens",
L510&lt;=29,"Young Adults",
L510&lt;=39,"Adults",
L510&lt;=59,"Middle-Aged",
L510&gt;=60,"Seniors"
)</f>
        <v>Young Adults</v>
      </c>
      <c r="N510" t="s">
        <v>20</v>
      </c>
    </row>
    <row r="511" spans="1:14" x14ac:dyDescent="0.3">
      <c r="A511">
        <v>24357</v>
      </c>
      <c r="B511" t="s">
        <v>37</v>
      </c>
      <c r="C511" t="s">
        <v>39</v>
      </c>
      <c r="D511" s="3">
        <v>80000</v>
      </c>
      <c r="E511">
        <v>3</v>
      </c>
      <c r="F511" t="s">
        <v>15</v>
      </c>
      <c r="G511" t="s">
        <v>23</v>
      </c>
      <c r="H511" t="s">
        <v>17</v>
      </c>
      <c r="I511">
        <v>1</v>
      </c>
      <c r="J511" t="s">
        <v>24</v>
      </c>
      <c r="K511" t="s">
        <v>35</v>
      </c>
      <c r="L511">
        <v>48</v>
      </c>
      <c r="M511" t="str" cm="1">
        <f t="array" ref="M511">_xlfn.IFS(
L511&lt;=12,"Children",
L511&lt;=19,"Teens",
L511&lt;=29,"Young Adults",
L511&lt;=39,"Adults",
L511&lt;=59,"Middle-Aged",
L511&gt;=60,"Seniors"
)</f>
        <v>Middle-Aged</v>
      </c>
      <c r="N511" t="s">
        <v>17</v>
      </c>
    </row>
    <row r="512" spans="1:14" x14ac:dyDescent="0.3">
      <c r="A512">
        <v>18613</v>
      </c>
      <c r="B512" t="s">
        <v>40</v>
      </c>
      <c r="C512" t="s">
        <v>39</v>
      </c>
      <c r="D512" s="3">
        <v>70000</v>
      </c>
      <c r="E512">
        <v>0</v>
      </c>
      <c r="F512" t="s">
        <v>15</v>
      </c>
      <c r="G512" t="s">
        <v>23</v>
      </c>
      <c r="H512" t="s">
        <v>20</v>
      </c>
      <c r="I512">
        <v>1</v>
      </c>
      <c r="J512" t="s">
        <v>24</v>
      </c>
      <c r="K512" t="s">
        <v>35</v>
      </c>
      <c r="L512">
        <v>37</v>
      </c>
      <c r="M512" t="str" cm="1">
        <f t="array" ref="M512">_xlfn.IFS(
L512&lt;=12,"Children",
L512&lt;=19,"Teens",
L512&lt;=29,"Young Adults",
L512&lt;=39,"Adults",
L512&lt;=59,"Middle-Aged",
L512&gt;=60,"Seniors"
)</f>
        <v>Adults</v>
      </c>
      <c r="N512" t="s">
        <v>17</v>
      </c>
    </row>
    <row r="513" spans="1:14" x14ac:dyDescent="0.3">
      <c r="A513">
        <v>12207</v>
      </c>
      <c r="B513" t="s">
        <v>40</v>
      </c>
      <c r="C513" t="s">
        <v>39</v>
      </c>
      <c r="D513" s="3">
        <v>80000</v>
      </c>
      <c r="E513">
        <v>4</v>
      </c>
      <c r="F513" t="s">
        <v>15</v>
      </c>
      <c r="G513" t="s">
        <v>31</v>
      </c>
      <c r="H513" t="s">
        <v>17</v>
      </c>
      <c r="I513">
        <v>0</v>
      </c>
      <c r="J513" t="s">
        <v>26</v>
      </c>
      <c r="K513" t="s">
        <v>35</v>
      </c>
      <c r="L513">
        <v>66</v>
      </c>
      <c r="M513" t="str" cm="1">
        <f t="array" ref="M513">_xlfn.IFS(
L513&lt;=12,"Children",
L513&lt;=19,"Teens",
L513&lt;=29,"Young Adults",
L513&lt;=39,"Adults",
L513&lt;=59,"Middle-Aged",
L513&gt;=60,"Seniors"
)</f>
        <v>Seniors</v>
      </c>
      <c r="N513" t="s">
        <v>17</v>
      </c>
    </row>
    <row r="514" spans="1:14" x14ac:dyDescent="0.3">
      <c r="A514">
        <v>18052</v>
      </c>
      <c r="B514" t="s">
        <v>37</v>
      </c>
      <c r="C514" t="s">
        <v>38</v>
      </c>
      <c r="D514" s="3">
        <v>60000</v>
      </c>
      <c r="E514">
        <v>1</v>
      </c>
      <c r="F514" t="s">
        <v>21</v>
      </c>
      <c r="G514" t="s">
        <v>16</v>
      </c>
      <c r="H514" t="s">
        <v>17</v>
      </c>
      <c r="I514">
        <v>1</v>
      </c>
      <c r="J514" t="s">
        <v>18</v>
      </c>
      <c r="K514" t="s">
        <v>35</v>
      </c>
      <c r="L514">
        <v>45</v>
      </c>
      <c r="M514" t="str" cm="1">
        <f t="array" ref="M514">_xlfn.IFS(
L514&lt;=12,"Children",
L514&lt;=19,"Teens",
L514&lt;=29,"Young Adults",
L514&lt;=39,"Adults",
L514&lt;=59,"Middle-Aged",
L514&gt;=60,"Seniors"
)</f>
        <v>Middle-Aged</v>
      </c>
      <c r="N514" t="s">
        <v>17</v>
      </c>
    </row>
    <row r="515" spans="1:14" x14ac:dyDescent="0.3">
      <c r="A515">
        <v>13353</v>
      </c>
      <c r="B515" t="s">
        <v>40</v>
      </c>
      <c r="C515" t="s">
        <v>38</v>
      </c>
      <c r="D515" s="3">
        <v>60000</v>
      </c>
      <c r="E515">
        <v>4</v>
      </c>
      <c r="F515" t="s">
        <v>34</v>
      </c>
      <c r="G515" t="s">
        <v>31</v>
      </c>
      <c r="H515" t="s">
        <v>17</v>
      </c>
      <c r="I515">
        <v>2</v>
      </c>
      <c r="J515" t="s">
        <v>41</v>
      </c>
      <c r="K515" t="s">
        <v>35</v>
      </c>
      <c r="L515">
        <v>61</v>
      </c>
      <c r="M515" t="str" cm="1">
        <f t="array" ref="M515">_xlfn.IFS(
L515&lt;=12,"Children",
L515&lt;=19,"Teens",
L515&lt;=29,"Young Adults",
L515&lt;=39,"Adults",
L515&lt;=59,"Middle-Aged",
L515&gt;=60,"Seniors"
)</f>
        <v>Seniors</v>
      </c>
      <c r="N515" t="s">
        <v>17</v>
      </c>
    </row>
    <row r="516" spans="1:14" x14ac:dyDescent="0.3">
      <c r="A516">
        <v>19399</v>
      </c>
      <c r="B516" t="s">
        <v>40</v>
      </c>
      <c r="C516" t="s">
        <v>39</v>
      </c>
      <c r="D516" s="3">
        <v>40000</v>
      </c>
      <c r="E516">
        <v>0</v>
      </c>
      <c r="F516" t="s">
        <v>15</v>
      </c>
      <c r="G516" t="s">
        <v>23</v>
      </c>
      <c r="H516" t="s">
        <v>20</v>
      </c>
      <c r="I516">
        <v>1</v>
      </c>
      <c r="J516" t="s">
        <v>24</v>
      </c>
      <c r="K516" t="s">
        <v>35</v>
      </c>
      <c r="L516">
        <v>45</v>
      </c>
      <c r="M516" t="str" cm="1">
        <f t="array" ref="M516">_xlfn.IFS(
L516&lt;=12,"Children",
L516&lt;=19,"Teens",
L516&lt;=29,"Young Adults",
L516&lt;=39,"Adults",
L516&lt;=59,"Middle-Aged",
L516&gt;=60,"Seniors"
)</f>
        <v>Middle-Aged</v>
      </c>
      <c r="N516" t="s">
        <v>20</v>
      </c>
    </row>
    <row r="517" spans="1:14" x14ac:dyDescent="0.3">
      <c r="A517">
        <v>16154</v>
      </c>
      <c r="B517" t="s">
        <v>37</v>
      </c>
      <c r="C517" t="s">
        <v>38</v>
      </c>
      <c r="D517" s="3">
        <v>70000</v>
      </c>
      <c r="E517">
        <v>5</v>
      </c>
      <c r="F517" t="s">
        <v>15</v>
      </c>
      <c r="G517" t="s">
        <v>23</v>
      </c>
      <c r="H517" t="s">
        <v>17</v>
      </c>
      <c r="I517">
        <v>2</v>
      </c>
      <c r="J517" t="s">
        <v>24</v>
      </c>
      <c r="K517" t="s">
        <v>35</v>
      </c>
      <c r="L517">
        <v>47</v>
      </c>
      <c r="M517" t="str" cm="1">
        <f t="array" ref="M517">_xlfn.IFS(
L517&lt;=12,"Children",
L517&lt;=19,"Teens",
L517&lt;=29,"Young Adults",
L517&lt;=39,"Adults",
L517&lt;=59,"Middle-Aged",
L517&gt;=60,"Seniors"
)</f>
        <v>Middle-Aged</v>
      </c>
      <c r="N517" t="s">
        <v>20</v>
      </c>
    </row>
    <row r="518" spans="1:14" x14ac:dyDescent="0.3">
      <c r="A518">
        <v>22219</v>
      </c>
      <c r="B518" t="s">
        <v>37</v>
      </c>
      <c r="C518" t="s">
        <v>38</v>
      </c>
      <c r="D518" s="3">
        <v>60000</v>
      </c>
      <c r="E518">
        <v>2</v>
      </c>
      <c r="F518" t="s">
        <v>30</v>
      </c>
      <c r="G518" t="s">
        <v>23</v>
      </c>
      <c r="H518" t="s">
        <v>17</v>
      </c>
      <c r="I518">
        <v>2</v>
      </c>
      <c r="J518" t="s">
        <v>26</v>
      </c>
      <c r="K518" t="s">
        <v>35</v>
      </c>
      <c r="L518">
        <v>49</v>
      </c>
      <c r="M518" t="str" cm="1">
        <f t="array" ref="M518">_xlfn.IFS(
L518&lt;=12,"Children",
L518&lt;=19,"Teens",
L518&lt;=29,"Young Adults",
L518&lt;=39,"Adults",
L518&lt;=59,"Middle-Aged",
L518&gt;=60,"Seniors"
)</f>
        <v>Middle-Aged</v>
      </c>
      <c r="N518" t="s">
        <v>20</v>
      </c>
    </row>
    <row r="519" spans="1:14" x14ac:dyDescent="0.3">
      <c r="A519">
        <v>17269</v>
      </c>
      <c r="B519" t="s">
        <v>40</v>
      </c>
      <c r="C519" t="s">
        <v>39</v>
      </c>
      <c r="D519" s="3">
        <v>60000</v>
      </c>
      <c r="E519">
        <v>3</v>
      </c>
      <c r="F519" t="s">
        <v>15</v>
      </c>
      <c r="G519" t="s">
        <v>23</v>
      </c>
      <c r="H519" t="s">
        <v>20</v>
      </c>
      <c r="I519">
        <v>0</v>
      </c>
      <c r="J519" t="s">
        <v>18</v>
      </c>
      <c r="K519" t="s">
        <v>35</v>
      </c>
      <c r="L519">
        <v>47</v>
      </c>
      <c r="M519" t="str" cm="1">
        <f t="array" ref="M519">_xlfn.IFS(
L519&lt;=12,"Children",
L519&lt;=19,"Teens",
L519&lt;=29,"Young Adults",
L519&lt;=39,"Adults",
L519&lt;=59,"Middle-Aged",
L519&gt;=60,"Seniors"
)</f>
        <v>Middle-Aged</v>
      </c>
      <c r="N519" t="s">
        <v>17</v>
      </c>
    </row>
    <row r="520" spans="1:14" x14ac:dyDescent="0.3">
      <c r="A520">
        <v>23586</v>
      </c>
      <c r="B520" t="s">
        <v>37</v>
      </c>
      <c r="C520" t="s">
        <v>38</v>
      </c>
      <c r="D520" s="3">
        <v>80000</v>
      </c>
      <c r="E520">
        <v>0</v>
      </c>
      <c r="F520" t="s">
        <v>15</v>
      </c>
      <c r="G520" t="s">
        <v>31</v>
      </c>
      <c r="H520" t="s">
        <v>17</v>
      </c>
      <c r="I520">
        <v>1</v>
      </c>
      <c r="J520" t="s">
        <v>29</v>
      </c>
      <c r="K520" t="s">
        <v>35</v>
      </c>
      <c r="L520">
        <v>34</v>
      </c>
      <c r="M520" t="str" cm="1">
        <f t="array" ref="M520">_xlfn.IFS(
L520&lt;=12,"Children",
L520&lt;=19,"Teens",
L520&lt;=29,"Young Adults",
L520&lt;=39,"Adults",
L520&lt;=59,"Middle-Aged",
L520&gt;=60,"Seniors"
)</f>
        <v>Adults</v>
      </c>
      <c r="N520" t="s">
        <v>17</v>
      </c>
    </row>
    <row r="521" spans="1:14" x14ac:dyDescent="0.3">
      <c r="A521">
        <v>15740</v>
      </c>
      <c r="B521" t="s">
        <v>37</v>
      </c>
      <c r="C521" t="s">
        <v>39</v>
      </c>
      <c r="D521" s="3">
        <v>80000</v>
      </c>
      <c r="E521">
        <v>5</v>
      </c>
      <c r="F521" t="s">
        <v>15</v>
      </c>
      <c r="G521" t="s">
        <v>31</v>
      </c>
      <c r="H521" t="s">
        <v>17</v>
      </c>
      <c r="I521">
        <v>2</v>
      </c>
      <c r="J521" t="s">
        <v>29</v>
      </c>
      <c r="K521" t="s">
        <v>35</v>
      </c>
      <c r="L521">
        <v>64</v>
      </c>
      <c r="M521" t="str" cm="1">
        <f t="array" ref="M521">_xlfn.IFS(
L521&lt;=12,"Children",
L521&lt;=19,"Teens",
L521&lt;=29,"Young Adults",
L521&lt;=39,"Adults",
L521&lt;=59,"Middle-Aged",
L521&gt;=60,"Seniors"
)</f>
        <v>Seniors</v>
      </c>
      <c r="N521" t="s">
        <v>20</v>
      </c>
    </row>
    <row r="522" spans="1:14" x14ac:dyDescent="0.3">
      <c r="A522">
        <v>27638</v>
      </c>
      <c r="B522" t="s">
        <v>40</v>
      </c>
      <c r="C522" t="s">
        <v>39</v>
      </c>
      <c r="D522" s="3">
        <v>100000</v>
      </c>
      <c r="E522">
        <v>1</v>
      </c>
      <c r="F522" t="s">
        <v>21</v>
      </c>
      <c r="G522" t="s">
        <v>23</v>
      </c>
      <c r="H522" t="s">
        <v>20</v>
      </c>
      <c r="I522">
        <v>3</v>
      </c>
      <c r="J522" t="s">
        <v>29</v>
      </c>
      <c r="K522" t="s">
        <v>35</v>
      </c>
      <c r="L522">
        <v>44</v>
      </c>
      <c r="M522" t="str" cm="1">
        <f t="array" ref="M522">_xlfn.IFS(
L522&lt;=12,"Children",
L522&lt;=19,"Teens",
L522&lt;=29,"Young Adults",
L522&lt;=39,"Adults",
L522&lt;=59,"Middle-Aged",
L522&gt;=60,"Seniors"
)</f>
        <v>Middle-Aged</v>
      </c>
      <c r="N522" t="s">
        <v>20</v>
      </c>
    </row>
    <row r="523" spans="1:14" x14ac:dyDescent="0.3">
      <c r="A523">
        <v>18976</v>
      </c>
      <c r="B523" t="s">
        <v>40</v>
      </c>
      <c r="C523" t="s">
        <v>39</v>
      </c>
      <c r="D523" s="3">
        <v>40000</v>
      </c>
      <c r="E523">
        <v>4</v>
      </c>
      <c r="F523" t="s">
        <v>30</v>
      </c>
      <c r="G523" t="s">
        <v>23</v>
      </c>
      <c r="H523" t="s">
        <v>17</v>
      </c>
      <c r="I523">
        <v>2</v>
      </c>
      <c r="J523" t="s">
        <v>41</v>
      </c>
      <c r="K523" t="s">
        <v>35</v>
      </c>
      <c r="L523">
        <v>62</v>
      </c>
      <c r="M523" t="str" cm="1">
        <f t="array" ref="M523">_xlfn.IFS(
L523&lt;=12,"Children",
L523&lt;=19,"Teens",
L523&lt;=29,"Young Adults",
L523&lt;=39,"Adults",
L523&lt;=59,"Middle-Aged",
L523&gt;=60,"Seniors"
)</f>
        <v>Seniors</v>
      </c>
      <c r="N523" t="s">
        <v>17</v>
      </c>
    </row>
    <row r="524" spans="1:14" x14ac:dyDescent="0.3">
      <c r="A524">
        <v>19413</v>
      </c>
      <c r="B524" t="s">
        <v>40</v>
      </c>
      <c r="C524" t="s">
        <v>39</v>
      </c>
      <c r="D524" s="3">
        <v>60000</v>
      </c>
      <c r="E524">
        <v>3</v>
      </c>
      <c r="F524" t="s">
        <v>15</v>
      </c>
      <c r="G524" t="s">
        <v>23</v>
      </c>
      <c r="H524" t="s">
        <v>20</v>
      </c>
      <c r="I524">
        <v>1</v>
      </c>
      <c r="J524" t="s">
        <v>18</v>
      </c>
      <c r="K524" t="s">
        <v>35</v>
      </c>
      <c r="L524">
        <v>47</v>
      </c>
      <c r="M524" t="str" cm="1">
        <f t="array" ref="M524">_xlfn.IFS(
L524&lt;=12,"Children",
L524&lt;=19,"Teens",
L524&lt;=29,"Young Adults",
L524&lt;=39,"Adults",
L524&lt;=59,"Middle-Aged",
L524&gt;=60,"Seniors"
)</f>
        <v>Middle-Aged</v>
      </c>
      <c r="N524" t="s">
        <v>17</v>
      </c>
    </row>
    <row r="525" spans="1:14" x14ac:dyDescent="0.3">
      <c r="A525">
        <v>13283</v>
      </c>
      <c r="B525" t="s">
        <v>37</v>
      </c>
      <c r="C525" t="s">
        <v>39</v>
      </c>
      <c r="D525" s="3">
        <v>80000</v>
      </c>
      <c r="E525">
        <v>3</v>
      </c>
      <c r="F525" t="s">
        <v>21</v>
      </c>
      <c r="G525" t="s">
        <v>23</v>
      </c>
      <c r="H525" t="s">
        <v>20</v>
      </c>
      <c r="I525">
        <v>2</v>
      </c>
      <c r="J525" t="s">
        <v>18</v>
      </c>
      <c r="K525" t="s">
        <v>35</v>
      </c>
      <c r="L525">
        <v>49</v>
      </c>
      <c r="M525" t="str" cm="1">
        <f t="array" ref="M525">_xlfn.IFS(
L525&lt;=12,"Children",
L525&lt;=19,"Teens",
L525&lt;=29,"Young Adults",
L525&lt;=39,"Adults",
L525&lt;=59,"Middle-Aged",
L525&gt;=60,"Seniors"
)</f>
        <v>Middle-Aged</v>
      </c>
      <c r="N525" t="s">
        <v>17</v>
      </c>
    </row>
    <row r="526" spans="1:14" x14ac:dyDescent="0.3">
      <c r="A526">
        <v>17471</v>
      </c>
      <c r="B526" t="s">
        <v>40</v>
      </c>
      <c r="C526" t="s">
        <v>38</v>
      </c>
      <c r="D526" s="3">
        <v>80000</v>
      </c>
      <c r="E526">
        <v>4</v>
      </c>
      <c r="F526" t="s">
        <v>34</v>
      </c>
      <c r="G526" t="s">
        <v>31</v>
      </c>
      <c r="H526" t="s">
        <v>17</v>
      </c>
      <c r="I526">
        <v>2</v>
      </c>
      <c r="J526" t="s">
        <v>26</v>
      </c>
      <c r="K526" t="s">
        <v>35</v>
      </c>
      <c r="L526">
        <v>67</v>
      </c>
      <c r="M526" t="str" cm="1">
        <f t="array" ref="M526">_xlfn.IFS(
L526&lt;=12,"Children",
L526&lt;=19,"Teens",
L526&lt;=29,"Young Adults",
L526&lt;=39,"Adults",
L526&lt;=59,"Middle-Aged",
L526&gt;=60,"Seniors"
)</f>
        <v>Seniors</v>
      </c>
      <c r="N526" t="s">
        <v>20</v>
      </c>
    </row>
    <row r="527" spans="1:14" x14ac:dyDescent="0.3">
      <c r="A527">
        <v>16791</v>
      </c>
      <c r="B527" t="s">
        <v>40</v>
      </c>
      <c r="C527" t="s">
        <v>39</v>
      </c>
      <c r="D527" s="3">
        <v>60000</v>
      </c>
      <c r="E527">
        <v>5</v>
      </c>
      <c r="F527" t="s">
        <v>15</v>
      </c>
      <c r="G527" t="s">
        <v>31</v>
      </c>
      <c r="H527" t="s">
        <v>17</v>
      </c>
      <c r="I527">
        <v>3</v>
      </c>
      <c r="J527" t="s">
        <v>41</v>
      </c>
      <c r="K527" t="s">
        <v>35</v>
      </c>
      <c r="L527">
        <v>59</v>
      </c>
      <c r="M527" t="str" cm="1">
        <f t="array" ref="M527">_xlfn.IFS(
L527&lt;=12,"Children",
L527&lt;=19,"Teens",
L527&lt;=29,"Young Adults",
L527&lt;=39,"Adults",
L527&lt;=59,"Middle-Aged",
L527&gt;=60,"Seniors"
)</f>
        <v>Middle-Aged</v>
      </c>
      <c r="N527" t="s">
        <v>17</v>
      </c>
    </row>
    <row r="528" spans="1:14" x14ac:dyDescent="0.3">
      <c r="A528">
        <v>15382</v>
      </c>
      <c r="B528" t="s">
        <v>37</v>
      </c>
      <c r="C528" t="s">
        <v>38</v>
      </c>
      <c r="D528" s="3">
        <v>110000</v>
      </c>
      <c r="E528">
        <v>1</v>
      </c>
      <c r="F528" t="s">
        <v>15</v>
      </c>
      <c r="G528" t="s">
        <v>31</v>
      </c>
      <c r="H528" t="s">
        <v>17</v>
      </c>
      <c r="I528">
        <v>2</v>
      </c>
      <c r="J528" t="s">
        <v>29</v>
      </c>
      <c r="K528" t="s">
        <v>35</v>
      </c>
      <c r="L528">
        <v>44</v>
      </c>
      <c r="M528" t="str" cm="1">
        <f t="array" ref="M528">_xlfn.IFS(
L528&lt;=12,"Children",
L528&lt;=19,"Teens",
L528&lt;=29,"Young Adults",
L528&lt;=39,"Adults",
L528&lt;=59,"Middle-Aged",
L528&gt;=60,"Seniors"
)</f>
        <v>Middle-Aged</v>
      </c>
      <c r="N528" t="s">
        <v>20</v>
      </c>
    </row>
    <row r="529" spans="1:14" x14ac:dyDescent="0.3">
      <c r="A529">
        <v>11641</v>
      </c>
      <c r="B529" t="s">
        <v>37</v>
      </c>
      <c r="C529" t="s">
        <v>39</v>
      </c>
      <c r="D529" s="3">
        <v>50000</v>
      </c>
      <c r="E529">
        <v>1</v>
      </c>
      <c r="F529" t="s">
        <v>15</v>
      </c>
      <c r="G529" t="s">
        <v>16</v>
      </c>
      <c r="H529" t="s">
        <v>17</v>
      </c>
      <c r="I529">
        <v>0</v>
      </c>
      <c r="J529" t="s">
        <v>18</v>
      </c>
      <c r="K529" t="s">
        <v>35</v>
      </c>
      <c r="L529">
        <v>36</v>
      </c>
      <c r="M529" t="str" cm="1">
        <f t="array" ref="M529">_xlfn.IFS(
L529&lt;=12,"Children",
L529&lt;=19,"Teens",
L529&lt;=29,"Young Adults",
L529&lt;=39,"Adults",
L529&lt;=59,"Middle-Aged",
L529&gt;=60,"Seniors"
)</f>
        <v>Adults</v>
      </c>
      <c r="N529" t="s">
        <v>20</v>
      </c>
    </row>
    <row r="530" spans="1:14" x14ac:dyDescent="0.3">
      <c r="A530">
        <v>11935</v>
      </c>
      <c r="B530" t="s">
        <v>40</v>
      </c>
      <c r="C530" t="s">
        <v>38</v>
      </c>
      <c r="D530" s="3">
        <v>30000</v>
      </c>
      <c r="E530">
        <v>0</v>
      </c>
      <c r="F530" t="s">
        <v>21</v>
      </c>
      <c r="G530" t="s">
        <v>16</v>
      </c>
      <c r="H530" t="s">
        <v>17</v>
      </c>
      <c r="I530">
        <v>1</v>
      </c>
      <c r="J530" t="s">
        <v>26</v>
      </c>
      <c r="K530" t="s">
        <v>35</v>
      </c>
      <c r="L530">
        <v>28</v>
      </c>
      <c r="M530" t="str" cm="1">
        <f t="array" ref="M530">_xlfn.IFS(
L530&lt;=12,"Children",
L530&lt;=19,"Teens",
L530&lt;=29,"Young Adults",
L530&lt;=39,"Adults",
L530&lt;=59,"Middle-Aged",
L530&gt;=60,"Seniors"
)</f>
        <v>Young Adults</v>
      </c>
      <c r="N530" t="s">
        <v>20</v>
      </c>
    </row>
    <row r="531" spans="1:14" x14ac:dyDescent="0.3">
      <c r="A531">
        <v>13233</v>
      </c>
      <c r="B531" t="s">
        <v>37</v>
      </c>
      <c r="C531" t="s">
        <v>39</v>
      </c>
      <c r="D531" s="3">
        <v>60000</v>
      </c>
      <c r="E531">
        <v>2</v>
      </c>
      <c r="F531" t="s">
        <v>21</v>
      </c>
      <c r="G531" t="s">
        <v>23</v>
      </c>
      <c r="H531" t="s">
        <v>17</v>
      </c>
      <c r="I531">
        <v>1</v>
      </c>
      <c r="J531" t="s">
        <v>41</v>
      </c>
      <c r="K531" t="s">
        <v>35</v>
      </c>
      <c r="L531">
        <v>57</v>
      </c>
      <c r="M531" t="str" cm="1">
        <f t="array" ref="M531">_xlfn.IFS(
L531&lt;=12,"Children",
L531&lt;=19,"Teens",
L531&lt;=29,"Young Adults",
L531&lt;=39,"Adults",
L531&lt;=59,"Middle-Aged",
L531&gt;=60,"Seniors"
)</f>
        <v>Middle-Aged</v>
      </c>
      <c r="N531" t="s">
        <v>17</v>
      </c>
    </row>
    <row r="532" spans="1:14" x14ac:dyDescent="0.3">
      <c r="A532">
        <v>25909</v>
      </c>
      <c r="B532" t="s">
        <v>37</v>
      </c>
      <c r="C532" t="s">
        <v>39</v>
      </c>
      <c r="D532" s="3">
        <v>60000</v>
      </c>
      <c r="E532">
        <v>0</v>
      </c>
      <c r="F532" t="s">
        <v>21</v>
      </c>
      <c r="G532" t="s">
        <v>16</v>
      </c>
      <c r="H532" t="s">
        <v>17</v>
      </c>
      <c r="I532">
        <v>1</v>
      </c>
      <c r="J532" t="s">
        <v>26</v>
      </c>
      <c r="K532" t="s">
        <v>35</v>
      </c>
      <c r="L532">
        <v>27</v>
      </c>
      <c r="M532" t="str" cm="1">
        <f t="array" ref="M532">_xlfn.IFS(
L532&lt;=12,"Children",
L532&lt;=19,"Teens",
L532&lt;=29,"Young Adults",
L532&lt;=39,"Adults",
L532&lt;=59,"Middle-Aged",
L532&gt;=60,"Seniors"
)</f>
        <v>Young Adults</v>
      </c>
      <c r="N532" t="s">
        <v>17</v>
      </c>
    </row>
    <row r="533" spans="1:14" x14ac:dyDescent="0.3">
      <c r="A533">
        <v>14092</v>
      </c>
      <c r="B533" t="s">
        <v>40</v>
      </c>
      <c r="C533" t="s">
        <v>39</v>
      </c>
      <c r="D533" s="3">
        <v>30000</v>
      </c>
      <c r="E533">
        <v>0</v>
      </c>
      <c r="F533" t="s">
        <v>32</v>
      </c>
      <c r="G533" t="s">
        <v>22</v>
      </c>
      <c r="H533" t="s">
        <v>17</v>
      </c>
      <c r="I533">
        <v>2</v>
      </c>
      <c r="J533" t="s">
        <v>26</v>
      </c>
      <c r="K533" t="s">
        <v>35</v>
      </c>
      <c r="L533">
        <v>28</v>
      </c>
      <c r="M533" t="str" cm="1">
        <f t="array" ref="M533">_xlfn.IFS(
L533&lt;=12,"Children",
L533&lt;=19,"Teens",
L533&lt;=29,"Young Adults",
L533&lt;=39,"Adults",
L533&lt;=59,"Middle-Aged",
L533&gt;=60,"Seniors"
)</f>
        <v>Young Adults</v>
      </c>
      <c r="N533" t="s">
        <v>20</v>
      </c>
    </row>
    <row r="534" spans="1:14" x14ac:dyDescent="0.3">
      <c r="A534">
        <v>29143</v>
      </c>
      <c r="B534" t="s">
        <v>40</v>
      </c>
      <c r="C534" t="s">
        <v>38</v>
      </c>
      <c r="D534" s="3">
        <v>60000</v>
      </c>
      <c r="E534">
        <v>1</v>
      </c>
      <c r="F534" t="s">
        <v>15</v>
      </c>
      <c r="G534" t="s">
        <v>23</v>
      </c>
      <c r="H534" t="s">
        <v>20</v>
      </c>
      <c r="I534">
        <v>1</v>
      </c>
      <c r="J534" t="s">
        <v>18</v>
      </c>
      <c r="K534" t="s">
        <v>35</v>
      </c>
      <c r="L534">
        <v>44</v>
      </c>
      <c r="M534" t="str" cm="1">
        <f t="array" ref="M534">_xlfn.IFS(
L534&lt;=12,"Children",
L534&lt;=19,"Teens",
L534&lt;=29,"Young Adults",
L534&lt;=39,"Adults",
L534&lt;=59,"Middle-Aged",
L534&gt;=60,"Seniors"
)</f>
        <v>Middle-Aged</v>
      </c>
      <c r="N534" t="s">
        <v>17</v>
      </c>
    </row>
    <row r="535" spans="1:14" x14ac:dyDescent="0.3">
      <c r="A535">
        <v>24941</v>
      </c>
      <c r="B535" t="s">
        <v>37</v>
      </c>
      <c r="C535" t="s">
        <v>39</v>
      </c>
      <c r="D535" s="3">
        <v>60000</v>
      </c>
      <c r="E535">
        <v>3</v>
      </c>
      <c r="F535" t="s">
        <v>15</v>
      </c>
      <c r="G535" t="s">
        <v>31</v>
      </c>
      <c r="H535" t="s">
        <v>17</v>
      </c>
      <c r="I535">
        <v>2</v>
      </c>
      <c r="J535" t="s">
        <v>41</v>
      </c>
      <c r="K535" t="s">
        <v>35</v>
      </c>
      <c r="L535">
        <v>66</v>
      </c>
      <c r="M535" t="str" cm="1">
        <f t="array" ref="M535">_xlfn.IFS(
L535&lt;=12,"Children",
L535&lt;=19,"Teens",
L535&lt;=29,"Young Adults",
L535&lt;=39,"Adults",
L535&lt;=59,"Middle-Aged",
L535&gt;=60,"Seniors"
)</f>
        <v>Seniors</v>
      </c>
      <c r="N535" t="s">
        <v>20</v>
      </c>
    </row>
    <row r="536" spans="1:14" x14ac:dyDescent="0.3">
      <c r="A536">
        <v>24637</v>
      </c>
      <c r="B536" t="s">
        <v>37</v>
      </c>
      <c r="C536" t="s">
        <v>39</v>
      </c>
      <c r="D536" s="3">
        <v>40000</v>
      </c>
      <c r="E536">
        <v>4</v>
      </c>
      <c r="F536" t="s">
        <v>30</v>
      </c>
      <c r="G536" t="s">
        <v>23</v>
      </c>
      <c r="H536" t="s">
        <v>17</v>
      </c>
      <c r="I536">
        <v>2</v>
      </c>
      <c r="J536" t="s">
        <v>41</v>
      </c>
      <c r="K536" t="s">
        <v>35</v>
      </c>
      <c r="L536">
        <v>64</v>
      </c>
      <c r="M536" t="str" cm="1">
        <f t="array" ref="M536">_xlfn.IFS(
L536&lt;=12,"Children",
L536&lt;=19,"Teens",
L536&lt;=29,"Young Adults",
L536&lt;=39,"Adults",
L536&lt;=59,"Middle-Aged",
L536&gt;=60,"Seniors"
)</f>
        <v>Seniors</v>
      </c>
      <c r="N536" t="s">
        <v>20</v>
      </c>
    </row>
    <row r="537" spans="1:14" x14ac:dyDescent="0.3">
      <c r="A537">
        <v>23893</v>
      </c>
      <c r="B537" t="s">
        <v>37</v>
      </c>
      <c r="C537" t="s">
        <v>39</v>
      </c>
      <c r="D537" s="3">
        <v>50000</v>
      </c>
      <c r="E537">
        <v>3</v>
      </c>
      <c r="F537" t="s">
        <v>15</v>
      </c>
      <c r="G537" t="s">
        <v>16</v>
      </c>
      <c r="H537" t="s">
        <v>17</v>
      </c>
      <c r="I537">
        <v>3</v>
      </c>
      <c r="J537" t="s">
        <v>41</v>
      </c>
      <c r="K537" t="s">
        <v>35</v>
      </c>
      <c r="L537">
        <v>41</v>
      </c>
      <c r="M537" t="str" cm="1">
        <f t="array" ref="M537">_xlfn.IFS(
L537&lt;=12,"Children",
L537&lt;=19,"Teens",
L537&lt;=29,"Young Adults",
L537&lt;=39,"Adults",
L537&lt;=59,"Middle-Aged",
L537&gt;=60,"Seniors"
)</f>
        <v>Middle-Aged</v>
      </c>
      <c r="N537" t="s">
        <v>20</v>
      </c>
    </row>
    <row r="538" spans="1:14" x14ac:dyDescent="0.3">
      <c r="A538">
        <v>13907</v>
      </c>
      <c r="B538" t="s">
        <v>40</v>
      </c>
      <c r="C538" t="s">
        <v>38</v>
      </c>
      <c r="D538" s="3">
        <v>80000</v>
      </c>
      <c r="E538">
        <v>3</v>
      </c>
      <c r="F538" t="s">
        <v>15</v>
      </c>
      <c r="G538" t="s">
        <v>16</v>
      </c>
      <c r="H538" t="s">
        <v>17</v>
      </c>
      <c r="I538">
        <v>1</v>
      </c>
      <c r="J538" t="s">
        <v>18</v>
      </c>
      <c r="K538" t="s">
        <v>35</v>
      </c>
      <c r="L538">
        <v>41</v>
      </c>
      <c r="M538" t="str" cm="1">
        <f t="array" ref="M538">_xlfn.IFS(
L538&lt;=12,"Children",
L538&lt;=19,"Teens",
L538&lt;=29,"Young Adults",
L538&lt;=39,"Adults",
L538&lt;=59,"Middle-Aged",
L538&gt;=60,"Seniors"
)</f>
        <v>Middle-Aged</v>
      </c>
      <c r="N538" t="s">
        <v>17</v>
      </c>
    </row>
    <row r="539" spans="1:14" x14ac:dyDescent="0.3">
      <c r="A539">
        <v>14900</v>
      </c>
      <c r="B539" t="s">
        <v>37</v>
      </c>
      <c r="C539" t="s">
        <v>38</v>
      </c>
      <c r="D539" s="3">
        <v>40000</v>
      </c>
      <c r="E539">
        <v>1</v>
      </c>
      <c r="F539" t="s">
        <v>21</v>
      </c>
      <c r="G539" t="s">
        <v>22</v>
      </c>
      <c r="H539" t="s">
        <v>17</v>
      </c>
      <c r="I539">
        <v>1</v>
      </c>
      <c r="J539" t="s">
        <v>29</v>
      </c>
      <c r="K539" t="s">
        <v>35</v>
      </c>
      <c r="L539">
        <v>49</v>
      </c>
      <c r="M539" t="str" cm="1">
        <f t="array" ref="M539">_xlfn.IFS(
L539&lt;=12,"Children",
L539&lt;=19,"Teens",
L539&lt;=29,"Young Adults",
L539&lt;=39,"Adults",
L539&lt;=59,"Middle-Aged",
L539&gt;=60,"Seniors"
)</f>
        <v>Middle-Aged</v>
      </c>
      <c r="N539" t="s">
        <v>17</v>
      </c>
    </row>
    <row r="540" spans="1:14" x14ac:dyDescent="0.3">
      <c r="A540">
        <v>11262</v>
      </c>
      <c r="B540" t="s">
        <v>37</v>
      </c>
      <c r="C540" t="s">
        <v>38</v>
      </c>
      <c r="D540" s="3">
        <v>80000</v>
      </c>
      <c r="E540">
        <v>4</v>
      </c>
      <c r="F540" t="s">
        <v>15</v>
      </c>
      <c r="G540" t="s">
        <v>31</v>
      </c>
      <c r="H540" t="s">
        <v>17</v>
      </c>
      <c r="I540">
        <v>0</v>
      </c>
      <c r="J540" t="s">
        <v>18</v>
      </c>
      <c r="K540" t="s">
        <v>35</v>
      </c>
      <c r="L540">
        <v>42</v>
      </c>
      <c r="M540" t="str" cm="1">
        <f t="array" ref="M540">_xlfn.IFS(
L540&lt;=12,"Children",
L540&lt;=19,"Teens",
L540&lt;=29,"Young Adults",
L540&lt;=39,"Adults",
L540&lt;=59,"Middle-Aged",
L540&gt;=60,"Seniors"
)</f>
        <v>Middle-Aged</v>
      </c>
      <c r="N540" t="s">
        <v>20</v>
      </c>
    </row>
    <row r="541" spans="1:14" x14ac:dyDescent="0.3">
      <c r="A541">
        <v>22294</v>
      </c>
      <c r="B541" t="s">
        <v>40</v>
      </c>
      <c r="C541" t="s">
        <v>38</v>
      </c>
      <c r="D541" s="3">
        <v>70000</v>
      </c>
      <c r="E541">
        <v>0</v>
      </c>
      <c r="F541" t="s">
        <v>15</v>
      </c>
      <c r="G541" t="s">
        <v>23</v>
      </c>
      <c r="H541" t="s">
        <v>20</v>
      </c>
      <c r="I541">
        <v>1</v>
      </c>
      <c r="J541" t="s">
        <v>24</v>
      </c>
      <c r="K541" t="s">
        <v>35</v>
      </c>
      <c r="L541">
        <v>37</v>
      </c>
      <c r="M541" t="str" cm="1">
        <f t="array" ref="M541">_xlfn.IFS(
L541&lt;=12,"Children",
L541&lt;=19,"Teens",
L541&lt;=29,"Young Adults",
L541&lt;=39,"Adults",
L541&lt;=59,"Middle-Aged",
L541&gt;=60,"Seniors"
)</f>
        <v>Adults</v>
      </c>
      <c r="N541" t="s">
        <v>17</v>
      </c>
    </row>
    <row r="542" spans="1:14" x14ac:dyDescent="0.3">
      <c r="A542">
        <v>12195</v>
      </c>
      <c r="B542" t="s">
        <v>40</v>
      </c>
      <c r="C542" t="s">
        <v>38</v>
      </c>
      <c r="D542" s="3">
        <v>70000</v>
      </c>
      <c r="E542">
        <v>3</v>
      </c>
      <c r="F542" t="s">
        <v>34</v>
      </c>
      <c r="G542" t="s">
        <v>31</v>
      </c>
      <c r="H542" t="s">
        <v>17</v>
      </c>
      <c r="I542">
        <v>2</v>
      </c>
      <c r="J542" t="s">
        <v>29</v>
      </c>
      <c r="K542" t="s">
        <v>35</v>
      </c>
      <c r="L542">
        <v>52</v>
      </c>
      <c r="M542" t="str" cm="1">
        <f t="array" ref="M542">_xlfn.IFS(
L542&lt;=12,"Children",
L542&lt;=19,"Teens",
L542&lt;=29,"Young Adults",
L542&lt;=39,"Adults",
L542&lt;=59,"Middle-Aged",
L542&gt;=60,"Seniors"
)</f>
        <v>Middle-Aged</v>
      </c>
      <c r="N542" t="s">
        <v>20</v>
      </c>
    </row>
    <row r="543" spans="1:14" x14ac:dyDescent="0.3">
      <c r="A543">
        <v>25375</v>
      </c>
      <c r="B543" t="s">
        <v>37</v>
      </c>
      <c r="C543" t="s">
        <v>39</v>
      </c>
      <c r="D543" s="3">
        <v>50000</v>
      </c>
      <c r="E543">
        <v>1</v>
      </c>
      <c r="F543" t="s">
        <v>34</v>
      </c>
      <c r="G543" t="s">
        <v>16</v>
      </c>
      <c r="H543" t="s">
        <v>17</v>
      </c>
      <c r="I543">
        <v>0</v>
      </c>
      <c r="J543" t="s">
        <v>29</v>
      </c>
      <c r="K543" t="s">
        <v>35</v>
      </c>
      <c r="L543">
        <v>34</v>
      </c>
      <c r="M543" t="str" cm="1">
        <f t="array" ref="M543">_xlfn.IFS(
L543&lt;=12,"Children",
L543&lt;=19,"Teens",
L543&lt;=29,"Young Adults",
L543&lt;=39,"Adults",
L543&lt;=59,"Middle-Aged",
L543&gt;=60,"Seniors"
)</f>
        <v>Adults</v>
      </c>
      <c r="N543" t="s">
        <v>20</v>
      </c>
    </row>
    <row r="544" spans="1:14" x14ac:dyDescent="0.3">
      <c r="A544">
        <v>11143</v>
      </c>
      <c r="B544" t="s">
        <v>37</v>
      </c>
      <c r="C544" t="s">
        <v>39</v>
      </c>
      <c r="D544" s="3">
        <v>40000</v>
      </c>
      <c r="E544">
        <v>0</v>
      </c>
      <c r="F544" t="s">
        <v>30</v>
      </c>
      <c r="G544" t="s">
        <v>16</v>
      </c>
      <c r="H544" t="s">
        <v>17</v>
      </c>
      <c r="I544">
        <v>2</v>
      </c>
      <c r="J544" t="s">
        <v>26</v>
      </c>
      <c r="K544" t="s">
        <v>35</v>
      </c>
      <c r="L544">
        <v>29</v>
      </c>
      <c r="M544" t="str" cm="1">
        <f t="array" ref="M544">_xlfn.IFS(
L544&lt;=12,"Children",
L544&lt;=19,"Teens",
L544&lt;=29,"Young Adults",
L544&lt;=39,"Adults",
L544&lt;=59,"Middle-Aged",
L544&gt;=60,"Seniors"
)</f>
        <v>Young Adults</v>
      </c>
      <c r="N544" t="s">
        <v>20</v>
      </c>
    </row>
    <row r="545" spans="1:14" x14ac:dyDescent="0.3">
      <c r="A545">
        <v>25898</v>
      </c>
      <c r="B545" t="s">
        <v>37</v>
      </c>
      <c r="C545" t="s">
        <v>38</v>
      </c>
      <c r="D545" s="3">
        <v>70000</v>
      </c>
      <c r="E545">
        <v>2</v>
      </c>
      <c r="F545" t="s">
        <v>30</v>
      </c>
      <c r="G545" t="s">
        <v>23</v>
      </c>
      <c r="H545" t="s">
        <v>17</v>
      </c>
      <c r="I545">
        <v>2</v>
      </c>
      <c r="J545" t="s">
        <v>24</v>
      </c>
      <c r="K545" t="s">
        <v>35</v>
      </c>
      <c r="L545">
        <v>53</v>
      </c>
      <c r="M545" t="str" cm="1">
        <f t="array" ref="M545">_xlfn.IFS(
L545&lt;=12,"Children",
L545&lt;=19,"Teens",
L545&lt;=29,"Young Adults",
L545&lt;=39,"Adults",
L545&lt;=59,"Middle-Aged",
L545&gt;=60,"Seniors"
)</f>
        <v>Middle-Aged</v>
      </c>
      <c r="N545" t="s">
        <v>20</v>
      </c>
    </row>
    <row r="546" spans="1:14" x14ac:dyDescent="0.3">
      <c r="A546">
        <v>24397</v>
      </c>
      <c r="B546" t="s">
        <v>40</v>
      </c>
      <c r="C546" t="s">
        <v>39</v>
      </c>
      <c r="D546" s="3">
        <v>120000</v>
      </c>
      <c r="E546">
        <v>2</v>
      </c>
      <c r="F546" t="s">
        <v>15</v>
      </c>
      <c r="G546" t="s">
        <v>31</v>
      </c>
      <c r="H546" t="s">
        <v>20</v>
      </c>
      <c r="I546">
        <v>4</v>
      </c>
      <c r="J546" t="s">
        <v>29</v>
      </c>
      <c r="K546" t="s">
        <v>35</v>
      </c>
      <c r="L546">
        <v>40</v>
      </c>
      <c r="M546" t="str" cm="1">
        <f t="array" ref="M546">_xlfn.IFS(
L546&lt;=12,"Children",
L546&lt;=19,"Teens",
L546&lt;=29,"Young Adults",
L546&lt;=39,"Adults",
L546&lt;=59,"Middle-Aged",
L546&gt;=60,"Seniors"
)</f>
        <v>Middle-Aged</v>
      </c>
      <c r="N546" t="s">
        <v>20</v>
      </c>
    </row>
    <row r="547" spans="1:14" x14ac:dyDescent="0.3">
      <c r="A547">
        <v>19758</v>
      </c>
      <c r="B547" t="s">
        <v>40</v>
      </c>
      <c r="C547" t="s">
        <v>39</v>
      </c>
      <c r="D547" s="3">
        <v>60000</v>
      </c>
      <c r="E547">
        <v>0</v>
      </c>
      <c r="F547" t="s">
        <v>21</v>
      </c>
      <c r="G547" t="s">
        <v>16</v>
      </c>
      <c r="H547" t="s">
        <v>20</v>
      </c>
      <c r="I547">
        <v>2</v>
      </c>
      <c r="J547" t="s">
        <v>29</v>
      </c>
      <c r="K547" t="s">
        <v>35</v>
      </c>
      <c r="L547">
        <v>29</v>
      </c>
      <c r="M547" t="str" cm="1">
        <f t="array" ref="M547">_xlfn.IFS(
L547&lt;=12,"Children",
L547&lt;=19,"Teens",
L547&lt;=29,"Young Adults",
L547&lt;=39,"Adults",
L547&lt;=59,"Middle-Aged",
L547&gt;=60,"Seniors"
)</f>
        <v>Young Adults</v>
      </c>
      <c r="N547" t="s">
        <v>20</v>
      </c>
    </row>
    <row r="548" spans="1:14" x14ac:dyDescent="0.3">
      <c r="A548">
        <v>15529</v>
      </c>
      <c r="B548" t="s">
        <v>37</v>
      </c>
      <c r="C548" t="s">
        <v>39</v>
      </c>
      <c r="D548" s="3">
        <v>60000</v>
      </c>
      <c r="E548">
        <v>4</v>
      </c>
      <c r="F548" t="s">
        <v>15</v>
      </c>
      <c r="G548" t="s">
        <v>23</v>
      </c>
      <c r="H548" t="s">
        <v>17</v>
      </c>
      <c r="I548">
        <v>2</v>
      </c>
      <c r="J548" t="s">
        <v>24</v>
      </c>
      <c r="K548" t="s">
        <v>35</v>
      </c>
      <c r="L548">
        <v>43</v>
      </c>
      <c r="M548" t="str" cm="1">
        <f t="array" ref="M548">_xlfn.IFS(
L548&lt;=12,"Children",
L548&lt;=19,"Teens",
L548&lt;=29,"Young Adults",
L548&lt;=39,"Adults",
L548&lt;=59,"Middle-Aged",
L548&gt;=60,"Seniors"
)</f>
        <v>Middle-Aged</v>
      </c>
      <c r="N548" t="s">
        <v>17</v>
      </c>
    </row>
    <row r="549" spans="1:14" x14ac:dyDescent="0.3">
      <c r="A549">
        <v>19884</v>
      </c>
      <c r="B549" t="s">
        <v>37</v>
      </c>
      <c r="C549" t="s">
        <v>39</v>
      </c>
      <c r="D549" s="3">
        <v>60000</v>
      </c>
      <c r="E549">
        <v>2</v>
      </c>
      <c r="F549" t="s">
        <v>30</v>
      </c>
      <c r="G549" t="s">
        <v>23</v>
      </c>
      <c r="H549" t="s">
        <v>17</v>
      </c>
      <c r="I549">
        <v>2</v>
      </c>
      <c r="J549" t="s">
        <v>24</v>
      </c>
      <c r="K549" t="s">
        <v>35</v>
      </c>
      <c r="L549">
        <v>55</v>
      </c>
      <c r="M549" t="str" cm="1">
        <f t="array" ref="M549">_xlfn.IFS(
L549&lt;=12,"Children",
L549&lt;=19,"Teens",
L549&lt;=29,"Young Adults",
L549&lt;=39,"Adults",
L549&lt;=59,"Middle-Aged",
L549&gt;=60,"Seniors"
)</f>
        <v>Middle-Aged</v>
      </c>
      <c r="N549" t="s">
        <v>17</v>
      </c>
    </row>
    <row r="550" spans="1:14" x14ac:dyDescent="0.3">
      <c r="A550">
        <v>18674</v>
      </c>
      <c r="B550" t="s">
        <v>40</v>
      </c>
      <c r="C550" t="s">
        <v>38</v>
      </c>
      <c r="D550" s="3">
        <v>80000</v>
      </c>
      <c r="E550">
        <v>4</v>
      </c>
      <c r="F550" t="s">
        <v>34</v>
      </c>
      <c r="G550" t="s">
        <v>16</v>
      </c>
      <c r="H550" t="s">
        <v>20</v>
      </c>
      <c r="I550">
        <v>0</v>
      </c>
      <c r="J550" t="s">
        <v>18</v>
      </c>
      <c r="K550" t="s">
        <v>35</v>
      </c>
      <c r="L550">
        <v>48</v>
      </c>
      <c r="M550" t="str" cm="1">
        <f t="array" ref="M550">_xlfn.IFS(
L550&lt;=12,"Children",
L550&lt;=19,"Teens",
L550&lt;=29,"Young Adults",
L550&lt;=39,"Adults",
L550&lt;=59,"Middle-Aged",
L550&gt;=60,"Seniors"
)</f>
        <v>Middle-Aged</v>
      </c>
      <c r="N550" t="s">
        <v>20</v>
      </c>
    </row>
    <row r="551" spans="1:14" x14ac:dyDescent="0.3">
      <c r="A551">
        <v>13453</v>
      </c>
      <c r="B551" t="s">
        <v>37</v>
      </c>
      <c r="C551" t="s">
        <v>38</v>
      </c>
      <c r="D551" s="3">
        <v>130000</v>
      </c>
      <c r="E551">
        <v>3</v>
      </c>
      <c r="F551" t="s">
        <v>15</v>
      </c>
      <c r="G551" t="s">
        <v>31</v>
      </c>
      <c r="H551" t="s">
        <v>17</v>
      </c>
      <c r="I551">
        <v>3</v>
      </c>
      <c r="J551" t="s">
        <v>18</v>
      </c>
      <c r="K551" t="s">
        <v>35</v>
      </c>
      <c r="L551">
        <v>45</v>
      </c>
      <c r="M551" t="str" cm="1">
        <f t="array" ref="M551">_xlfn.IFS(
L551&lt;=12,"Children",
L551&lt;=19,"Teens",
L551&lt;=29,"Young Adults",
L551&lt;=39,"Adults",
L551&lt;=59,"Middle-Aged",
L551&gt;=60,"Seniors"
)</f>
        <v>Middle-Aged</v>
      </c>
      <c r="N551" t="s">
        <v>17</v>
      </c>
    </row>
    <row r="552" spans="1:14" x14ac:dyDescent="0.3">
      <c r="A552">
        <v>14063</v>
      </c>
      <c r="B552" t="s">
        <v>40</v>
      </c>
      <c r="C552" t="s">
        <v>38</v>
      </c>
      <c r="D552" s="3">
        <v>70000</v>
      </c>
      <c r="E552">
        <v>0</v>
      </c>
      <c r="F552" t="s">
        <v>15</v>
      </c>
      <c r="G552" t="s">
        <v>23</v>
      </c>
      <c r="H552" t="s">
        <v>20</v>
      </c>
      <c r="I552">
        <v>1</v>
      </c>
      <c r="J552" t="s">
        <v>18</v>
      </c>
      <c r="K552" t="s">
        <v>27</v>
      </c>
      <c r="L552">
        <v>42</v>
      </c>
      <c r="M552" t="str" cm="1">
        <f t="array" ref="M552">_xlfn.IFS(
L552&lt;=12,"Children",
L552&lt;=19,"Teens",
L552&lt;=29,"Young Adults",
L552&lt;=39,"Adults",
L552&lt;=59,"Middle-Aged",
L552&gt;=60,"Seniors"
)</f>
        <v>Middle-Aged</v>
      </c>
      <c r="N552" t="s">
        <v>17</v>
      </c>
    </row>
    <row r="553" spans="1:14" x14ac:dyDescent="0.3">
      <c r="A553">
        <v>27393</v>
      </c>
      <c r="B553" t="s">
        <v>37</v>
      </c>
      <c r="C553" t="s">
        <v>38</v>
      </c>
      <c r="D553" s="3">
        <v>50000</v>
      </c>
      <c r="E553">
        <v>4</v>
      </c>
      <c r="F553" t="s">
        <v>15</v>
      </c>
      <c r="G553" t="s">
        <v>31</v>
      </c>
      <c r="H553" t="s">
        <v>17</v>
      </c>
      <c r="I553">
        <v>2</v>
      </c>
      <c r="J553" t="s">
        <v>41</v>
      </c>
      <c r="K553" t="s">
        <v>35</v>
      </c>
      <c r="L553">
        <v>63</v>
      </c>
      <c r="M553" t="str" cm="1">
        <f t="array" ref="M553">_xlfn.IFS(
L553&lt;=12,"Children",
L553&lt;=19,"Teens",
L553&lt;=29,"Young Adults",
L553&lt;=39,"Adults",
L553&lt;=59,"Middle-Aged",
L553&gt;=60,"Seniors"
)</f>
        <v>Seniors</v>
      </c>
      <c r="N553" t="s">
        <v>20</v>
      </c>
    </row>
    <row r="554" spans="1:14" x14ac:dyDescent="0.3">
      <c r="A554">
        <v>14417</v>
      </c>
      <c r="B554" t="s">
        <v>40</v>
      </c>
      <c r="C554" t="s">
        <v>39</v>
      </c>
      <c r="D554" s="3">
        <v>60000</v>
      </c>
      <c r="E554">
        <v>3</v>
      </c>
      <c r="F554" t="s">
        <v>30</v>
      </c>
      <c r="G554" t="s">
        <v>23</v>
      </c>
      <c r="H554" t="s">
        <v>17</v>
      </c>
      <c r="I554">
        <v>2</v>
      </c>
      <c r="J554" t="s">
        <v>41</v>
      </c>
      <c r="K554" t="s">
        <v>35</v>
      </c>
      <c r="L554">
        <v>54</v>
      </c>
      <c r="M554" t="str" cm="1">
        <f t="array" ref="M554">_xlfn.IFS(
L554&lt;=12,"Children",
L554&lt;=19,"Teens",
L554&lt;=29,"Young Adults",
L554&lt;=39,"Adults",
L554&lt;=59,"Middle-Aged",
L554&gt;=60,"Seniors"
)</f>
        <v>Middle-Aged</v>
      </c>
      <c r="N554" t="s">
        <v>17</v>
      </c>
    </row>
    <row r="555" spans="1:14" x14ac:dyDescent="0.3">
      <c r="A555">
        <v>17533</v>
      </c>
      <c r="B555" t="s">
        <v>37</v>
      </c>
      <c r="C555" t="s">
        <v>39</v>
      </c>
      <c r="D555" s="3">
        <v>40000</v>
      </c>
      <c r="E555">
        <v>3</v>
      </c>
      <c r="F555" t="s">
        <v>21</v>
      </c>
      <c r="G555" t="s">
        <v>23</v>
      </c>
      <c r="H555" t="s">
        <v>20</v>
      </c>
      <c r="I555">
        <v>2</v>
      </c>
      <c r="J555" t="s">
        <v>26</v>
      </c>
      <c r="K555" t="s">
        <v>35</v>
      </c>
      <c r="L555">
        <v>73</v>
      </c>
      <c r="M555" t="str" cm="1">
        <f t="array" ref="M555">_xlfn.IFS(
L555&lt;=12,"Children",
L555&lt;=19,"Teens",
L555&lt;=29,"Young Adults",
L555&lt;=39,"Adults",
L555&lt;=59,"Middle-Aged",
L555&gt;=60,"Seniors"
)</f>
        <v>Seniors</v>
      </c>
      <c r="N555" t="s">
        <v>17</v>
      </c>
    </row>
    <row r="556" spans="1:14" x14ac:dyDescent="0.3">
      <c r="A556">
        <v>18580</v>
      </c>
      <c r="B556" t="s">
        <v>37</v>
      </c>
      <c r="C556" t="s">
        <v>38</v>
      </c>
      <c r="D556" s="3">
        <v>60000</v>
      </c>
      <c r="E556">
        <v>2</v>
      </c>
      <c r="F556" t="s">
        <v>34</v>
      </c>
      <c r="G556" t="s">
        <v>23</v>
      </c>
      <c r="H556" t="s">
        <v>17</v>
      </c>
      <c r="I556">
        <v>0</v>
      </c>
      <c r="J556" t="s">
        <v>24</v>
      </c>
      <c r="K556" t="s">
        <v>35</v>
      </c>
      <c r="L556">
        <v>40</v>
      </c>
      <c r="M556" t="str" cm="1">
        <f t="array" ref="M556">_xlfn.IFS(
L556&lt;=12,"Children",
L556&lt;=19,"Teens",
L556&lt;=29,"Young Adults",
L556&lt;=39,"Adults",
L556&lt;=59,"Middle-Aged",
L556&gt;=60,"Seniors"
)</f>
        <v>Middle-Aged</v>
      </c>
      <c r="N556" t="s">
        <v>17</v>
      </c>
    </row>
    <row r="557" spans="1:14" x14ac:dyDescent="0.3">
      <c r="A557">
        <v>17025</v>
      </c>
      <c r="B557" t="s">
        <v>40</v>
      </c>
      <c r="C557" t="s">
        <v>39</v>
      </c>
      <c r="D557" s="3">
        <v>50000</v>
      </c>
      <c r="E557">
        <v>0</v>
      </c>
      <c r="F557" t="s">
        <v>21</v>
      </c>
      <c r="G557" t="s">
        <v>16</v>
      </c>
      <c r="H557" t="s">
        <v>20</v>
      </c>
      <c r="I557">
        <v>1</v>
      </c>
      <c r="J557" t="s">
        <v>24</v>
      </c>
      <c r="K557" t="s">
        <v>35</v>
      </c>
      <c r="L557">
        <v>39</v>
      </c>
      <c r="M557" t="str" cm="1">
        <f t="array" ref="M557">_xlfn.IFS(
L557&lt;=12,"Children",
L557&lt;=19,"Teens",
L557&lt;=29,"Young Adults",
L557&lt;=39,"Adults",
L557&lt;=59,"Middle-Aged",
L557&gt;=60,"Seniors"
)</f>
        <v>Adults</v>
      </c>
      <c r="N557" t="s">
        <v>17</v>
      </c>
    </row>
    <row r="558" spans="1:14" x14ac:dyDescent="0.3">
      <c r="A558">
        <v>25293</v>
      </c>
      <c r="B558" t="s">
        <v>37</v>
      </c>
      <c r="C558" t="s">
        <v>39</v>
      </c>
      <c r="D558" s="3">
        <v>80000</v>
      </c>
      <c r="E558">
        <v>4</v>
      </c>
      <c r="F558" t="s">
        <v>15</v>
      </c>
      <c r="G558" t="s">
        <v>31</v>
      </c>
      <c r="H558" t="s">
        <v>17</v>
      </c>
      <c r="I558">
        <v>0</v>
      </c>
      <c r="J558" t="s">
        <v>29</v>
      </c>
      <c r="K558" t="s">
        <v>35</v>
      </c>
      <c r="L558">
        <v>42</v>
      </c>
      <c r="M558" t="str" cm="1">
        <f t="array" ref="M558">_xlfn.IFS(
L558&lt;=12,"Children",
L558&lt;=19,"Teens",
L558&lt;=29,"Young Adults",
L558&lt;=39,"Adults",
L558&lt;=59,"Middle-Aged",
L558&gt;=60,"Seniors"
)</f>
        <v>Middle-Aged</v>
      </c>
      <c r="N558" t="s">
        <v>20</v>
      </c>
    </row>
    <row r="559" spans="1:14" x14ac:dyDescent="0.3">
      <c r="A559">
        <v>24725</v>
      </c>
      <c r="B559" t="s">
        <v>37</v>
      </c>
      <c r="C559" t="s">
        <v>38</v>
      </c>
      <c r="D559" s="3">
        <v>40000</v>
      </c>
      <c r="E559">
        <v>3</v>
      </c>
      <c r="F559" t="s">
        <v>21</v>
      </c>
      <c r="G559" t="s">
        <v>22</v>
      </c>
      <c r="H559" t="s">
        <v>17</v>
      </c>
      <c r="I559">
        <v>0</v>
      </c>
      <c r="J559" t="s">
        <v>29</v>
      </c>
      <c r="K559" t="s">
        <v>35</v>
      </c>
      <c r="L559">
        <v>31</v>
      </c>
      <c r="M559" t="str" cm="1">
        <f t="array" ref="M559">_xlfn.IFS(
L559&lt;=12,"Children",
L559&lt;=19,"Teens",
L559&lt;=29,"Young Adults",
L559&lt;=39,"Adults",
L559&lt;=59,"Middle-Aged",
L559&gt;=60,"Seniors"
)</f>
        <v>Adults</v>
      </c>
      <c r="N559" t="s">
        <v>20</v>
      </c>
    </row>
    <row r="560" spans="1:14" x14ac:dyDescent="0.3">
      <c r="A560">
        <v>23200</v>
      </c>
      <c r="B560" t="s">
        <v>37</v>
      </c>
      <c r="C560" t="s">
        <v>38</v>
      </c>
      <c r="D560" s="3">
        <v>50000</v>
      </c>
      <c r="E560">
        <v>3</v>
      </c>
      <c r="F560" t="s">
        <v>15</v>
      </c>
      <c r="G560" t="s">
        <v>16</v>
      </c>
      <c r="H560" t="s">
        <v>17</v>
      </c>
      <c r="I560">
        <v>2</v>
      </c>
      <c r="J560" t="s">
        <v>18</v>
      </c>
      <c r="K560" t="s">
        <v>35</v>
      </c>
      <c r="L560">
        <v>41</v>
      </c>
      <c r="M560" t="str" cm="1">
        <f t="array" ref="M560">_xlfn.IFS(
L560&lt;=12,"Children",
L560&lt;=19,"Teens",
L560&lt;=29,"Young Adults",
L560&lt;=39,"Adults",
L560&lt;=59,"Middle-Aged",
L560&gt;=60,"Seniors"
)</f>
        <v>Middle-Aged</v>
      </c>
      <c r="N560" t="s">
        <v>20</v>
      </c>
    </row>
    <row r="561" spans="1:14" x14ac:dyDescent="0.3">
      <c r="A561">
        <v>15895</v>
      </c>
      <c r="B561" t="s">
        <v>40</v>
      </c>
      <c r="C561" t="s">
        <v>38</v>
      </c>
      <c r="D561" s="3">
        <v>60000</v>
      </c>
      <c r="E561">
        <v>2</v>
      </c>
      <c r="F561" t="s">
        <v>15</v>
      </c>
      <c r="G561" t="s">
        <v>31</v>
      </c>
      <c r="H561" t="s">
        <v>17</v>
      </c>
      <c r="I561">
        <v>0</v>
      </c>
      <c r="J561" t="s">
        <v>41</v>
      </c>
      <c r="K561" t="s">
        <v>35</v>
      </c>
      <c r="L561">
        <v>58</v>
      </c>
      <c r="M561" t="str" cm="1">
        <f t="array" ref="M561">_xlfn.IFS(
L561&lt;=12,"Children",
L561&lt;=19,"Teens",
L561&lt;=29,"Young Adults",
L561&lt;=39,"Adults",
L561&lt;=59,"Middle-Aged",
L561&gt;=60,"Seniors"
)</f>
        <v>Middle-Aged</v>
      </c>
      <c r="N561" t="s">
        <v>20</v>
      </c>
    </row>
    <row r="562" spans="1:14" x14ac:dyDescent="0.3">
      <c r="A562">
        <v>18577</v>
      </c>
      <c r="B562" t="s">
        <v>37</v>
      </c>
      <c r="C562" t="s">
        <v>38</v>
      </c>
      <c r="D562" s="3">
        <v>60000</v>
      </c>
      <c r="E562">
        <v>0</v>
      </c>
      <c r="F562" t="s">
        <v>34</v>
      </c>
      <c r="G562" t="s">
        <v>23</v>
      </c>
      <c r="H562" t="s">
        <v>17</v>
      </c>
      <c r="I562">
        <v>0</v>
      </c>
      <c r="J562" t="s">
        <v>18</v>
      </c>
      <c r="K562" t="s">
        <v>35</v>
      </c>
      <c r="L562">
        <v>40</v>
      </c>
      <c r="M562" t="str" cm="1">
        <f t="array" ref="M562">_xlfn.IFS(
L562&lt;=12,"Children",
L562&lt;=19,"Teens",
L562&lt;=29,"Young Adults",
L562&lt;=39,"Adults",
L562&lt;=59,"Middle-Aged",
L562&gt;=60,"Seniors"
)</f>
        <v>Middle-Aged</v>
      </c>
      <c r="N562" t="s">
        <v>20</v>
      </c>
    </row>
    <row r="563" spans="1:14" x14ac:dyDescent="0.3">
      <c r="A563">
        <v>27218</v>
      </c>
      <c r="B563" t="s">
        <v>37</v>
      </c>
      <c r="C563" t="s">
        <v>38</v>
      </c>
      <c r="D563" s="3">
        <v>20000</v>
      </c>
      <c r="E563">
        <v>2</v>
      </c>
      <c r="F563" t="s">
        <v>32</v>
      </c>
      <c r="G563" t="s">
        <v>22</v>
      </c>
      <c r="H563" t="s">
        <v>20</v>
      </c>
      <c r="I563">
        <v>0</v>
      </c>
      <c r="J563" t="s">
        <v>18</v>
      </c>
      <c r="K563" t="s">
        <v>35</v>
      </c>
      <c r="L563">
        <v>48</v>
      </c>
      <c r="M563" t="str" cm="1">
        <f t="array" ref="M563">_xlfn.IFS(
L563&lt;=12,"Children",
L563&lt;=19,"Teens",
L563&lt;=29,"Young Adults",
L563&lt;=39,"Adults",
L563&lt;=59,"Middle-Aged",
L563&gt;=60,"Seniors"
)</f>
        <v>Middle-Aged</v>
      </c>
      <c r="N563" t="s">
        <v>20</v>
      </c>
    </row>
    <row r="564" spans="1:14" x14ac:dyDescent="0.3">
      <c r="A564">
        <v>18560</v>
      </c>
      <c r="B564" t="s">
        <v>37</v>
      </c>
      <c r="C564" t="s">
        <v>38</v>
      </c>
      <c r="D564" s="3">
        <v>70000</v>
      </c>
      <c r="E564">
        <v>2</v>
      </c>
      <c r="F564" t="s">
        <v>34</v>
      </c>
      <c r="G564" t="s">
        <v>23</v>
      </c>
      <c r="H564" t="s">
        <v>17</v>
      </c>
      <c r="I564">
        <v>0</v>
      </c>
      <c r="J564" t="s">
        <v>24</v>
      </c>
      <c r="K564" t="s">
        <v>35</v>
      </c>
      <c r="L564">
        <v>34</v>
      </c>
      <c r="M564" t="str" cm="1">
        <f t="array" ref="M564">_xlfn.IFS(
L564&lt;=12,"Children",
L564&lt;=19,"Teens",
L564&lt;=29,"Young Adults",
L564&lt;=39,"Adults",
L564&lt;=59,"Middle-Aged",
L564&gt;=60,"Seniors"
)</f>
        <v>Adults</v>
      </c>
      <c r="N564" t="s">
        <v>17</v>
      </c>
    </row>
    <row r="565" spans="1:14" x14ac:dyDescent="0.3">
      <c r="A565">
        <v>25006</v>
      </c>
      <c r="B565" t="s">
        <v>40</v>
      </c>
      <c r="C565" t="s">
        <v>38</v>
      </c>
      <c r="D565" s="3">
        <v>30000</v>
      </c>
      <c r="E565">
        <v>0</v>
      </c>
      <c r="F565" t="s">
        <v>21</v>
      </c>
      <c r="G565" t="s">
        <v>16</v>
      </c>
      <c r="H565" t="s">
        <v>17</v>
      </c>
      <c r="I565">
        <v>1</v>
      </c>
      <c r="J565" t="s">
        <v>26</v>
      </c>
      <c r="K565" t="s">
        <v>35</v>
      </c>
      <c r="L565">
        <v>28</v>
      </c>
      <c r="M565" t="str" cm="1">
        <f t="array" ref="M565">_xlfn.IFS(
L565&lt;=12,"Children",
L565&lt;=19,"Teens",
L565&lt;=29,"Young Adults",
L565&lt;=39,"Adults",
L565&lt;=59,"Middle-Aged",
L565&gt;=60,"Seniors"
)</f>
        <v>Young Adults</v>
      </c>
      <c r="N565" t="s">
        <v>20</v>
      </c>
    </row>
    <row r="566" spans="1:14" x14ac:dyDescent="0.3">
      <c r="A566">
        <v>17369</v>
      </c>
      <c r="B566" t="s">
        <v>40</v>
      </c>
      <c r="C566" t="s">
        <v>39</v>
      </c>
      <c r="D566" s="3">
        <v>30000</v>
      </c>
      <c r="E566">
        <v>0</v>
      </c>
      <c r="F566" t="s">
        <v>21</v>
      </c>
      <c r="G566" t="s">
        <v>16</v>
      </c>
      <c r="H566" t="s">
        <v>17</v>
      </c>
      <c r="I566">
        <v>1</v>
      </c>
      <c r="J566" t="s">
        <v>26</v>
      </c>
      <c r="K566" t="s">
        <v>35</v>
      </c>
      <c r="L566">
        <v>27</v>
      </c>
      <c r="M566" t="str" cm="1">
        <f t="array" ref="M566">_xlfn.IFS(
L566&lt;=12,"Children",
L566&lt;=19,"Teens",
L566&lt;=29,"Young Adults",
L566&lt;=39,"Adults",
L566&lt;=59,"Middle-Aged",
L566&gt;=60,"Seniors"
)</f>
        <v>Young Adults</v>
      </c>
      <c r="N566" t="s">
        <v>20</v>
      </c>
    </row>
    <row r="567" spans="1:14" x14ac:dyDescent="0.3">
      <c r="A567">
        <v>14495</v>
      </c>
      <c r="B567" t="s">
        <v>37</v>
      </c>
      <c r="C567" t="s">
        <v>39</v>
      </c>
      <c r="D567" s="3">
        <v>40000</v>
      </c>
      <c r="E567">
        <v>3</v>
      </c>
      <c r="F567" t="s">
        <v>21</v>
      </c>
      <c r="G567" t="s">
        <v>23</v>
      </c>
      <c r="H567" t="s">
        <v>20</v>
      </c>
      <c r="I567">
        <v>2</v>
      </c>
      <c r="J567" t="s">
        <v>26</v>
      </c>
      <c r="K567" t="s">
        <v>35</v>
      </c>
      <c r="L567">
        <v>54</v>
      </c>
      <c r="M567" t="str" cm="1">
        <f t="array" ref="M567">_xlfn.IFS(
L567&lt;=12,"Children",
L567&lt;=19,"Teens",
L567&lt;=29,"Young Adults",
L567&lt;=39,"Adults",
L567&lt;=59,"Middle-Aged",
L567&gt;=60,"Seniors"
)</f>
        <v>Middle-Aged</v>
      </c>
      <c r="N567" t="s">
        <v>17</v>
      </c>
    </row>
    <row r="568" spans="1:14" x14ac:dyDescent="0.3">
      <c r="A568">
        <v>18847</v>
      </c>
      <c r="B568" t="s">
        <v>37</v>
      </c>
      <c r="C568" t="s">
        <v>38</v>
      </c>
      <c r="D568" s="3">
        <v>60000</v>
      </c>
      <c r="E568">
        <v>2</v>
      </c>
      <c r="F568" t="s">
        <v>34</v>
      </c>
      <c r="G568" t="s">
        <v>31</v>
      </c>
      <c r="H568" t="s">
        <v>17</v>
      </c>
      <c r="I568">
        <v>2</v>
      </c>
      <c r="J568" t="s">
        <v>26</v>
      </c>
      <c r="K568" t="s">
        <v>35</v>
      </c>
      <c r="L568">
        <v>70</v>
      </c>
      <c r="M568" t="str" cm="1">
        <f t="array" ref="M568">_xlfn.IFS(
L568&lt;=12,"Children",
L568&lt;=19,"Teens",
L568&lt;=29,"Young Adults",
L568&lt;=39,"Adults",
L568&lt;=59,"Middle-Aged",
L568&gt;=60,"Seniors"
)</f>
        <v>Seniors</v>
      </c>
      <c r="N568" t="s">
        <v>20</v>
      </c>
    </row>
    <row r="569" spans="1:14" x14ac:dyDescent="0.3">
      <c r="A569">
        <v>14754</v>
      </c>
      <c r="B569" t="s">
        <v>37</v>
      </c>
      <c r="C569" t="s">
        <v>39</v>
      </c>
      <c r="D569" s="3">
        <v>40000</v>
      </c>
      <c r="E569">
        <v>1</v>
      </c>
      <c r="F569" t="s">
        <v>21</v>
      </c>
      <c r="G569" t="s">
        <v>22</v>
      </c>
      <c r="H569" t="s">
        <v>17</v>
      </c>
      <c r="I569">
        <v>1</v>
      </c>
      <c r="J569" t="s">
        <v>29</v>
      </c>
      <c r="K569" t="s">
        <v>35</v>
      </c>
      <c r="L569">
        <v>48</v>
      </c>
      <c r="M569" t="str" cm="1">
        <f t="array" ref="M569">_xlfn.IFS(
L569&lt;=12,"Children",
L569&lt;=19,"Teens",
L569&lt;=29,"Young Adults",
L569&lt;=39,"Adults",
L569&lt;=59,"Middle-Aged",
L569&gt;=60,"Seniors"
)</f>
        <v>Middle-Aged</v>
      </c>
      <c r="N569" t="s">
        <v>17</v>
      </c>
    </row>
    <row r="570" spans="1:14" x14ac:dyDescent="0.3">
      <c r="A570">
        <v>23378</v>
      </c>
      <c r="B570" t="s">
        <v>37</v>
      </c>
      <c r="C570" t="s">
        <v>39</v>
      </c>
      <c r="D570" s="3">
        <v>70000</v>
      </c>
      <c r="E570">
        <v>1</v>
      </c>
      <c r="F570" t="s">
        <v>21</v>
      </c>
      <c r="G570" t="s">
        <v>16</v>
      </c>
      <c r="H570" t="s">
        <v>17</v>
      </c>
      <c r="I570">
        <v>1</v>
      </c>
      <c r="J570" t="s">
        <v>24</v>
      </c>
      <c r="K570" t="s">
        <v>35</v>
      </c>
      <c r="L570">
        <v>44</v>
      </c>
      <c r="M570" t="str" cm="1">
        <f t="array" ref="M570">_xlfn.IFS(
L570&lt;=12,"Children",
L570&lt;=19,"Teens",
L570&lt;=29,"Young Adults",
L570&lt;=39,"Adults",
L570&lt;=59,"Middle-Aged",
L570&gt;=60,"Seniors"
)</f>
        <v>Middle-Aged</v>
      </c>
      <c r="N570" t="s">
        <v>17</v>
      </c>
    </row>
    <row r="571" spans="1:14" x14ac:dyDescent="0.3">
      <c r="A571">
        <v>26452</v>
      </c>
      <c r="B571" t="s">
        <v>40</v>
      </c>
      <c r="C571" t="s">
        <v>39</v>
      </c>
      <c r="D571" s="3">
        <v>50000</v>
      </c>
      <c r="E571">
        <v>3</v>
      </c>
      <c r="F571" t="s">
        <v>34</v>
      </c>
      <c r="G571" t="s">
        <v>31</v>
      </c>
      <c r="H571" t="s">
        <v>17</v>
      </c>
      <c r="I571">
        <v>2</v>
      </c>
      <c r="J571" t="s">
        <v>41</v>
      </c>
      <c r="K571" t="s">
        <v>35</v>
      </c>
      <c r="L571">
        <v>69</v>
      </c>
      <c r="M571" t="str" cm="1">
        <f t="array" ref="M571">_xlfn.IFS(
L571&lt;=12,"Children",
L571&lt;=19,"Teens",
L571&lt;=29,"Young Adults",
L571&lt;=39,"Adults",
L571&lt;=59,"Middle-Aged",
L571&gt;=60,"Seniors"
)</f>
        <v>Seniors</v>
      </c>
      <c r="N571" t="s">
        <v>20</v>
      </c>
    </row>
    <row r="572" spans="1:14" x14ac:dyDescent="0.3">
      <c r="A572">
        <v>20370</v>
      </c>
      <c r="B572" t="s">
        <v>37</v>
      </c>
      <c r="C572" t="s">
        <v>39</v>
      </c>
      <c r="D572" s="3">
        <v>70000</v>
      </c>
      <c r="E572">
        <v>3</v>
      </c>
      <c r="F572" t="s">
        <v>32</v>
      </c>
      <c r="G572" t="s">
        <v>16</v>
      </c>
      <c r="H572" t="s">
        <v>17</v>
      </c>
      <c r="I572">
        <v>2</v>
      </c>
      <c r="J572" t="s">
        <v>26</v>
      </c>
      <c r="K572" t="s">
        <v>35</v>
      </c>
      <c r="L572">
        <v>52</v>
      </c>
      <c r="M572" t="str" cm="1">
        <f t="array" ref="M572">_xlfn.IFS(
L572&lt;=12,"Children",
L572&lt;=19,"Teens",
L572&lt;=29,"Young Adults",
L572&lt;=39,"Adults",
L572&lt;=59,"Middle-Aged",
L572&gt;=60,"Seniors"
)</f>
        <v>Middle-Aged</v>
      </c>
      <c r="N572" t="s">
        <v>20</v>
      </c>
    </row>
    <row r="573" spans="1:14" x14ac:dyDescent="0.3">
      <c r="A573">
        <v>20528</v>
      </c>
      <c r="B573" t="s">
        <v>37</v>
      </c>
      <c r="C573" t="s">
        <v>39</v>
      </c>
      <c r="D573" s="3">
        <v>40000</v>
      </c>
      <c r="E573">
        <v>2</v>
      </c>
      <c r="F573" t="s">
        <v>32</v>
      </c>
      <c r="G573" t="s">
        <v>16</v>
      </c>
      <c r="H573" t="s">
        <v>17</v>
      </c>
      <c r="I573">
        <v>2</v>
      </c>
      <c r="J573" t="s">
        <v>24</v>
      </c>
      <c r="K573" t="s">
        <v>35</v>
      </c>
      <c r="L573">
        <v>55</v>
      </c>
      <c r="M573" t="str" cm="1">
        <f t="array" ref="M573">_xlfn.IFS(
L573&lt;=12,"Children",
L573&lt;=19,"Teens",
L573&lt;=29,"Young Adults",
L573&lt;=39,"Adults",
L573&lt;=59,"Middle-Aged",
L573&gt;=60,"Seniors"
)</f>
        <v>Middle-Aged</v>
      </c>
      <c r="N573" t="s">
        <v>20</v>
      </c>
    </row>
    <row r="574" spans="1:14" x14ac:dyDescent="0.3">
      <c r="A574">
        <v>23549</v>
      </c>
      <c r="B574" t="s">
        <v>40</v>
      </c>
      <c r="C574" t="s">
        <v>39</v>
      </c>
      <c r="D574" s="3">
        <v>30000</v>
      </c>
      <c r="E574">
        <v>0</v>
      </c>
      <c r="F574" t="s">
        <v>30</v>
      </c>
      <c r="G574" t="s">
        <v>16</v>
      </c>
      <c r="H574" t="s">
        <v>17</v>
      </c>
      <c r="I574">
        <v>2</v>
      </c>
      <c r="J574" t="s">
        <v>26</v>
      </c>
      <c r="K574" t="s">
        <v>35</v>
      </c>
      <c r="L574">
        <v>30</v>
      </c>
      <c r="M574" t="str" cm="1">
        <f t="array" ref="M574">_xlfn.IFS(
L574&lt;=12,"Children",
L574&lt;=19,"Teens",
L574&lt;=29,"Young Adults",
L574&lt;=39,"Adults",
L574&lt;=59,"Middle-Aged",
L574&gt;=60,"Seniors"
)</f>
        <v>Adults</v>
      </c>
      <c r="N574" t="s">
        <v>20</v>
      </c>
    </row>
    <row r="575" spans="1:14" x14ac:dyDescent="0.3">
      <c r="A575">
        <v>21751</v>
      </c>
      <c r="B575" t="s">
        <v>37</v>
      </c>
      <c r="C575" t="s">
        <v>39</v>
      </c>
      <c r="D575" s="3">
        <v>60000</v>
      </c>
      <c r="E575">
        <v>3</v>
      </c>
      <c r="F575" t="s">
        <v>34</v>
      </c>
      <c r="G575" t="s">
        <v>31</v>
      </c>
      <c r="H575" t="s">
        <v>17</v>
      </c>
      <c r="I575">
        <v>2</v>
      </c>
      <c r="J575" t="s">
        <v>29</v>
      </c>
      <c r="K575" t="s">
        <v>35</v>
      </c>
      <c r="L575">
        <v>63</v>
      </c>
      <c r="M575" t="str" cm="1">
        <f t="array" ref="M575">_xlfn.IFS(
L575&lt;=12,"Children",
L575&lt;=19,"Teens",
L575&lt;=29,"Young Adults",
L575&lt;=39,"Adults",
L575&lt;=59,"Middle-Aged",
L575&gt;=60,"Seniors"
)</f>
        <v>Seniors</v>
      </c>
      <c r="N575" t="s">
        <v>20</v>
      </c>
    </row>
    <row r="576" spans="1:14" x14ac:dyDescent="0.3">
      <c r="A576">
        <v>21266</v>
      </c>
      <c r="B576" t="s">
        <v>40</v>
      </c>
      <c r="C576" t="s">
        <v>38</v>
      </c>
      <c r="D576" s="3">
        <v>80000</v>
      </c>
      <c r="E576">
        <v>0</v>
      </c>
      <c r="F576" t="s">
        <v>15</v>
      </c>
      <c r="G576" t="s">
        <v>31</v>
      </c>
      <c r="H576" t="s">
        <v>17</v>
      </c>
      <c r="I576">
        <v>1</v>
      </c>
      <c r="J576" t="s">
        <v>29</v>
      </c>
      <c r="K576" t="s">
        <v>35</v>
      </c>
      <c r="L576">
        <v>34</v>
      </c>
      <c r="M576" t="str" cm="1">
        <f t="array" ref="M576">_xlfn.IFS(
L576&lt;=12,"Children",
L576&lt;=19,"Teens",
L576&lt;=29,"Young Adults",
L576&lt;=39,"Adults",
L576&lt;=59,"Middle-Aged",
L576&gt;=60,"Seniors"
)</f>
        <v>Adults</v>
      </c>
      <c r="N576" t="s">
        <v>17</v>
      </c>
    </row>
    <row r="577" spans="1:14" x14ac:dyDescent="0.3">
      <c r="A577">
        <v>13388</v>
      </c>
      <c r="B577" t="s">
        <v>40</v>
      </c>
      <c r="C577" t="s">
        <v>39</v>
      </c>
      <c r="D577" s="3">
        <v>60000</v>
      </c>
      <c r="E577">
        <v>2</v>
      </c>
      <c r="F577" t="s">
        <v>21</v>
      </c>
      <c r="G577" t="s">
        <v>23</v>
      </c>
      <c r="H577" t="s">
        <v>17</v>
      </c>
      <c r="I577">
        <v>1</v>
      </c>
      <c r="J577" t="s">
        <v>41</v>
      </c>
      <c r="K577" t="s">
        <v>35</v>
      </c>
      <c r="L577">
        <v>56</v>
      </c>
      <c r="M577" t="str" cm="1">
        <f t="array" ref="M577">_xlfn.IFS(
L577&lt;=12,"Children",
L577&lt;=19,"Teens",
L577&lt;=29,"Young Adults",
L577&lt;=39,"Adults",
L577&lt;=59,"Middle-Aged",
L577&gt;=60,"Seniors"
)</f>
        <v>Middle-Aged</v>
      </c>
      <c r="N577" t="s">
        <v>20</v>
      </c>
    </row>
    <row r="578" spans="1:14" x14ac:dyDescent="0.3">
      <c r="A578">
        <v>18752</v>
      </c>
      <c r="B578" t="s">
        <v>40</v>
      </c>
      <c r="C578" t="s">
        <v>38</v>
      </c>
      <c r="D578" s="3">
        <v>40000</v>
      </c>
      <c r="E578">
        <v>0</v>
      </c>
      <c r="F578" t="s">
        <v>30</v>
      </c>
      <c r="G578" t="s">
        <v>16</v>
      </c>
      <c r="H578" t="s">
        <v>17</v>
      </c>
      <c r="I578">
        <v>1</v>
      </c>
      <c r="J578" t="s">
        <v>26</v>
      </c>
      <c r="K578" t="s">
        <v>35</v>
      </c>
      <c r="L578">
        <v>31</v>
      </c>
      <c r="M578" t="str" cm="1">
        <f t="array" ref="M578">_xlfn.IFS(
L578&lt;=12,"Children",
L578&lt;=19,"Teens",
L578&lt;=29,"Young Adults",
L578&lt;=39,"Adults",
L578&lt;=59,"Middle-Aged",
L578&gt;=60,"Seniors"
)</f>
        <v>Adults</v>
      </c>
      <c r="N578" t="s">
        <v>20</v>
      </c>
    </row>
    <row r="579" spans="1:14" x14ac:dyDescent="0.3">
      <c r="A579">
        <v>16917</v>
      </c>
      <c r="B579" t="s">
        <v>37</v>
      </c>
      <c r="C579" t="s">
        <v>39</v>
      </c>
      <c r="D579" s="3">
        <v>120000</v>
      </c>
      <c r="E579">
        <v>1</v>
      </c>
      <c r="F579" t="s">
        <v>15</v>
      </c>
      <c r="G579" t="s">
        <v>31</v>
      </c>
      <c r="H579" t="s">
        <v>17</v>
      </c>
      <c r="I579">
        <v>4</v>
      </c>
      <c r="J579" t="s">
        <v>18</v>
      </c>
      <c r="K579" t="s">
        <v>35</v>
      </c>
      <c r="L579">
        <v>38</v>
      </c>
      <c r="M579" t="str" cm="1">
        <f t="array" ref="M579">_xlfn.IFS(
L579&lt;=12,"Children",
L579&lt;=19,"Teens",
L579&lt;=29,"Young Adults",
L579&lt;=39,"Adults",
L579&lt;=59,"Middle-Aged",
L579&gt;=60,"Seniors"
)</f>
        <v>Adults</v>
      </c>
      <c r="N579" t="s">
        <v>20</v>
      </c>
    </row>
    <row r="580" spans="1:14" x14ac:dyDescent="0.3">
      <c r="A580">
        <v>15313</v>
      </c>
      <c r="B580" t="s">
        <v>37</v>
      </c>
      <c r="C580" t="s">
        <v>39</v>
      </c>
      <c r="D580" s="3">
        <v>60000</v>
      </c>
      <c r="E580">
        <v>4</v>
      </c>
      <c r="F580" t="s">
        <v>15</v>
      </c>
      <c r="G580" t="s">
        <v>31</v>
      </c>
      <c r="H580" t="s">
        <v>17</v>
      </c>
      <c r="I580">
        <v>2</v>
      </c>
      <c r="J580" t="s">
        <v>24</v>
      </c>
      <c r="K580" t="s">
        <v>35</v>
      </c>
      <c r="L580">
        <v>59</v>
      </c>
      <c r="M580" t="str" cm="1">
        <f t="array" ref="M580">_xlfn.IFS(
L580&lt;=12,"Children",
L580&lt;=19,"Teens",
L580&lt;=29,"Young Adults",
L580&lt;=39,"Adults",
L580&lt;=59,"Middle-Aged",
L580&gt;=60,"Seniors"
)</f>
        <v>Middle-Aged</v>
      </c>
      <c r="N580" t="s">
        <v>20</v>
      </c>
    </row>
    <row r="581" spans="1:14" x14ac:dyDescent="0.3">
      <c r="A581">
        <v>25329</v>
      </c>
      <c r="B581" t="s">
        <v>40</v>
      </c>
      <c r="C581" t="s">
        <v>38</v>
      </c>
      <c r="D581" s="3">
        <v>40000</v>
      </c>
      <c r="E581">
        <v>3</v>
      </c>
      <c r="F581" t="s">
        <v>21</v>
      </c>
      <c r="G581" t="s">
        <v>22</v>
      </c>
      <c r="H581" t="s">
        <v>20</v>
      </c>
      <c r="I581">
        <v>2</v>
      </c>
      <c r="J581" t="s">
        <v>18</v>
      </c>
      <c r="K581" t="s">
        <v>35</v>
      </c>
      <c r="L581">
        <v>32</v>
      </c>
      <c r="M581" t="str" cm="1">
        <f t="array" ref="M581">_xlfn.IFS(
L581&lt;=12,"Children",
L581&lt;=19,"Teens",
L581&lt;=29,"Young Adults",
L581&lt;=39,"Adults",
L581&lt;=59,"Middle-Aged",
L581&gt;=60,"Seniors"
)</f>
        <v>Adults</v>
      </c>
      <c r="N581" t="s">
        <v>20</v>
      </c>
    </row>
    <row r="582" spans="1:14" x14ac:dyDescent="0.3">
      <c r="A582">
        <v>20380</v>
      </c>
      <c r="B582" t="s">
        <v>37</v>
      </c>
      <c r="C582" t="s">
        <v>38</v>
      </c>
      <c r="D582" s="3">
        <v>60000</v>
      </c>
      <c r="E582">
        <v>3</v>
      </c>
      <c r="F582" t="s">
        <v>34</v>
      </c>
      <c r="G582" t="s">
        <v>31</v>
      </c>
      <c r="H582" t="s">
        <v>17</v>
      </c>
      <c r="I582">
        <v>2</v>
      </c>
      <c r="J582" t="s">
        <v>41</v>
      </c>
      <c r="K582" t="s">
        <v>35</v>
      </c>
      <c r="L582">
        <v>69</v>
      </c>
      <c r="M582" t="str" cm="1">
        <f t="array" ref="M582">_xlfn.IFS(
L582&lt;=12,"Children",
L582&lt;=19,"Teens",
L582&lt;=29,"Young Adults",
L582&lt;=39,"Adults",
L582&lt;=59,"Middle-Aged",
L582&gt;=60,"Seniors"
)</f>
        <v>Seniors</v>
      </c>
      <c r="N582" t="s">
        <v>20</v>
      </c>
    </row>
    <row r="583" spans="1:14" x14ac:dyDescent="0.3">
      <c r="A583">
        <v>23089</v>
      </c>
      <c r="B583" t="s">
        <v>37</v>
      </c>
      <c r="C583" t="s">
        <v>39</v>
      </c>
      <c r="D583" s="3">
        <v>40000</v>
      </c>
      <c r="E583">
        <v>0</v>
      </c>
      <c r="F583" t="s">
        <v>21</v>
      </c>
      <c r="G583" t="s">
        <v>16</v>
      </c>
      <c r="H583" t="s">
        <v>17</v>
      </c>
      <c r="I583">
        <v>1</v>
      </c>
      <c r="J583" t="s">
        <v>26</v>
      </c>
      <c r="K583" t="s">
        <v>35</v>
      </c>
      <c r="L583">
        <v>28</v>
      </c>
      <c r="M583" t="str" cm="1">
        <f t="array" ref="M583">_xlfn.IFS(
L583&lt;=12,"Children",
L583&lt;=19,"Teens",
L583&lt;=29,"Young Adults",
L583&lt;=39,"Adults",
L583&lt;=59,"Middle-Aged",
L583&gt;=60,"Seniors"
)</f>
        <v>Young Adults</v>
      </c>
      <c r="N583" t="s">
        <v>20</v>
      </c>
    </row>
    <row r="584" spans="1:14" x14ac:dyDescent="0.3">
      <c r="A584">
        <v>13749</v>
      </c>
      <c r="B584" t="s">
        <v>37</v>
      </c>
      <c r="C584" t="s">
        <v>39</v>
      </c>
      <c r="D584" s="3">
        <v>80000</v>
      </c>
      <c r="E584">
        <v>4</v>
      </c>
      <c r="F584" t="s">
        <v>34</v>
      </c>
      <c r="G584" t="s">
        <v>16</v>
      </c>
      <c r="H584" t="s">
        <v>17</v>
      </c>
      <c r="I584">
        <v>0</v>
      </c>
      <c r="J584" t="s">
        <v>29</v>
      </c>
      <c r="K584" t="s">
        <v>35</v>
      </c>
      <c r="L584">
        <v>47</v>
      </c>
      <c r="M584" t="str" cm="1">
        <f t="array" ref="M584">_xlfn.IFS(
L584&lt;=12,"Children",
L584&lt;=19,"Teens",
L584&lt;=29,"Young Adults",
L584&lt;=39,"Adults",
L584&lt;=59,"Middle-Aged",
L584&gt;=60,"Seniors"
)</f>
        <v>Middle-Aged</v>
      </c>
      <c r="N584" t="s">
        <v>20</v>
      </c>
    </row>
    <row r="585" spans="1:14" x14ac:dyDescent="0.3">
      <c r="A585">
        <v>24943</v>
      </c>
      <c r="B585" t="s">
        <v>37</v>
      </c>
      <c r="C585" t="s">
        <v>39</v>
      </c>
      <c r="D585" s="3">
        <v>60000</v>
      </c>
      <c r="E585">
        <v>3</v>
      </c>
      <c r="F585" t="s">
        <v>15</v>
      </c>
      <c r="G585" t="s">
        <v>31</v>
      </c>
      <c r="H585" t="s">
        <v>17</v>
      </c>
      <c r="I585">
        <v>2</v>
      </c>
      <c r="J585" t="s">
        <v>41</v>
      </c>
      <c r="K585" t="s">
        <v>35</v>
      </c>
      <c r="L585">
        <v>66</v>
      </c>
      <c r="M585" t="str" cm="1">
        <f t="array" ref="M585">_xlfn.IFS(
L585&lt;=12,"Children",
L585&lt;=19,"Teens",
L585&lt;=29,"Young Adults",
L585&lt;=39,"Adults",
L585&lt;=59,"Middle-Aged",
L585&gt;=60,"Seniors"
)</f>
        <v>Seniors</v>
      </c>
      <c r="N585" t="s">
        <v>20</v>
      </c>
    </row>
    <row r="586" spans="1:14" x14ac:dyDescent="0.3">
      <c r="A586">
        <v>28667</v>
      </c>
      <c r="B586" t="s">
        <v>40</v>
      </c>
      <c r="C586" t="s">
        <v>39</v>
      </c>
      <c r="D586" s="3">
        <v>70000</v>
      </c>
      <c r="E586">
        <v>2</v>
      </c>
      <c r="F586" t="s">
        <v>15</v>
      </c>
      <c r="G586" t="s">
        <v>16</v>
      </c>
      <c r="H586" t="s">
        <v>20</v>
      </c>
      <c r="I586">
        <v>1</v>
      </c>
      <c r="J586" t="s">
        <v>18</v>
      </c>
      <c r="K586" t="s">
        <v>35</v>
      </c>
      <c r="L586">
        <v>37</v>
      </c>
      <c r="M586" t="str" cm="1">
        <f t="array" ref="M586">_xlfn.IFS(
L586&lt;=12,"Children",
L586&lt;=19,"Teens",
L586&lt;=29,"Young Adults",
L586&lt;=39,"Adults",
L586&lt;=59,"Middle-Aged",
L586&gt;=60,"Seniors"
)</f>
        <v>Adults</v>
      </c>
      <c r="N586" t="s">
        <v>17</v>
      </c>
    </row>
    <row r="587" spans="1:14" x14ac:dyDescent="0.3">
      <c r="A587">
        <v>15194</v>
      </c>
      <c r="B587" t="s">
        <v>40</v>
      </c>
      <c r="C587" t="s">
        <v>39</v>
      </c>
      <c r="D587" s="3">
        <v>120000</v>
      </c>
      <c r="E587">
        <v>2</v>
      </c>
      <c r="F587" t="s">
        <v>15</v>
      </c>
      <c r="G587" t="s">
        <v>31</v>
      </c>
      <c r="H587" t="s">
        <v>20</v>
      </c>
      <c r="I587">
        <v>3</v>
      </c>
      <c r="J587" t="s">
        <v>18</v>
      </c>
      <c r="K587" t="s">
        <v>35</v>
      </c>
      <c r="L587">
        <v>39</v>
      </c>
      <c r="M587" t="str" cm="1">
        <f t="array" ref="M587">_xlfn.IFS(
L587&lt;=12,"Children",
L587&lt;=19,"Teens",
L587&lt;=29,"Young Adults",
L587&lt;=39,"Adults",
L587&lt;=59,"Middle-Aged",
L587&gt;=60,"Seniors"
)</f>
        <v>Adults</v>
      </c>
      <c r="N587" t="s">
        <v>17</v>
      </c>
    </row>
    <row r="588" spans="1:14" x14ac:dyDescent="0.3">
      <c r="A588">
        <v>17436</v>
      </c>
      <c r="B588" t="s">
        <v>37</v>
      </c>
      <c r="C588" t="s">
        <v>39</v>
      </c>
      <c r="D588" s="3">
        <v>60000</v>
      </c>
      <c r="E588">
        <v>2</v>
      </c>
      <c r="F588" t="s">
        <v>30</v>
      </c>
      <c r="G588" t="s">
        <v>23</v>
      </c>
      <c r="H588" t="s">
        <v>20</v>
      </c>
      <c r="I588">
        <v>2</v>
      </c>
      <c r="J588" t="s">
        <v>29</v>
      </c>
      <c r="K588" t="s">
        <v>35</v>
      </c>
      <c r="L588">
        <v>51</v>
      </c>
      <c r="M588" t="str" cm="1">
        <f t="array" ref="M588">_xlfn.IFS(
L588&lt;=12,"Children",
L588&lt;=19,"Teens",
L588&lt;=29,"Young Adults",
L588&lt;=39,"Adults",
L588&lt;=59,"Middle-Aged",
L588&gt;=60,"Seniors"
)</f>
        <v>Middle-Aged</v>
      </c>
      <c r="N588" t="s">
        <v>20</v>
      </c>
    </row>
    <row r="589" spans="1:14" x14ac:dyDescent="0.3">
      <c r="A589">
        <v>18935</v>
      </c>
      <c r="B589" t="s">
        <v>37</v>
      </c>
      <c r="C589" t="s">
        <v>38</v>
      </c>
      <c r="D589" s="3">
        <v>130000</v>
      </c>
      <c r="E589">
        <v>0</v>
      </c>
      <c r="F589" t="s">
        <v>34</v>
      </c>
      <c r="G589" t="s">
        <v>31</v>
      </c>
      <c r="H589" t="s">
        <v>17</v>
      </c>
      <c r="I589">
        <v>3</v>
      </c>
      <c r="J589" t="s">
        <v>29</v>
      </c>
      <c r="K589" t="s">
        <v>35</v>
      </c>
      <c r="L589">
        <v>40</v>
      </c>
      <c r="M589" t="str" cm="1">
        <f t="array" ref="M589">_xlfn.IFS(
L589&lt;=12,"Children",
L589&lt;=19,"Teens",
L589&lt;=29,"Young Adults",
L589&lt;=39,"Adults",
L589&lt;=59,"Middle-Aged",
L589&gt;=60,"Seniors"
)</f>
        <v>Middle-Aged</v>
      </c>
      <c r="N589" t="s">
        <v>20</v>
      </c>
    </row>
    <row r="590" spans="1:14" x14ac:dyDescent="0.3">
      <c r="A590">
        <v>16871</v>
      </c>
      <c r="B590" t="s">
        <v>37</v>
      </c>
      <c r="C590" t="s">
        <v>38</v>
      </c>
      <c r="D590" s="3">
        <v>90000</v>
      </c>
      <c r="E590">
        <v>2</v>
      </c>
      <c r="F590" t="s">
        <v>30</v>
      </c>
      <c r="G590" t="s">
        <v>23</v>
      </c>
      <c r="H590" t="s">
        <v>17</v>
      </c>
      <c r="I590">
        <v>1</v>
      </c>
      <c r="J590" t="s">
        <v>41</v>
      </c>
      <c r="K590" t="s">
        <v>35</v>
      </c>
      <c r="L590">
        <v>51</v>
      </c>
      <c r="M590" t="str" cm="1">
        <f t="array" ref="M590">_xlfn.IFS(
L590&lt;=12,"Children",
L590&lt;=19,"Teens",
L590&lt;=29,"Young Adults",
L590&lt;=39,"Adults",
L590&lt;=59,"Middle-Aged",
L590&gt;=60,"Seniors"
)</f>
        <v>Middle-Aged</v>
      </c>
      <c r="N590" t="s">
        <v>17</v>
      </c>
    </row>
    <row r="591" spans="1:14" x14ac:dyDescent="0.3">
      <c r="A591">
        <v>12100</v>
      </c>
      <c r="B591" t="s">
        <v>40</v>
      </c>
      <c r="C591" t="s">
        <v>39</v>
      </c>
      <c r="D591" s="3">
        <v>60000</v>
      </c>
      <c r="E591">
        <v>2</v>
      </c>
      <c r="F591" t="s">
        <v>15</v>
      </c>
      <c r="G591" t="s">
        <v>31</v>
      </c>
      <c r="H591" t="s">
        <v>17</v>
      </c>
      <c r="I591">
        <v>0</v>
      </c>
      <c r="J591" t="s">
        <v>41</v>
      </c>
      <c r="K591" t="s">
        <v>35</v>
      </c>
      <c r="L591">
        <v>57</v>
      </c>
      <c r="M591" t="str" cm="1">
        <f t="array" ref="M591">_xlfn.IFS(
L591&lt;=12,"Children",
L591&lt;=19,"Teens",
L591&lt;=29,"Young Adults",
L591&lt;=39,"Adults",
L591&lt;=59,"Middle-Aged",
L591&gt;=60,"Seniors"
)</f>
        <v>Middle-Aged</v>
      </c>
      <c r="N591" t="s">
        <v>20</v>
      </c>
    </row>
    <row r="592" spans="1:14" x14ac:dyDescent="0.3">
      <c r="A592">
        <v>23158</v>
      </c>
      <c r="B592" t="s">
        <v>37</v>
      </c>
      <c r="C592" t="s">
        <v>38</v>
      </c>
      <c r="D592" s="3">
        <v>60000</v>
      </c>
      <c r="E592">
        <v>1</v>
      </c>
      <c r="F592" t="s">
        <v>34</v>
      </c>
      <c r="G592" t="s">
        <v>23</v>
      </c>
      <c r="H592" t="s">
        <v>20</v>
      </c>
      <c r="I592">
        <v>0</v>
      </c>
      <c r="J592" t="s">
        <v>18</v>
      </c>
      <c r="K592" t="s">
        <v>35</v>
      </c>
      <c r="L592">
        <v>35</v>
      </c>
      <c r="M592" t="str" cm="1">
        <f t="array" ref="M592">_xlfn.IFS(
L592&lt;=12,"Children",
L592&lt;=19,"Teens",
L592&lt;=29,"Young Adults",
L592&lt;=39,"Adults",
L592&lt;=59,"Middle-Aged",
L592&gt;=60,"Seniors"
)</f>
        <v>Adults</v>
      </c>
      <c r="N592" t="s">
        <v>17</v>
      </c>
    </row>
    <row r="593" spans="1:14" x14ac:dyDescent="0.3">
      <c r="A593">
        <v>18545</v>
      </c>
      <c r="B593" t="s">
        <v>37</v>
      </c>
      <c r="C593" t="s">
        <v>39</v>
      </c>
      <c r="D593" s="3">
        <v>40000</v>
      </c>
      <c r="E593">
        <v>4</v>
      </c>
      <c r="F593" t="s">
        <v>30</v>
      </c>
      <c r="G593" t="s">
        <v>23</v>
      </c>
      <c r="H593" t="s">
        <v>20</v>
      </c>
      <c r="I593">
        <v>2</v>
      </c>
      <c r="J593" t="s">
        <v>41</v>
      </c>
      <c r="K593" t="s">
        <v>35</v>
      </c>
      <c r="L593">
        <v>61</v>
      </c>
      <c r="M593" t="str" cm="1">
        <f t="array" ref="M593">_xlfn.IFS(
L593&lt;=12,"Children",
L593&lt;=19,"Teens",
L593&lt;=29,"Young Adults",
L593&lt;=39,"Adults",
L593&lt;=59,"Middle-Aged",
L593&gt;=60,"Seniors"
)</f>
        <v>Seniors</v>
      </c>
      <c r="N593" t="s">
        <v>17</v>
      </c>
    </row>
    <row r="594" spans="1:14" x14ac:dyDescent="0.3">
      <c r="A594">
        <v>18391</v>
      </c>
      <c r="B594" t="s">
        <v>40</v>
      </c>
      <c r="C594" t="s">
        <v>38</v>
      </c>
      <c r="D594" s="3">
        <v>80000</v>
      </c>
      <c r="E594">
        <v>5</v>
      </c>
      <c r="F594" t="s">
        <v>21</v>
      </c>
      <c r="G594" t="s">
        <v>23</v>
      </c>
      <c r="H594" t="s">
        <v>17</v>
      </c>
      <c r="I594">
        <v>2</v>
      </c>
      <c r="J594" t="s">
        <v>26</v>
      </c>
      <c r="K594" t="s">
        <v>35</v>
      </c>
      <c r="L594">
        <v>44</v>
      </c>
      <c r="M594" t="str" cm="1">
        <f t="array" ref="M594">_xlfn.IFS(
L594&lt;=12,"Children",
L594&lt;=19,"Teens",
L594&lt;=29,"Young Adults",
L594&lt;=39,"Adults",
L594&lt;=59,"Middle-Aged",
L594&gt;=60,"Seniors"
)</f>
        <v>Middle-Aged</v>
      </c>
      <c r="N594" t="s">
        <v>20</v>
      </c>
    </row>
    <row r="595" spans="1:14" x14ac:dyDescent="0.3">
      <c r="A595">
        <v>19812</v>
      </c>
      <c r="B595" t="s">
        <v>40</v>
      </c>
      <c r="C595" t="s">
        <v>38</v>
      </c>
      <c r="D595" s="3">
        <v>70000</v>
      </c>
      <c r="E595">
        <v>2</v>
      </c>
      <c r="F595" t="s">
        <v>21</v>
      </c>
      <c r="G595" t="s">
        <v>23</v>
      </c>
      <c r="H595" t="s">
        <v>17</v>
      </c>
      <c r="I595">
        <v>0</v>
      </c>
      <c r="J595" t="s">
        <v>26</v>
      </c>
      <c r="K595" t="s">
        <v>35</v>
      </c>
      <c r="L595">
        <v>49</v>
      </c>
      <c r="M595" t="str" cm="1">
        <f t="array" ref="M595">_xlfn.IFS(
L595&lt;=12,"Children",
L595&lt;=19,"Teens",
L595&lt;=29,"Young Adults",
L595&lt;=39,"Adults",
L595&lt;=59,"Middle-Aged",
L595&gt;=60,"Seniors"
)</f>
        <v>Middle-Aged</v>
      </c>
      <c r="N595" t="s">
        <v>17</v>
      </c>
    </row>
    <row r="596" spans="1:14" x14ac:dyDescent="0.3">
      <c r="A596">
        <v>27660</v>
      </c>
      <c r="B596" t="s">
        <v>37</v>
      </c>
      <c r="C596" t="s">
        <v>39</v>
      </c>
      <c r="D596" s="3">
        <v>80000</v>
      </c>
      <c r="E596">
        <v>4</v>
      </c>
      <c r="F596" t="s">
        <v>34</v>
      </c>
      <c r="G596" t="s">
        <v>31</v>
      </c>
      <c r="H596" t="s">
        <v>17</v>
      </c>
      <c r="I596">
        <v>2</v>
      </c>
      <c r="J596" t="s">
        <v>26</v>
      </c>
      <c r="K596" t="s">
        <v>35</v>
      </c>
      <c r="L596">
        <v>70</v>
      </c>
      <c r="M596" t="str" cm="1">
        <f t="array" ref="M596">_xlfn.IFS(
L596&lt;=12,"Children",
L596&lt;=19,"Teens",
L596&lt;=29,"Young Adults",
L596&lt;=39,"Adults",
L596&lt;=59,"Middle-Aged",
L596&gt;=60,"Seniors"
)</f>
        <v>Seniors</v>
      </c>
      <c r="N596" t="s">
        <v>20</v>
      </c>
    </row>
    <row r="597" spans="1:14" x14ac:dyDescent="0.3">
      <c r="A597">
        <v>18058</v>
      </c>
      <c r="B597" t="s">
        <v>40</v>
      </c>
      <c r="C597" t="s">
        <v>38</v>
      </c>
      <c r="D597" s="3">
        <v>20000</v>
      </c>
      <c r="E597">
        <v>3</v>
      </c>
      <c r="F597" t="s">
        <v>30</v>
      </c>
      <c r="G597" t="s">
        <v>16</v>
      </c>
      <c r="H597" t="s">
        <v>17</v>
      </c>
      <c r="I597">
        <v>2</v>
      </c>
      <c r="J597" t="s">
        <v>24</v>
      </c>
      <c r="K597" t="s">
        <v>35</v>
      </c>
      <c r="L597">
        <v>78</v>
      </c>
      <c r="M597" t="str" cm="1">
        <f t="array" ref="M597">_xlfn.IFS(
L597&lt;=12,"Children",
L597&lt;=19,"Teens",
L597&lt;=29,"Young Adults",
L597&lt;=39,"Adults",
L597&lt;=59,"Middle-Aged",
L597&gt;=60,"Seniors"
)</f>
        <v>Seniors</v>
      </c>
      <c r="N597" t="s">
        <v>20</v>
      </c>
    </row>
    <row r="598" spans="1:14" x14ac:dyDescent="0.3">
      <c r="A598">
        <v>20343</v>
      </c>
      <c r="B598" t="s">
        <v>37</v>
      </c>
      <c r="C598" t="s">
        <v>38</v>
      </c>
      <c r="D598" s="3">
        <v>90000</v>
      </c>
      <c r="E598">
        <v>4</v>
      </c>
      <c r="F598" t="s">
        <v>21</v>
      </c>
      <c r="G598" t="s">
        <v>23</v>
      </c>
      <c r="H598" t="s">
        <v>17</v>
      </c>
      <c r="I598">
        <v>1</v>
      </c>
      <c r="J598" t="s">
        <v>29</v>
      </c>
      <c r="K598" t="s">
        <v>35</v>
      </c>
      <c r="L598">
        <v>45</v>
      </c>
      <c r="M598" t="str" cm="1">
        <f t="array" ref="M598">_xlfn.IFS(
L598&lt;=12,"Children",
L598&lt;=19,"Teens",
L598&lt;=29,"Young Adults",
L598&lt;=39,"Adults",
L598&lt;=59,"Middle-Aged",
L598&gt;=60,"Seniors"
)</f>
        <v>Middle-Aged</v>
      </c>
      <c r="N598" t="s">
        <v>20</v>
      </c>
    </row>
    <row r="599" spans="1:14" x14ac:dyDescent="0.3">
      <c r="A599">
        <v>28997</v>
      </c>
      <c r="B599" t="s">
        <v>40</v>
      </c>
      <c r="C599" t="s">
        <v>39</v>
      </c>
      <c r="D599" s="3">
        <v>40000</v>
      </c>
      <c r="E599">
        <v>2</v>
      </c>
      <c r="F599" t="s">
        <v>30</v>
      </c>
      <c r="G599" t="s">
        <v>23</v>
      </c>
      <c r="H599" t="s">
        <v>20</v>
      </c>
      <c r="I599">
        <v>1</v>
      </c>
      <c r="J599" t="s">
        <v>24</v>
      </c>
      <c r="K599" t="s">
        <v>35</v>
      </c>
      <c r="L599">
        <v>58</v>
      </c>
      <c r="M599" t="str" cm="1">
        <f t="array" ref="M599">_xlfn.IFS(
L599&lt;=12,"Children",
L599&lt;=19,"Teens",
L599&lt;=29,"Young Adults",
L599&lt;=39,"Adults",
L599&lt;=59,"Middle-Aged",
L599&gt;=60,"Seniors"
)</f>
        <v>Middle-Aged</v>
      </c>
      <c r="N599" t="s">
        <v>17</v>
      </c>
    </row>
    <row r="600" spans="1:14" x14ac:dyDescent="0.3">
      <c r="A600">
        <v>24398</v>
      </c>
      <c r="B600" t="s">
        <v>37</v>
      </c>
      <c r="C600" t="s">
        <v>39</v>
      </c>
      <c r="D600" s="3">
        <v>130000</v>
      </c>
      <c r="E600">
        <v>1</v>
      </c>
      <c r="F600" t="s">
        <v>34</v>
      </c>
      <c r="G600" t="s">
        <v>31</v>
      </c>
      <c r="H600" t="s">
        <v>17</v>
      </c>
      <c r="I600">
        <v>4</v>
      </c>
      <c r="J600" t="s">
        <v>18</v>
      </c>
      <c r="K600" t="s">
        <v>35</v>
      </c>
      <c r="L600">
        <v>41</v>
      </c>
      <c r="M600" t="str" cm="1">
        <f t="array" ref="M600">_xlfn.IFS(
L600&lt;=12,"Children",
L600&lt;=19,"Teens",
L600&lt;=29,"Young Adults",
L600&lt;=39,"Adults",
L600&lt;=59,"Middle-Aged",
L600&gt;=60,"Seniors"
)</f>
        <v>Middle-Aged</v>
      </c>
      <c r="N600" t="s">
        <v>20</v>
      </c>
    </row>
    <row r="601" spans="1:14" x14ac:dyDescent="0.3">
      <c r="A601">
        <v>19002</v>
      </c>
      <c r="B601" t="s">
        <v>37</v>
      </c>
      <c r="C601" t="s">
        <v>38</v>
      </c>
      <c r="D601" s="3">
        <v>60000</v>
      </c>
      <c r="E601">
        <v>2</v>
      </c>
      <c r="F601" t="s">
        <v>21</v>
      </c>
      <c r="G601" t="s">
        <v>23</v>
      </c>
      <c r="H601" t="s">
        <v>17</v>
      </c>
      <c r="I601">
        <v>1</v>
      </c>
      <c r="J601" t="s">
        <v>24</v>
      </c>
      <c r="K601" t="s">
        <v>35</v>
      </c>
      <c r="L601">
        <v>57</v>
      </c>
      <c r="M601" t="str" cm="1">
        <f t="array" ref="M601">_xlfn.IFS(
L601&lt;=12,"Children",
L601&lt;=19,"Teens",
L601&lt;=29,"Young Adults",
L601&lt;=39,"Adults",
L601&lt;=59,"Middle-Aged",
L601&gt;=60,"Seniors"
)</f>
        <v>Middle-Aged</v>
      </c>
      <c r="N601" t="s">
        <v>17</v>
      </c>
    </row>
    <row r="602" spans="1:14" x14ac:dyDescent="0.3">
      <c r="A602">
        <v>28609</v>
      </c>
      <c r="B602" t="s">
        <v>37</v>
      </c>
      <c r="C602" t="s">
        <v>39</v>
      </c>
      <c r="D602" s="3">
        <v>30000</v>
      </c>
      <c r="E602">
        <v>2</v>
      </c>
      <c r="F602" t="s">
        <v>30</v>
      </c>
      <c r="G602" t="s">
        <v>16</v>
      </c>
      <c r="H602" t="s">
        <v>20</v>
      </c>
      <c r="I602">
        <v>2</v>
      </c>
      <c r="J602" t="s">
        <v>18</v>
      </c>
      <c r="K602" t="s">
        <v>35</v>
      </c>
      <c r="L602">
        <v>49</v>
      </c>
      <c r="M602" t="str" cm="1">
        <f t="array" ref="M602">_xlfn.IFS(
L602&lt;=12,"Children",
L602&lt;=19,"Teens",
L602&lt;=29,"Young Adults",
L602&lt;=39,"Adults",
L602&lt;=59,"Middle-Aged",
L602&gt;=60,"Seniors"
)</f>
        <v>Middle-Aged</v>
      </c>
      <c r="N602" t="s">
        <v>20</v>
      </c>
    </row>
    <row r="603" spans="1:14" x14ac:dyDescent="0.3">
      <c r="A603">
        <v>29231</v>
      </c>
      <c r="B603" t="s">
        <v>40</v>
      </c>
      <c r="C603" t="s">
        <v>39</v>
      </c>
      <c r="D603" s="3">
        <v>80000</v>
      </c>
      <c r="E603">
        <v>4</v>
      </c>
      <c r="F603" t="s">
        <v>21</v>
      </c>
      <c r="G603" t="s">
        <v>23</v>
      </c>
      <c r="H603" t="s">
        <v>20</v>
      </c>
      <c r="I603">
        <v>2</v>
      </c>
      <c r="J603" t="s">
        <v>18</v>
      </c>
      <c r="K603" t="s">
        <v>35</v>
      </c>
      <c r="L603">
        <v>43</v>
      </c>
      <c r="M603" t="str" cm="1">
        <f t="array" ref="M603">_xlfn.IFS(
L603&lt;=12,"Children",
L603&lt;=19,"Teens",
L603&lt;=29,"Young Adults",
L603&lt;=39,"Adults",
L603&lt;=59,"Middle-Aged",
L603&gt;=60,"Seniors"
)</f>
        <v>Middle-Aged</v>
      </c>
      <c r="N603" t="s">
        <v>20</v>
      </c>
    </row>
    <row r="604" spans="1:14" x14ac:dyDescent="0.3">
      <c r="A604">
        <v>18858</v>
      </c>
      <c r="B604" t="s">
        <v>40</v>
      </c>
      <c r="C604" t="s">
        <v>39</v>
      </c>
      <c r="D604" s="3">
        <v>60000</v>
      </c>
      <c r="E604">
        <v>2</v>
      </c>
      <c r="F604" t="s">
        <v>32</v>
      </c>
      <c r="G604" t="s">
        <v>16</v>
      </c>
      <c r="H604" t="s">
        <v>17</v>
      </c>
      <c r="I604">
        <v>2</v>
      </c>
      <c r="J604" t="s">
        <v>26</v>
      </c>
      <c r="K604" t="s">
        <v>35</v>
      </c>
      <c r="L604">
        <v>52</v>
      </c>
      <c r="M604" t="str" cm="1">
        <f t="array" ref="M604">_xlfn.IFS(
L604&lt;=12,"Children",
L604&lt;=19,"Teens",
L604&lt;=29,"Young Adults",
L604&lt;=39,"Adults",
L604&lt;=59,"Middle-Aged",
L604&gt;=60,"Seniors"
)</f>
        <v>Middle-Aged</v>
      </c>
      <c r="N604" t="s">
        <v>17</v>
      </c>
    </row>
    <row r="605" spans="1:14" x14ac:dyDescent="0.3">
      <c r="A605">
        <v>20000</v>
      </c>
      <c r="B605" t="s">
        <v>37</v>
      </c>
      <c r="C605" t="s">
        <v>39</v>
      </c>
      <c r="D605" s="3">
        <v>60000</v>
      </c>
      <c r="E605">
        <v>1</v>
      </c>
      <c r="F605" t="s">
        <v>34</v>
      </c>
      <c r="G605" t="s">
        <v>23</v>
      </c>
      <c r="H605" t="s">
        <v>17</v>
      </c>
      <c r="I605">
        <v>0</v>
      </c>
      <c r="J605" t="s">
        <v>18</v>
      </c>
      <c r="K605" t="s">
        <v>35</v>
      </c>
      <c r="L605">
        <v>35</v>
      </c>
      <c r="M605" t="str" cm="1">
        <f t="array" ref="M605">_xlfn.IFS(
L605&lt;=12,"Children",
L605&lt;=19,"Teens",
L605&lt;=29,"Young Adults",
L605&lt;=39,"Adults",
L605&lt;=59,"Middle-Aged",
L605&gt;=60,"Seniors"
)</f>
        <v>Adults</v>
      </c>
      <c r="N605" t="s">
        <v>17</v>
      </c>
    </row>
    <row r="606" spans="1:14" x14ac:dyDescent="0.3">
      <c r="A606">
        <v>25261</v>
      </c>
      <c r="B606" t="s">
        <v>37</v>
      </c>
      <c r="C606" t="s">
        <v>39</v>
      </c>
      <c r="D606" s="3">
        <v>40000</v>
      </c>
      <c r="E606">
        <v>0</v>
      </c>
      <c r="F606" t="s">
        <v>30</v>
      </c>
      <c r="G606" t="s">
        <v>16</v>
      </c>
      <c r="H606" t="s">
        <v>17</v>
      </c>
      <c r="I606">
        <v>2</v>
      </c>
      <c r="J606" t="s">
        <v>26</v>
      </c>
      <c r="K606" t="s">
        <v>35</v>
      </c>
      <c r="L606">
        <v>27</v>
      </c>
      <c r="M606" t="str" cm="1">
        <f t="array" ref="M606">_xlfn.IFS(
L606&lt;=12,"Children",
L606&lt;=19,"Teens",
L606&lt;=29,"Young Adults",
L606&lt;=39,"Adults",
L606&lt;=59,"Middle-Aged",
L606&gt;=60,"Seniors"
)</f>
        <v>Young Adults</v>
      </c>
      <c r="N606" t="s">
        <v>20</v>
      </c>
    </row>
    <row r="607" spans="1:14" x14ac:dyDescent="0.3">
      <c r="A607">
        <v>17458</v>
      </c>
      <c r="B607" t="s">
        <v>40</v>
      </c>
      <c r="C607" t="s">
        <v>39</v>
      </c>
      <c r="D607" s="3">
        <v>70000</v>
      </c>
      <c r="E607">
        <v>3</v>
      </c>
      <c r="F607" t="s">
        <v>30</v>
      </c>
      <c r="G607" t="s">
        <v>23</v>
      </c>
      <c r="H607" t="s">
        <v>17</v>
      </c>
      <c r="I607">
        <v>0</v>
      </c>
      <c r="J607" t="s">
        <v>26</v>
      </c>
      <c r="K607" t="s">
        <v>35</v>
      </c>
      <c r="L607">
        <v>52</v>
      </c>
      <c r="M607" t="str" cm="1">
        <f t="array" ref="M607">_xlfn.IFS(
L607&lt;=12,"Children",
L607&lt;=19,"Teens",
L607&lt;=29,"Young Adults",
L607&lt;=39,"Adults",
L607&lt;=59,"Middle-Aged",
L607&gt;=60,"Seniors"
)</f>
        <v>Middle-Aged</v>
      </c>
      <c r="N607" t="s">
        <v>17</v>
      </c>
    </row>
    <row r="608" spans="1:14" x14ac:dyDescent="0.3">
      <c r="A608">
        <v>11644</v>
      </c>
      <c r="B608" t="s">
        <v>40</v>
      </c>
      <c r="C608" t="s">
        <v>39</v>
      </c>
      <c r="D608" s="3">
        <v>40000</v>
      </c>
      <c r="E608">
        <v>2</v>
      </c>
      <c r="F608" t="s">
        <v>15</v>
      </c>
      <c r="G608" t="s">
        <v>16</v>
      </c>
      <c r="H608" t="s">
        <v>17</v>
      </c>
      <c r="I608">
        <v>0</v>
      </c>
      <c r="J608" t="s">
        <v>24</v>
      </c>
      <c r="K608" t="s">
        <v>35</v>
      </c>
      <c r="L608">
        <v>36</v>
      </c>
      <c r="M608" t="str" cm="1">
        <f t="array" ref="M608">_xlfn.IFS(
L608&lt;=12,"Children",
L608&lt;=19,"Teens",
L608&lt;=29,"Young Adults",
L608&lt;=39,"Adults",
L608&lt;=59,"Middle-Aged",
L608&gt;=60,"Seniors"
)</f>
        <v>Adults</v>
      </c>
      <c r="N608" t="s">
        <v>20</v>
      </c>
    </row>
    <row r="609" spans="1:14" x14ac:dyDescent="0.3">
      <c r="A609">
        <v>16145</v>
      </c>
      <c r="B609" t="s">
        <v>40</v>
      </c>
      <c r="C609" t="s">
        <v>38</v>
      </c>
      <c r="D609" s="3">
        <v>70000</v>
      </c>
      <c r="E609">
        <v>5</v>
      </c>
      <c r="F609" t="s">
        <v>34</v>
      </c>
      <c r="G609" t="s">
        <v>23</v>
      </c>
      <c r="H609" t="s">
        <v>17</v>
      </c>
      <c r="I609">
        <v>3</v>
      </c>
      <c r="J609" t="s">
        <v>41</v>
      </c>
      <c r="K609" t="s">
        <v>35</v>
      </c>
      <c r="L609">
        <v>46</v>
      </c>
      <c r="M609" t="str" cm="1">
        <f t="array" ref="M609">_xlfn.IFS(
L609&lt;=12,"Children",
L609&lt;=19,"Teens",
L609&lt;=29,"Young Adults",
L609&lt;=39,"Adults",
L609&lt;=59,"Middle-Aged",
L609&gt;=60,"Seniors"
)</f>
        <v>Middle-Aged</v>
      </c>
      <c r="N609" t="s">
        <v>17</v>
      </c>
    </row>
    <row r="610" spans="1:14" x14ac:dyDescent="0.3">
      <c r="A610">
        <v>16890</v>
      </c>
      <c r="B610" t="s">
        <v>37</v>
      </c>
      <c r="C610" t="s">
        <v>39</v>
      </c>
      <c r="D610" s="3">
        <v>60000</v>
      </c>
      <c r="E610">
        <v>3</v>
      </c>
      <c r="F610" t="s">
        <v>32</v>
      </c>
      <c r="G610" t="s">
        <v>16</v>
      </c>
      <c r="H610" t="s">
        <v>17</v>
      </c>
      <c r="I610">
        <v>2</v>
      </c>
      <c r="J610" t="s">
        <v>26</v>
      </c>
      <c r="K610" t="s">
        <v>35</v>
      </c>
      <c r="L610">
        <v>52</v>
      </c>
      <c r="M610" t="str" cm="1">
        <f t="array" ref="M610">_xlfn.IFS(
L610&lt;=12,"Children",
L610&lt;=19,"Teens",
L610&lt;=29,"Young Adults",
L610&lt;=39,"Adults",
L610&lt;=59,"Middle-Aged",
L610&gt;=60,"Seniors"
)</f>
        <v>Middle-Aged</v>
      </c>
      <c r="N610" t="s">
        <v>17</v>
      </c>
    </row>
    <row r="611" spans="1:14" x14ac:dyDescent="0.3">
      <c r="A611">
        <v>25983</v>
      </c>
      <c r="B611" t="s">
        <v>37</v>
      </c>
      <c r="C611" t="s">
        <v>39</v>
      </c>
      <c r="D611" s="3">
        <v>70000</v>
      </c>
      <c r="E611">
        <v>0</v>
      </c>
      <c r="F611" t="s">
        <v>15</v>
      </c>
      <c r="G611" t="s">
        <v>23</v>
      </c>
      <c r="H611" t="s">
        <v>20</v>
      </c>
      <c r="I611">
        <v>1</v>
      </c>
      <c r="J611" t="s">
        <v>18</v>
      </c>
      <c r="K611" t="s">
        <v>35</v>
      </c>
      <c r="L611">
        <v>43</v>
      </c>
      <c r="M611" t="str" cm="1">
        <f t="array" ref="M611">_xlfn.IFS(
L611&lt;=12,"Children",
L611&lt;=19,"Teens",
L611&lt;=29,"Young Adults",
L611&lt;=39,"Adults",
L611&lt;=59,"Middle-Aged",
L611&gt;=60,"Seniors"
)</f>
        <v>Middle-Aged</v>
      </c>
      <c r="N611" t="s">
        <v>20</v>
      </c>
    </row>
    <row r="612" spans="1:14" x14ac:dyDescent="0.3">
      <c r="A612">
        <v>14633</v>
      </c>
      <c r="B612" t="s">
        <v>37</v>
      </c>
      <c r="C612" t="s">
        <v>39</v>
      </c>
      <c r="D612" s="3">
        <v>60000</v>
      </c>
      <c r="E612">
        <v>1</v>
      </c>
      <c r="F612" t="s">
        <v>21</v>
      </c>
      <c r="G612" t="s">
        <v>16</v>
      </c>
      <c r="H612" t="s">
        <v>17</v>
      </c>
      <c r="I612">
        <v>1</v>
      </c>
      <c r="J612" t="s">
        <v>24</v>
      </c>
      <c r="K612" t="s">
        <v>35</v>
      </c>
      <c r="L612">
        <v>44</v>
      </c>
      <c r="M612" t="str" cm="1">
        <f t="array" ref="M612">_xlfn.IFS(
L612&lt;=12,"Children",
L612&lt;=19,"Teens",
L612&lt;=29,"Young Adults",
L612&lt;=39,"Adults",
L612&lt;=59,"Middle-Aged",
L612&gt;=60,"Seniors"
)</f>
        <v>Middle-Aged</v>
      </c>
      <c r="N612" t="s">
        <v>20</v>
      </c>
    </row>
    <row r="613" spans="1:14" x14ac:dyDescent="0.3">
      <c r="A613">
        <v>22994</v>
      </c>
      <c r="B613" t="s">
        <v>37</v>
      </c>
      <c r="C613" t="s">
        <v>38</v>
      </c>
      <c r="D613" s="3">
        <v>80000</v>
      </c>
      <c r="E613">
        <v>0</v>
      </c>
      <c r="F613" t="s">
        <v>15</v>
      </c>
      <c r="G613" t="s">
        <v>31</v>
      </c>
      <c r="H613" t="s">
        <v>17</v>
      </c>
      <c r="I613">
        <v>1</v>
      </c>
      <c r="J613" t="s">
        <v>29</v>
      </c>
      <c r="K613" t="s">
        <v>35</v>
      </c>
      <c r="L613">
        <v>34</v>
      </c>
      <c r="M613" t="str" cm="1">
        <f t="array" ref="M613">_xlfn.IFS(
L613&lt;=12,"Children",
L613&lt;=19,"Teens",
L613&lt;=29,"Young Adults",
L613&lt;=39,"Adults",
L613&lt;=59,"Middle-Aged",
L613&gt;=60,"Seniors"
)</f>
        <v>Adults</v>
      </c>
      <c r="N613" t="s">
        <v>17</v>
      </c>
    </row>
    <row r="614" spans="1:14" x14ac:dyDescent="0.3">
      <c r="A614">
        <v>22983</v>
      </c>
      <c r="B614" t="s">
        <v>40</v>
      </c>
      <c r="C614" t="s">
        <v>38</v>
      </c>
      <c r="D614" s="3">
        <v>30000</v>
      </c>
      <c r="E614">
        <v>0</v>
      </c>
      <c r="F614" t="s">
        <v>32</v>
      </c>
      <c r="G614" t="s">
        <v>22</v>
      </c>
      <c r="H614" t="s">
        <v>17</v>
      </c>
      <c r="I614">
        <v>2</v>
      </c>
      <c r="J614" t="s">
        <v>26</v>
      </c>
      <c r="K614" t="s">
        <v>35</v>
      </c>
      <c r="L614">
        <v>27</v>
      </c>
      <c r="M614" t="str" cm="1">
        <f t="array" ref="M614">_xlfn.IFS(
L614&lt;=12,"Children",
L614&lt;=19,"Teens",
L614&lt;=29,"Young Adults",
L614&lt;=39,"Adults",
L614&lt;=59,"Middle-Aged",
L614&gt;=60,"Seniors"
)</f>
        <v>Young Adults</v>
      </c>
      <c r="N614" t="s">
        <v>20</v>
      </c>
    </row>
    <row r="615" spans="1:14" x14ac:dyDescent="0.3">
      <c r="A615">
        <v>25184</v>
      </c>
      <c r="B615" t="s">
        <v>40</v>
      </c>
      <c r="C615" t="s">
        <v>39</v>
      </c>
      <c r="D615" s="3">
        <v>110000</v>
      </c>
      <c r="E615">
        <v>1</v>
      </c>
      <c r="F615" t="s">
        <v>21</v>
      </c>
      <c r="G615" t="s">
        <v>23</v>
      </c>
      <c r="H615" t="s">
        <v>17</v>
      </c>
      <c r="I615">
        <v>4</v>
      </c>
      <c r="J615" t="s">
        <v>26</v>
      </c>
      <c r="K615" t="s">
        <v>35</v>
      </c>
      <c r="L615">
        <v>45</v>
      </c>
      <c r="M615" t="str" cm="1">
        <f t="array" ref="M615">_xlfn.IFS(
L615&lt;=12,"Children",
L615&lt;=19,"Teens",
L615&lt;=29,"Young Adults",
L615&lt;=39,"Adults",
L615&lt;=59,"Middle-Aged",
L615&gt;=60,"Seniors"
)</f>
        <v>Middle-Aged</v>
      </c>
      <c r="N615" t="s">
        <v>17</v>
      </c>
    </row>
    <row r="616" spans="1:14" x14ac:dyDescent="0.3">
      <c r="A616">
        <v>14469</v>
      </c>
      <c r="B616" t="s">
        <v>37</v>
      </c>
      <c r="C616" t="s">
        <v>38</v>
      </c>
      <c r="D616" s="3">
        <v>100000</v>
      </c>
      <c r="E616">
        <v>3</v>
      </c>
      <c r="F616" t="s">
        <v>21</v>
      </c>
      <c r="G616" t="s">
        <v>23</v>
      </c>
      <c r="H616" t="s">
        <v>17</v>
      </c>
      <c r="I616">
        <v>4</v>
      </c>
      <c r="J616" t="s">
        <v>29</v>
      </c>
      <c r="K616" t="s">
        <v>35</v>
      </c>
      <c r="L616">
        <v>45</v>
      </c>
      <c r="M616" t="str" cm="1">
        <f t="array" ref="M616">_xlfn.IFS(
L616&lt;=12,"Children",
L616&lt;=19,"Teens",
L616&lt;=29,"Young Adults",
L616&lt;=39,"Adults",
L616&lt;=59,"Middle-Aged",
L616&gt;=60,"Seniors"
)</f>
        <v>Middle-Aged</v>
      </c>
      <c r="N616" t="s">
        <v>20</v>
      </c>
    </row>
    <row r="617" spans="1:14" x14ac:dyDescent="0.3">
      <c r="A617">
        <v>11538</v>
      </c>
      <c r="B617" t="s">
        <v>40</v>
      </c>
      <c r="C617" t="s">
        <v>38</v>
      </c>
      <c r="D617" s="3">
        <v>60000</v>
      </c>
      <c r="E617">
        <v>4</v>
      </c>
      <c r="F617" t="s">
        <v>34</v>
      </c>
      <c r="G617" t="s">
        <v>16</v>
      </c>
      <c r="H617" t="s">
        <v>20</v>
      </c>
      <c r="I617">
        <v>0</v>
      </c>
      <c r="J617" t="s">
        <v>18</v>
      </c>
      <c r="K617" t="s">
        <v>35</v>
      </c>
      <c r="L617">
        <v>47</v>
      </c>
      <c r="M617" t="str" cm="1">
        <f t="array" ref="M617">_xlfn.IFS(
L617&lt;=12,"Children",
L617&lt;=19,"Teens",
L617&lt;=29,"Young Adults",
L617&lt;=39,"Adults",
L617&lt;=59,"Middle-Aged",
L617&gt;=60,"Seniors"
)</f>
        <v>Middle-Aged</v>
      </c>
      <c r="N617" t="s">
        <v>17</v>
      </c>
    </row>
    <row r="618" spans="1:14" x14ac:dyDescent="0.3">
      <c r="A618">
        <v>16245</v>
      </c>
      <c r="B618" t="s">
        <v>40</v>
      </c>
      <c r="C618" t="s">
        <v>38</v>
      </c>
      <c r="D618" s="3">
        <v>80000</v>
      </c>
      <c r="E618">
        <v>4</v>
      </c>
      <c r="F618" t="s">
        <v>34</v>
      </c>
      <c r="G618" t="s">
        <v>16</v>
      </c>
      <c r="H618" t="s">
        <v>17</v>
      </c>
      <c r="I618">
        <v>0</v>
      </c>
      <c r="J618" t="s">
        <v>29</v>
      </c>
      <c r="K618" t="s">
        <v>35</v>
      </c>
      <c r="L618">
        <v>47</v>
      </c>
      <c r="M618" t="str" cm="1">
        <f t="array" ref="M618">_xlfn.IFS(
L618&lt;=12,"Children",
L618&lt;=19,"Teens",
L618&lt;=29,"Young Adults",
L618&lt;=39,"Adults",
L618&lt;=59,"Middle-Aged",
L618&gt;=60,"Seniors"
)</f>
        <v>Middle-Aged</v>
      </c>
      <c r="N618" t="s">
        <v>20</v>
      </c>
    </row>
    <row r="619" spans="1:14" x14ac:dyDescent="0.3">
      <c r="A619">
        <v>17858</v>
      </c>
      <c r="B619" t="s">
        <v>37</v>
      </c>
      <c r="C619" t="s">
        <v>39</v>
      </c>
      <c r="D619" s="3">
        <v>40000</v>
      </c>
      <c r="E619">
        <v>4</v>
      </c>
      <c r="F619" t="s">
        <v>30</v>
      </c>
      <c r="G619" t="s">
        <v>16</v>
      </c>
      <c r="H619" t="s">
        <v>17</v>
      </c>
      <c r="I619">
        <v>2</v>
      </c>
      <c r="J619" t="s">
        <v>24</v>
      </c>
      <c r="K619" t="s">
        <v>35</v>
      </c>
      <c r="L619">
        <v>44</v>
      </c>
      <c r="M619" t="str" cm="1">
        <f t="array" ref="M619">_xlfn.IFS(
L619&lt;=12,"Children",
L619&lt;=19,"Teens",
L619&lt;=29,"Young Adults",
L619&lt;=39,"Adults",
L619&lt;=59,"Middle-Aged",
L619&gt;=60,"Seniors"
)</f>
        <v>Middle-Aged</v>
      </c>
      <c r="N619" t="s">
        <v>17</v>
      </c>
    </row>
    <row r="620" spans="1:14" x14ac:dyDescent="0.3">
      <c r="A620">
        <v>25347</v>
      </c>
      <c r="B620" t="s">
        <v>40</v>
      </c>
      <c r="C620" t="s">
        <v>38</v>
      </c>
      <c r="D620" s="3">
        <v>20000</v>
      </c>
      <c r="E620">
        <v>3</v>
      </c>
      <c r="F620" t="s">
        <v>32</v>
      </c>
      <c r="G620" t="s">
        <v>22</v>
      </c>
      <c r="H620" t="s">
        <v>20</v>
      </c>
      <c r="I620">
        <v>2</v>
      </c>
      <c r="J620" t="s">
        <v>18</v>
      </c>
      <c r="K620" t="s">
        <v>35</v>
      </c>
      <c r="L620">
        <v>49</v>
      </c>
      <c r="M620" t="str" cm="1">
        <f t="array" ref="M620">_xlfn.IFS(
L620&lt;=12,"Children",
L620&lt;=19,"Teens",
L620&lt;=29,"Young Adults",
L620&lt;=39,"Adults",
L620&lt;=59,"Middle-Aged",
L620&gt;=60,"Seniors"
)</f>
        <v>Middle-Aged</v>
      </c>
      <c r="N620" t="s">
        <v>20</v>
      </c>
    </row>
    <row r="621" spans="1:14" x14ac:dyDescent="0.3">
      <c r="A621">
        <v>15814</v>
      </c>
      <c r="B621" t="s">
        <v>40</v>
      </c>
      <c r="C621" t="s">
        <v>38</v>
      </c>
      <c r="D621" s="3">
        <v>40000</v>
      </c>
      <c r="E621">
        <v>0</v>
      </c>
      <c r="F621" t="s">
        <v>30</v>
      </c>
      <c r="G621" t="s">
        <v>16</v>
      </c>
      <c r="H621" t="s">
        <v>17</v>
      </c>
      <c r="I621">
        <v>1</v>
      </c>
      <c r="J621" t="s">
        <v>26</v>
      </c>
      <c r="K621" t="s">
        <v>35</v>
      </c>
      <c r="L621">
        <v>30</v>
      </c>
      <c r="M621" t="str" cm="1">
        <f t="array" ref="M621">_xlfn.IFS(
L621&lt;=12,"Children",
L621&lt;=19,"Teens",
L621&lt;=29,"Young Adults",
L621&lt;=39,"Adults",
L621&lt;=59,"Middle-Aged",
L621&gt;=60,"Seniors"
)</f>
        <v>Adults</v>
      </c>
      <c r="N621" t="s">
        <v>20</v>
      </c>
    </row>
    <row r="622" spans="1:14" x14ac:dyDescent="0.3">
      <c r="A622">
        <v>11259</v>
      </c>
      <c r="B622" t="s">
        <v>37</v>
      </c>
      <c r="C622" t="s">
        <v>38</v>
      </c>
      <c r="D622" s="3">
        <v>100000</v>
      </c>
      <c r="E622">
        <v>4</v>
      </c>
      <c r="F622" t="s">
        <v>21</v>
      </c>
      <c r="G622" t="s">
        <v>23</v>
      </c>
      <c r="H622" t="s">
        <v>17</v>
      </c>
      <c r="I622">
        <v>4</v>
      </c>
      <c r="J622" t="s">
        <v>24</v>
      </c>
      <c r="K622" t="s">
        <v>35</v>
      </c>
      <c r="L622">
        <v>41</v>
      </c>
      <c r="M622" t="str" cm="1">
        <f t="array" ref="M622">_xlfn.IFS(
L622&lt;=12,"Children",
L622&lt;=19,"Teens",
L622&lt;=29,"Young Adults",
L622&lt;=39,"Adults",
L622&lt;=59,"Middle-Aged",
L622&gt;=60,"Seniors"
)</f>
        <v>Middle-Aged</v>
      </c>
      <c r="N622" t="s">
        <v>17</v>
      </c>
    </row>
    <row r="623" spans="1:14" x14ac:dyDescent="0.3">
      <c r="A623">
        <v>11200</v>
      </c>
      <c r="B623" t="s">
        <v>37</v>
      </c>
      <c r="C623" t="s">
        <v>39</v>
      </c>
      <c r="D623" s="3">
        <v>70000</v>
      </c>
      <c r="E623">
        <v>4</v>
      </c>
      <c r="F623" t="s">
        <v>15</v>
      </c>
      <c r="G623" t="s">
        <v>31</v>
      </c>
      <c r="H623" t="s">
        <v>17</v>
      </c>
      <c r="I623">
        <v>1</v>
      </c>
      <c r="J623" t="s">
        <v>29</v>
      </c>
      <c r="K623" t="s">
        <v>35</v>
      </c>
      <c r="L623">
        <v>58</v>
      </c>
      <c r="M623" t="str" cm="1">
        <f t="array" ref="M623">_xlfn.IFS(
L623&lt;=12,"Children",
L623&lt;=19,"Teens",
L623&lt;=29,"Young Adults",
L623&lt;=39,"Adults",
L623&lt;=59,"Middle-Aged",
L623&gt;=60,"Seniors"
)</f>
        <v>Middle-Aged</v>
      </c>
      <c r="N623" t="s">
        <v>20</v>
      </c>
    </row>
    <row r="624" spans="1:14" x14ac:dyDescent="0.3">
      <c r="A624">
        <v>25101</v>
      </c>
      <c r="B624" t="s">
        <v>37</v>
      </c>
      <c r="C624" t="s">
        <v>39</v>
      </c>
      <c r="D624" s="3">
        <v>60000</v>
      </c>
      <c r="E624">
        <v>5</v>
      </c>
      <c r="F624" t="s">
        <v>15</v>
      </c>
      <c r="G624" t="s">
        <v>23</v>
      </c>
      <c r="H624" t="s">
        <v>17</v>
      </c>
      <c r="I624">
        <v>1</v>
      </c>
      <c r="J624" t="s">
        <v>24</v>
      </c>
      <c r="K624" t="s">
        <v>35</v>
      </c>
      <c r="L624">
        <v>47</v>
      </c>
      <c r="M624" t="str" cm="1">
        <f t="array" ref="M624">_xlfn.IFS(
L624&lt;=12,"Children",
L624&lt;=19,"Teens",
L624&lt;=29,"Young Adults",
L624&lt;=39,"Adults",
L624&lt;=59,"Middle-Aged",
L624&gt;=60,"Seniors"
)</f>
        <v>Middle-Aged</v>
      </c>
      <c r="N624" t="s">
        <v>20</v>
      </c>
    </row>
    <row r="625" spans="1:14" x14ac:dyDescent="0.3">
      <c r="A625">
        <v>21801</v>
      </c>
      <c r="B625" t="s">
        <v>37</v>
      </c>
      <c r="C625" t="s">
        <v>38</v>
      </c>
      <c r="D625" s="3">
        <v>70000</v>
      </c>
      <c r="E625">
        <v>4</v>
      </c>
      <c r="F625" t="s">
        <v>21</v>
      </c>
      <c r="G625" t="s">
        <v>23</v>
      </c>
      <c r="H625" t="s">
        <v>17</v>
      </c>
      <c r="I625">
        <v>1</v>
      </c>
      <c r="J625" t="s">
        <v>29</v>
      </c>
      <c r="K625" t="s">
        <v>35</v>
      </c>
      <c r="L625">
        <v>55</v>
      </c>
      <c r="M625" t="str" cm="1">
        <f t="array" ref="M625">_xlfn.IFS(
L625&lt;=12,"Children",
L625&lt;=19,"Teens",
L625&lt;=29,"Young Adults",
L625&lt;=39,"Adults",
L625&lt;=59,"Middle-Aged",
L625&gt;=60,"Seniors"
)</f>
        <v>Middle-Aged</v>
      </c>
      <c r="N625" t="s">
        <v>20</v>
      </c>
    </row>
    <row r="626" spans="1:14" x14ac:dyDescent="0.3">
      <c r="A626">
        <v>25943</v>
      </c>
      <c r="B626" t="s">
        <v>40</v>
      </c>
      <c r="C626" t="s">
        <v>38</v>
      </c>
      <c r="D626" s="3">
        <v>70000</v>
      </c>
      <c r="E626">
        <v>0</v>
      </c>
      <c r="F626" t="s">
        <v>21</v>
      </c>
      <c r="G626" t="s">
        <v>16</v>
      </c>
      <c r="H626" t="s">
        <v>20</v>
      </c>
      <c r="I626">
        <v>2</v>
      </c>
      <c r="J626" t="s">
        <v>18</v>
      </c>
      <c r="K626" t="s">
        <v>35</v>
      </c>
      <c r="L626">
        <v>27</v>
      </c>
      <c r="M626" t="str" cm="1">
        <f t="array" ref="M626">_xlfn.IFS(
L626&lt;=12,"Children",
L626&lt;=19,"Teens",
L626&lt;=29,"Young Adults",
L626&lt;=39,"Adults",
L626&lt;=59,"Middle-Aged",
L626&gt;=60,"Seniors"
)</f>
        <v>Young Adults</v>
      </c>
      <c r="N626" t="s">
        <v>17</v>
      </c>
    </row>
    <row r="627" spans="1:14" x14ac:dyDescent="0.3">
      <c r="A627">
        <v>22127</v>
      </c>
      <c r="B627" t="s">
        <v>37</v>
      </c>
      <c r="C627" t="s">
        <v>39</v>
      </c>
      <c r="D627" s="3">
        <v>60000</v>
      </c>
      <c r="E627">
        <v>3</v>
      </c>
      <c r="F627" t="s">
        <v>34</v>
      </c>
      <c r="G627" t="s">
        <v>31</v>
      </c>
      <c r="H627" t="s">
        <v>17</v>
      </c>
      <c r="I627">
        <v>2</v>
      </c>
      <c r="J627" t="s">
        <v>29</v>
      </c>
      <c r="K627" t="s">
        <v>35</v>
      </c>
      <c r="L627">
        <v>67</v>
      </c>
      <c r="M627" t="str" cm="1">
        <f t="array" ref="M627">_xlfn.IFS(
L627&lt;=12,"Children",
L627&lt;=19,"Teens",
L627&lt;=29,"Young Adults",
L627&lt;=39,"Adults",
L627&lt;=59,"Middle-Aged",
L627&gt;=60,"Seniors"
)</f>
        <v>Seniors</v>
      </c>
      <c r="N627" t="s">
        <v>20</v>
      </c>
    </row>
    <row r="628" spans="1:14" x14ac:dyDescent="0.3">
      <c r="A628">
        <v>20414</v>
      </c>
      <c r="B628" t="s">
        <v>37</v>
      </c>
      <c r="C628" t="s">
        <v>38</v>
      </c>
      <c r="D628" s="3">
        <v>60000</v>
      </c>
      <c r="E628">
        <v>0</v>
      </c>
      <c r="F628" t="s">
        <v>21</v>
      </c>
      <c r="G628" t="s">
        <v>16</v>
      </c>
      <c r="H628" t="s">
        <v>17</v>
      </c>
      <c r="I628">
        <v>2</v>
      </c>
      <c r="J628" t="s">
        <v>26</v>
      </c>
      <c r="K628" t="s">
        <v>35</v>
      </c>
      <c r="L628">
        <v>29</v>
      </c>
      <c r="M628" t="str" cm="1">
        <f t="array" ref="M628">_xlfn.IFS(
L628&lt;=12,"Children",
L628&lt;=19,"Teens",
L628&lt;=29,"Young Adults",
L628&lt;=39,"Adults",
L628&lt;=59,"Middle-Aged",
L628&gt;=60,"Seniors"
)</f>
        <v>Young Adults</v>
      </c>
      <c r="N628" t="s">
        <v>20</v>
      </c>
    </row>
    <row r="629" spans="1:14" x14ac:dyDescent="0.3">
      <c r="A629">
        <v>23672</v>
      </c>
      <c r="B629" t="s">
        <v>37</v>
      </c>
      <c r="C629" t="s">
        <v>38</v>
      </c>
      <c r="D629" s="3">
        <v>60000</v>
      </c>
      <c r="E629">
        <v>3</v>
      </c>
      <c r="F629" t="s">
        <v>34</v>
      </c>
      <c r="G629" t="s">
        <v>31</v>
      </c>
      <c r="H629" t="s">
        <v>17</v>
      </c>
      <c r="I629">
        <v>2</v>
      </c>
      <c r="J629" t="s">
        <v>29</v>
      </c>
      <c r="K629" t="s">
        <v>35</v>
      </c>
      <c r="L629">
        <v>67</v>
      </c>
      <c r="M629" t="str" cm="1">
        <f t="array" ref="M629">_xlfn.IFS(
L629&lt;=12,"Children",
L629&lt;=19,"Teens",
L629&lt;=29,"Young Adults",
L629&lt;=39,"Adults",
L629&lt;=59,"Middle-Aged",
L629&gt;=60,"Seniors"
)</f>
        <v>Seniors</v>
      </c>
      <c r="N629" t="s">
        <v>20</v>
      </c>
    </row>
    <row r="630" spans="1:14" x14ac:dyDescent="0.3">
      <c r="A630">
        <v>29255</v>
      </c>
      <c r="B630" t="s">
        <v>40</v>
      </c>
      <c r="C630" t="s">
        <v>39</v>
      </c>
      <c r="D630" s="3">
        <v>80000</v>
      </c>
      <c r="E630">
        <v>3</v>
      </c>
      <c r="F630" t="s">
        <v>21</v>
      </c>
      <c r="G630" t="s">
        <v>23</v>
      </c>
      <c r="H630" t="s">
        <v>20</v>
      </c>
      <c r="I630">
        <v>1</v>
      </c>
      <c r="J630" t="s">
        <v>29</v>
      </c>
      <c r="K630" t="s">
        <v>35</v>
      </c>
      <c r="L630">
        <v>51</v>
      </c>
      <c r="M630" t="str" cm="1">
        <f t="array" ref="M630">_xlfn.IFS(
L630&lt;=12,"Children",
L630&lt;=19,"Teens",
L630&lt;=29,"Young Adults",
L630&lt;=39,"Adults",
L630&lt;=59,"Middle-Aged",
L630&gt;=60,"Seniors"
)</f>
        <v>Middle-Aged</v>
      </c>
      <c r="N630" t="s">
        <v>17</v>
      </c>
    </row>
    <row r="631" spans="1:14" x14ac:dyDescent="0.3">
      <c r="A631">
        <v>28815</v>
      </c>
      <c r="B631" t="s">
        <v>37</v>
      </c>
      <c r="C631" t="s">
        <v>38</v>
      </c>
      <c r="D631" s="3">
        <v>50000</v>
      </c>
      <c r="E631">
        <v>1</v>
      </c>
      <c r="F631" t="s">
        <v>34</v>
      </c>
      <c r="G631" t="s">
        <v>16</v>
      </c>
      <c r="H631" t="s">
        <v>17</v>
      </c>
      <c r="I631">
        <v>0</v>
      </c>
      <c r="J631" t="s">
        <v>18</v>
      </c>
      <c r="K631" t="s">
        <v>35</v>
      </c>
      <c r="L631">
        <v>35</v>
      </c>
      <c r="M631" t="str" cm="1">
        <f t="array" ref="M631">_xlfn.IFS(
L631&lt;=12,"Children",
L631&lt;=19,"Teens",
L631&lt;=29,"Young Adults",
L631&lt;=39,"Adults",
L631&lt;=59,"Middle-Aged",
L631&gt;=60,"Seniors"
)</f>
        <v>Adults</v>
      </c>
      <c r="N631" t="s">
        <v>20</v>
      </c>
    </row>
    <row r="632" spans="1:14" x14ac:dyDescent="0.3">
      <c r="A632">
        <v>27753</v>
      </c>
      <c r="B632" t="s">
        <v>37</v>
      </c>
      <c r="C632" t="s">
        <v>39</v>
      </c>
      <c r="D632" s="3">
        <v>40000</v>
      </c>
      <c r="E632">
        <v>0</v>
      </c>
      <c r="F632" t="s">
        <v>30</v>
      </c>
      <c r="G632" t="s">
        <v>16</v>
      </c>
      <c r="H632" t="s">
        <v>20</v>
      </c>
      <c r="I632">
        <v>2</v>
      </c>
      <c r="J632" t="s">
        <v>29</v>
      </c>
      <c r="K632" t="s">
        <v>35</v>
      </c>
      <c r="L632">
        <v>30</v>
      </c>
      <c r="M632" t="str" cm="1">
        <f t="array" ref="M632">_xlfn.IFS(
L632&lt;=12,"Children",
L632&lt;=19,"Teens",
L632&lt;=29,"Young Adults",
L632&lt;=39,"Adults",
L632&lt;=59,"Middle-Aged",
L632&gt;=60,"Seniors"
)</f>
        <v>Adults</v>
      </c>
      <c r="N632" t="s">
        <v>20</v>
      </c>
    </row>
    <row r="633" spans="1:14" x14ac:dyDescent="0.3">
      <c r="A633">
        <v>27643</v>
      </c>
      <c r="B633" t="s">
        <v>40</v>
      </c>
      <c r="C633" t="s">
        <v>39</v>
      </c>
      <c r="D633" s="3">
        <v>70000</v>
      </c>
      <c r="E633">
        <v>5</v>
      </c>
      <c r="F633" t="s">
        <v>21</v>
      </c>
      <c r="G633" t="s">
        <v>23</v>
      </c>
      <c r="H633" t="s">
        <v>17</v>
      </c>
      <c r="I633">
        <v>3</v>
      </c>
      <c r="J633" t="s">
        <v>24</v>
      </c>
      <c r="K633" t="s">
        <v>35</v>
      </c>
      <c r="L633">
        <v>44</v>
      </c>
      <c r="M633" t="str" cm="1">
        <f t="array" ref="M633">_xlfn.IFS(
L633&lt;=12,"Children",
L633&lt;=19,"Teens",
L633&lt;=29,"Young Adults",
L633&lt;=39,"Adults",
L633&lt;=59,"Middle-Aged",
L633&gt;=60,"Seniors"
)</f>
        <v>Middle-Aged</v>
      </c>
      <c r="N633" t="s">
        <v>20</v>
      </c>
    </row>
    <row r="634" spans="1:14" x14ac:dyDescent="0.3">
      <c r="A634">
        <v>13754</v>
      </c>
      <c r="B634" t="s">
        <v>40</v>
      </c>
      <c r="C634" t="s">
        <v>38</v>
      </c>
      <c r="D634" s="3">
        <v>80000</v>
      </c>
      <c r="E634">
        <v>4</v>
      </c>
      <c r="F634" t="s">
        <v>34</v>
      </c>
      <c r="G634" t="s">
        <v>16</v>
      </c>
      <c r="H634" t="s">
        <v>17</v>
      </c>
      <c r="I634">
        <v>0</v>
      </c>
      <c r="J634" t="s">
        <v>29</v>
      </c>
      <c r="K634" t="s">
        <v>35</v>
      </c>
      <c r="L634">
        <v>48</v>
      </c>
      <c r="M634" t="str" cm="1">
        <f t="array" ref="M634">_xlfn.IFS(
L634&lt;=12,"Children",
L634&lt;=19,"Teens",
L634&lt;=29,"Young Adults",
L634&lt;=39,"Adults",
L634&lt;=59,"Middle-Aged",
L634&gt;=60,"Seniors"
)</f>
        <v>Middle-Aged</v>
      </c>
      <c r="N634" t="s">
        <v>20</v>
      </c>
    </row>
    <row r="635" spans="1:14" x14ac:dyDescent="0.3">
      <c r="A635">
        <v>22088</v>
      </c>
      <c r="B635" t="s">
        <v>37</v>
      </c>
      <c r="C635" t="s">
        <v>38</v>
      </c>
      <c r="D635" s="3">
        <v>130000</v>
      </c>
      <c r="E635">
        <v>1</v>
      </c>
      <c r="F635" t="s">
        <v>15</v>
      </c>
      <c r="G635" t="s">
        <v>31</v>
      </c>
      <c r="H635" t="s">
        <v>17</v>
      </c>
      <c r="I635">
        <v>2</v>
      </c>
      <c r="J635" t="s">
        <v>18</v>
      </c>
      <c r="K635" t="s">
        <v>35</v>
      </c>
      <c r="L635">
        <v>45</v>
      </c>
      <c r="M635" t="str" cm="1">
        <f t="array" ref="M635">_xlfn.IFS(
L635&lt;=12,"Children",
L635&lt;=19,"Teens",
L635&lt;=29,"Young Adults",
L635&lt;=39,"Adults",
L635&lt;=59,"Middle-Aged",
L635&gt;=60,"Seniors"
)</f>
        <v>Middle-Aged</v>
      </c>
      <c r="N635" t="s">
        <v>17</v>
      </c>
    </row>
    <row r="636" spans="1:14" x14ac:dyDescent="0.3">
      <c r="A636">
        <v>27388</v>
      </c>
      <c r="B636" t="s">
        <v>37</v>
      </c>
      <c r="C636" t="s">
        <v>39</v>
      </c>
      <c r="D636" s="3">
        <v>60000</v>
      </c>
      <c r="E636">
        <v>3</v>
      </c>
      <c r="F636" t="s">
        <v>15</v>
      </c>
      <c r="G636" t="s">
        <v>31</v>
      </c>
      <c r="H636" t="s">
        <v>20</v>
      </c>
      <c r="I636">
        <v>2</v>
      </c>
      <c r="J636" t="s">
        <v>29</v>
      </c>
      <c r="K636" t="s">
        <v>35</v>
      </c>
      <c r="L636">
        <v>66</v>
      </c>
      <c r="M636" t="str" cm="1">
        <f t="array" ref="M636">_xlfn.IFS(
L636&lt;=12,"Children",
L636&lt;=19,"Teens",
L636&lt;=29,"Young Adults",
L636&lt;=39,"Adults",
L636&lt;=59,"Middle-Aged",
L636&gt;=60,"Seniors"
)</f>
        <v>Seniors</v>
      </c>
      <c r="N636" t="s">
        <v>20</v>
      </c>
    </row>
    <row r="637" spans="1:14" x14ac:dyDescent="0.3">
      <c r="A637">
        <v>24745</v>
      </c>
      <c r="B637" t="s">
        <v>40</v>
      </c>
      <c r="C637" t="s">
        <v>38</v>
      </c>
      <c r="D637" s="3">
        <v>30000</v>
      </c>
      <c r="E637">
        <v>2</v>
      </c>
      <c r="F637" t="s">
        <v>30</v>
      </c>
      <c r="G637" t="s">
        <v>16</v>
      </c>
      <c r="H637" t="s">
        <v>20</v>
      </c>
      <c r="I637">
        <v>2</v>
      </c>
      <c r="J637" t="s">
        <v>18</v>
      </c>
      <c r="K637" t="s">
        <v>35</v>
      </c>
      <c r="L637">
        <v>49</v>
      </c>
      <c r="M637" t="str" cm="1">
        <f t="array" ref="M637">_xlfn.IFS(
L637&lt;=12,"Children",
L637&lt;=19,"Teens",
L637&lt;=29,"Young Adults",
L637&lt;=39,"Adults",
L637&lt;=59,"Middle-Aged",
L637&gt;=60,"Seniors"
)</f>
        <v>Middle-Aged</v>
      </c>
      <c r="N637" t="s">
        <v>20</v>
      </c>
    </row>
    <row r="638" spans="1:14" x14ac:dyDescent="0.3">
      <c r="A638">
        <v>29237</v>
      </c>
      <c r="B638" t="s">
        <v>40</v>
      </c>
      <c r="C638" t="s">
        <v>38</v>
      </c>
      <c r="D638" s="3">
        <v>120000</v>
      </c>
      <c r="E638">
        <v>4</v>
      </c>
      <c r="F638" t="s">
        <v>21</v>
      </c>
      <c r="G638" t="s">
        <v>23</v>
      </c>
      <c r="H638" t="s">
        <v>17</v>
      </c>
      <c r="I638">
        <v>3</v>
      </c>
      <c r="J638" t="s">
        <v>26</v>
      </c>
      <c r="K638" t="s">
        <v>35</v>
      </c>
      <c r="L638">
        <v>43</v>
      </c>
      <c r="M638" t="str" cm="1">
        <f t="array" ref="M638">_xlfn.IFS(
L638&lt;=12,"Children",
L638&lt;=19,"Teens",
L638&lt;=29,"Young Adults",
L638&lt;=39,"Adults",
L638&lt;=59,"Middle-Aged",
L638&gt;=60,"Seniors"
)</f>
        <v>Middle-Aged</v>
      </c>
      <c r="N638" t="s">
        <v>17</v>
      </c>
    </row>
    <row r="639" spans="1:14" x14ac:dyDescent="0.3">
      <c r="A639">
        <v>15272</v>
      </c>
      <c r="B639" t="s">
        <v>40</v>
      </c>
      <c r="C639" t="s">
        <v>39</v>
      </c>
      <c r="D639" s="3">
        <v>40000</v>
      </c>
      <c r="E639">
        <v>0</v>
      </c>
      <c r="F639" t="s">
        <v>30</v>
      </c>
      <c r="G639" t="s">
        <v>16</v>
      </c>
      <c r="H639" t="s">
        <v>20</v>
      </c>
      <c r="I639">
        <v>2</v>
      </c>
      <c r="J639" t="s">
        <v>29</v>
      </c>
      <c r="K639" t="s">
        <v>35</v>
      </c>
      <c r="L639">
        <v>30</v>
      </c>
      <c r="M639" t="str" cm="1">
        <f t="array" ref="M639">_xlfn.IFS(
L639&lt;=12,"Children",
L639&lt;=19,"Teens",
L639&lt;=29,"Young Adults",
L639&lt;=39,"Adults",
L639&lt;=59,"Middle-Aged",
L639&gt;=60,"Seniors"
)</f>
        <v>Adults</v>
      </c>
      <c r="N639" t="s">
        <v>20</v>
      </c>
    </row>
    <row r="640" spans="1:14" x14ac:dyDescent="0.3">
      <c r="A640">
        <v>18949</v>
      </c>
      <c r="B640" t="s">
        <v>40</v>
      </c>
      <c r="C640" t="s">
        <v>39</v>
      </c>
      <c r="D640" s="3">
        <v>70000</v>
      </c>
      <c r="E640">
        <v>0</v>
      </c>
      <c r="F640" t="s">
        <v>34</v>
      </c>
      <c r="G640" t="s">
        <v>31</v>
      </c>
      <c r="H640" t="s">
        <v>17</v>
      </c>
      <c r="I640">
        <v>2</v>
      </c>
      <c r="J640" t="s">
        <v>26</v>
      </c>
      <c r="K640" t="s">
        <v>35</v>
      </c>
      <c r="L640">
        <v>74</v>
      </c>
      <c r="M640" t="str" cm="1">
        <f t="array" ref="M640">_xlfn.IFS(
L640&lt;=12,"Children",
L640&lt;=19,"Teens",
L640&lt;=29,"Young Adults",
L640&lt;=39,"Adults",
L640&lt;=59,"Middle-Aged",
L640&gt;=60,"Seniors"
)</f>
        <v>Seniors</v>
      </c>
      <c r="N640" t="s">
        <v>17</v>
      </c>
    </row>
    <row r="641" spans="1:14" x14ac:dyDescent="0.3">
      <c r="A641">
        <v>14507</v>
      </c>
      <c r="B641" t="s">
        <v>37</v>
      </c>
      <c r="C641" t="s">
        <v>39</v>
      </c>
      <c r="D641" s="3">
        <v>100000</v>
      </c>
      <c r="E641">
        <v>2</v>
      </c>
      <c r="F641" t="s">
        <v>34</v>
      </c>
      <c r="G641" t="s">
        <v>31</v>
      </c>
      <c r="H641" t="s">
        <v>17</v>
      </c>
      <c r="I641">
        <v>3</v>
      </c>
      <c r="J641" t="s">
        <v>29</v>
      </c>
      <c r="K641" t="s">
        <v>35</v>
      </c>
      <c r="L641">
        <v>65</v>
      </c>
      <c r="M641" t="str" cm="1">
        <f t="array" ref="M641">_xlfn.IFS(
L641&lt;=12,"Children",
L641&lt;=19,"Teens",
L641&lt;=29,"Young Adults",
L641&lt;=39,"Adults",
L641&lt;=59,"Middle-Aged",
L641&gt;=60,"Seniors"
)</f>
        <v>Seniors</v>
      </c>
      <c r="N641" t="s">
        <v>20</v>
      </c>
    </row>
    <row r="642" spans="1:14" x14ac:dyDescent="0.3">
      <c r="A642">
        <v>25886</v>
      </c>
      <c r="B642" t="s">
        <v>37</v>
      </c>
      <c r="C642" t="s">
        <v>38</v>
      </c>
      <c r="D642" s="3">
        <v>60000</v>
      </c>
      <c r="E642">
        <v>2</v>
      </c>
      <c r="F642" t="s">
        <v>21</v>
      </c>
      <c r="G642" t="s">
        <v>23</v>
      </c>
      <c r="H642" t="s">
        <v>17</v>
      </c>
      <c r="I642">
        <v>2</v>
      </c>
      <c r="J642" t="s">
        <v>24</v>
      </c>
      <c r="K642" t="s">
        <v>35</v>
      </c>
      <c r="L642">
        <v>56</v>
      </c>
      <c r="M642" t="str" cm="1">
        <f t="array" ref="M642">_xlfn.IFS(
L642&lt;=12,"Children",
L642&lt;=19,"Teens",
L642&lt;=29,"Young Adults",
L642&lt;=39,"Adults",
L642&lt;=59,"Middle-Aged",
L642&gt;=60,"Seniors"
)</f>
        <v>Middle-Aged</v>
      </c>
      <c r="N642" t="s">
        <v>17</v>
      </c>
    </row>
    <row r="643" spans="1:14" x14ac:dyDescent="0.3">
      <c r="A643">
        <v>21441</v>
      </c>
      <c r="B643" t="s">
        <v>37</v>
      </c>
      <c r="C643" t="s">
        <v>39</v>
      </c>
      <c r="D643" s="3">
        <v>50000</v>
      </c>
      <c r="E643">
        <v>4</v>
      </c>
      <c r="F643" t="s">
        <v>15</v>
      </c>
      <c r="G643" t="s">
        <v>31</v>
      </c>
      <c r="H643" t="s">
        <v>17</v>
      </c>
      <c r="I643">
        <v>2</v>
      </c>
      <c r="J643" t="s">
        <v>41</v>
      </c>
      <c r="K643" t="s">
        <v>35</v>
      </c>
      <c r="L643">
        <v>64</v>
      </c>
      <c r="M643" t="str" cm="1">
        <f t="array" ref="M643">_xlfn.IFS(
L643&lt;=12,"Children",
L643&lt;=19,"Teens",
L643&lt;=29,"Young Adults",
L643&lt;=39,"Adults",
L643&lt;=59,"Middle-Aged",
L643&gt;=60,"Seniors"
)</f>
        <v>Seniors</v>
      </c>
      <c r="N643" t="s">
        <v>20</v>
      </c>
    </row>
    <row r="644" spans="1:14" x14ac:dyDescent="0.3">
      <c r="A644">
        <v>21741</v>
      </c>
      <c r="B644" t="s">
        <v>37</v>
      </c>
      <c r="C644" t="s">
        <v>38</v>
      </c>
      <c r="D644" s="3">
        <v>70000</v>
      </c>
      <c r="E644">
        <v>3</v>
      </c>
      <c r="F644" t="s">
        <v>21</v>
      </c>
      <c r="G644" t="s">
        <v>23</v>
      </c>
      <c r="H644" t="s">
        <v>17</v>
      </c>
      <c r="I644">
        <v>2</v>
      </c>
      <c r="J644" t="s">
        <v>26</v>
      </c>
      <c r="K644" t="s">
        <v>35</v>
      </c>
      <c r="L644">
        <v>50</v>
      </c>
      <c r="M644" t="str" cm="1">
        <f t="array" ref="M644">_xlfn.IFS(
L644&lt;=12,"Children",
L644&lt;=19,"Teens",
L644&lt;=29,"Young Adults",
L644&lt;=39,"Adults",
L644&lt;=59,"Middle-Aged",
L644&gt;=60,"Seniors"
)</f>
        <v>Middle-Aged</v>
      </c>
      <c r="N644" t="s">
        <v>17</v>
      </c>
    </row>
    <row r="645" spans="1:14" x14ac:dyDescent="0.3">
      <c r="A645">
        <v>14572</v>
      </c>
      <c r="B645" t="s">
        <v>37</v>
      </c>
      <c r="C645" t="s">
        <v>38</v>
      </c>
      <c r="D645" s="3">
        <v>70000</v>
      </c>
      <c r="E645">
        <v>3</v>
      </c>
      <c r="F645" t="s">
        <v>34</v>
      </c>
      <c r="G645" t="s">
        <v>23</v>
      </c>
      <c r="H645" t="s">
        <v>17</v>
      </c>
      <c r="I645">
        <v>0</v>
      </c>
      <c r="J645" t="s">
        <v>24</v>
      </c>
      <c r="K645" t="s">
        <v>35</v>
      </c>
      <c r="L645">
        <v>35</v>
      </c>
      <c r="M645" t="str" cm="1">
        <f t="array" ref="M645">_xlfn.IFS(
L645&lt;=12,"Children",
L645&lt;=19,"Teens",
L645&lt;=29,"Young Adults",
L645&lt;=39,"Adults",
L645&lt;=59,"Middle-Aged",
L645&gt;=60,"Seniors"
)</f>
        <v>Adults</v>
      </c>
      <c r="N645" t="s">
        <v>17</v>
      </c>
    </row>
    <row r="646" spans="1:14" x14ac:dyDescent="0.3">
      <c r="A646">
        <v>23368</v>
      </c>
      <c r="B646" t="s">
        <v>37</v>
      </c>
      <c r="C646" t="s">
        <v>38</v>
      </c>
      <c r="D646" s="3">
        <v>60000</v>
      </c>
      <c r="E646">
        <v>5</v>
      </c>
      <c r="F646" t="s">
        <v>15</v>
      </c>
      <c r="G646" t="s">
        <v>16</v>
      </c>
      <c r="H646" t="s">
        <v>17</v>
      </c>
      <c r="I646">
        <v>3</v>
      </c>
      <c r="J646" t="s">
        <v>41</v>
      </c>
      <c r="K646" t="s">
        <v>35</v>
      </c>
      <c r="L646">
        <v>41</v>
      </c>
      <c r="M646" t="str" cm="1">
        <f t="array" ref="M646">_xlfn.IFS(
L646&lt;=12,"Children",
L646&lt;=19,"Teens",
L646&lt;=29,"Young Adults",
L646&lt;=39,"Adults",
L646&lt;=59,"Middle-Aged",
L646&gt;=60,"Seniors"
)</f>
        <v>Middle-Aged</v>
      </c>
      <c r="N646" t="s">
        <v>20</v>
      </c>
    </row>
    <row r="647" spans="1:14" x14ac:dyDescent="0.3">
      <c r="A647">
        <v>16217</v>
      </c>
      <c r="B647" t="s">
        <v>40</v>
      </c>
      <c r="C647" t="s">
        <v>38</v>
      </c>
      <c r="D647" s="3">
        <v>60000</v>
      </c>
      <c r="E647">
        <v>0</v>
      </c>
      <c r="F647" t="s">
        <v>34</v>
      </c>
      <c r="G647" t="s">
        <v>16</v>
      </c>
      <c r="H647" t="s">
        <v>17</v>
      </c>
      <c r="I647">
        <v>0</v>
      </c>
      <c r="J647" t="s">
        <v>18</v>
      </c>
      <c r="K647" t="s">
        <v>35</v>
      </c>
      <c r="L647">
        <v>39</v>
      </c>
      <c r="M647" t="str" cm="1">
        <f t="array" ref="M647">_xlfn.IFS(
L647&lt;=12,"Children",
L647&lt;=19,"Teens",
L647&lt;=29,"Young Adults",
L647&lt;=39,"Adults",
L647&lt;=59,"Middle-Aged",
L647&gt;=60,"Seniors"
)</f>
        <v>Adults</v>
      </c>
      <c r="N647" t="s">
        <v>20</v>
      </c>
    </row>
    <row r="648" spans="1:14" x14ac:dyDescent="0.3">
      <c r="A648">
        <v>16247</v>
      </c>
      <c r="B648" t="s">
        <v>40</v>
      </c>
      <c r="C648" t="s">
        <v>38</v>
      </c>
      <c r="D648" s="3">
        <v>60000</v>
      </c>
      <c r="E648">
        <v>4</v>
      </c>
      <c r="F648" t="s">
        <v>34</v>
      </c>
      <c r="G648" t="s">
        <v>16</v>
      </c>
      <c r="H648" t="s">
        <v>20</v>
      </c>
      <c r="I648">
        <v>0</v>
      </c>
      <c r="J648" t="s">
        <v>29</v>
      </c>
      <c r="K648" t="s">
        <v>35</v>
      </c>
      <c r="L648">
        <v>47</v>
      </c>
      <c r="M648" t="str" cm="1">
        <f t="array" ref="M648">_xlfn.IFS(
L648&lt;=12,"Children",
L648&lt;=19,"Teens",
L648&lt;=29,"Young Adults",
L648&lt;=39,"Adults",
L648&lt;=59,"Middle-Aged",
L648&gt;=60,"Seniors"
)</f>
        <v>Middle-Aged</v>
      </c>
      <c r="N648" t="s">
        <v>20</v>
      </c>
    </row>
    <row r="649" spans="1:14" x14ac:dyDescent="0.3">
      <c r="A649">
        <v>22010</v>
      </c>
      <c r="B649" t="s">
        <v>40</v>
      </c>
      <c r="C649" t="s">
        <v>39</v>
      </c>
      <c r="D649" s="3">
        <v>40000</v>
      </c>
      <c r="E649">
        <v>0</v>
      </c>
      <c r="F649" t="s">
        <v>30</v>
      </c>
      <c r="G649" t="s">
        <v>16</v>
      </c>
      <c r="H649" t="s">
        <v>17</v>
      </c>
      <c r="I649">
        <v>2</v>
      </c>
      <c r="J649" t="s">
        <v>26</v>
      </c>
      <c r="K649" t="s">
        <v>35</v>
      </c>
      <c r="L649">
        <v>31</v>
      </c>
      <c r="M649" t="str" cm="1">
        <f t="array" ref="M649">_xlfn.IFS(
L649&lt;=12,"Children",
L649&lt;=19,"Teens",
L649&lt;=29,"Young Adults",
L649&lt;=39,"Adults",
L649&lt;=59,"Middle-Aged",
L649&gt;=60,"Seniors"
)</f>
        <v>Adults</v>
      </c>
      <c r="N649" t="s">
        <v>20</v>
      </c>
    </row>
    <row r="650" spans="1:14" x14ac:dyDescent="0.3">
      <c r="A650">
        <v>25872</v>
      </c>
      <c r="B650" t="s">
        <v>40</v>
      </c>
      <c r="C650" t="s">
        <v>38</v>
      </c>
      <c r="D650" s="3">
        <v>70000</v>
      </c>
      <c r="E650">
        <v>2</v>
      </c>
      <c r="F650" t="s">
        <v>15</v>
      </c>
      <c r="G650" t="s">
        <v>31</v>
      </c>
      <c r="H650" t="s">
        <v>20</v>
      </c>
      <c r="I650">
        <v>1</v>
      </c>
      <c r="J650" t="s">
        <v>24</v>
      </c>
      <c r="K650" t="s">
        <v>35</v>
      </c>
      <c r="L650">
        <v>58</v>
      </c>
      <c r="M650" t="str" cm="1">
        <f t="array" ref="M650">_xlfn.IFS(
L650&lt;=12,"Children",
L650&lt;=19,"Teens",
L650&lt;=29,"Young Adults",
L650&lt;=39,"Adults",
L650&lt;=59,"Middle-Aged",
L650&gt;=60,"Seniors"
)</f>
        <v>Middle-Aged</v>
      </c>
      <c r="N650" t="s">
        <v>17</v>
      </c>
    </row>
    <row r="651" spans="1:14" x14ac:dyDescent="0.3">
      <c r="A651">
        <v>19164</v>
      </c>
      <c r="B651" t="s">
        <v>40</v>
      </c>
      <c r="C651" t="s">
        <v>38</v>
      </c>
      <c r="D651" s="3">
        <v>70000</v>
      </c>
      <c r="E651">
        <v>0</v>
      </c>
      <c r="F651" t="s">
        <v>15</v>
      </c>
      <c r="G651" t="s">
        <v>23</v>
      </c>
      <c r="H651" t="s">
        <v>20</v>
      </c>
      <c r="I651">
        <v>1</v>
      </c>
      <c r="J651" t="s">
        <v>24</v>
      </c>
      <c r="K651" t="s">
        <v>35</v>
      </c>
      <c r="L651">
        <v>38</v>
      </c>
      <c r="M651" t="str" cm="1">
        <f t="array" ref="M651">_xlfn.IFS(
L651&lt;=12,"Children",
L651&lt;=19,"Teens",
L651&lt;=29,"Young Adults",
L651&lt;=39,"Adults",
L651&lt;=59,"Middle-Aged",
L651&gt;=60,"Seniors"
)</f>
        <v>Adults</v>
      </c>
      <c r="N651" t="s">
        <v>17</v>
      </c>
    </row>
    <row r="652" spans="1:14" x14ac:dyDescent="0.3">
      <c r="A652">
        <v>18435</v>
      </c>
      <c r="B652" t="s">
        <v>40</v>
      </c>
      <c r="C652" t="s">
        <v>38</v>
      </c>
      <c r="D652" s="3">
        <v>70000</v>
      </c>
      <c r="E652">
        <v>5</v>
      </c>
      <c r="F652" t="s">
        <v>34</v>
      </c>
      <c r="G652" t="s">
        <v>31</v>
      </c>
      <c r="H652" t="s">
        <v>17</v>
      </c>
      <c r="I652">
        <v>2</v>
      </c>
      <c r="J652" t="s">
        <v>41</v>
      </c>
      <c r="K652" t="s">
        <v>35</v>
      </c>
      <c r="L652">
        <v>67</v>
      </c>
      <c r="M652" t="str" cm="1">
        <f t="array" ref="M652">_xlfn.IFS(
L652&lt;=12,"Children",
L652&lt;=19,"Teens",
L652&lt;=29,"Young Adults",
L652&lt;=39,"Adults",
L652&lt;=59,"Middle-Aged",
L652&gt;=60,"Seniors"
)</f>
        <v>Seniors</v>
      </c>
      <c r="N652" t="s">
        <v>17</v>
      </c>
    </row>
    <row r="653" spans="1:14" x14ac:dyDescent="0.3">
      <c r="A653">
        <v>14284</v>
      </c>
      <c r="B653" t="s">
        <v>40</v>
      </c>
      <c r="C653" t="s">
        <v>39</v>
      </c>
      <c r="D653" s="3">
        <v>60000</v>
      </c>
      <c r="E653">
        <v>0</v>
      </c>
      <c r="F653" t="s">
        <v>21</v>
      </c>
      <c r="G653" t="s">
        <v>23</v>
      </c>
      <c r="H653" t="s">
        <v>20</v>
      </c>
      <c r="I653">
        <v>2</v>
      </c>
      <c r="J653" t="s">
        <v>29</v>
      </c>
      <c r="K653" t="s">
        <v>35</v>
      </c>
      <c r="L653">
        <v>32</v>
      </c>
      <c r="M653" t="str" cm="1">
        <f t="array" ref="M653">_xlfn.IFS(
L653&lt;=12,"Children",
L653&lt;=19,"Teens",
L653&lt;=29,"Young Adults",
L653&lt;=39,"Adults",
L653&lt;=59,"Middle-Aged",
L653&gt;=60,"Seniors"
)</f>
        <v>Adults</v>
      </c>
      <c r="N653" t="s">
        <v>17</v>
      </c>
    </row>
    <row r="654" spans="1:14" x14ac:dyDescent="0.3">
      <c r="A654">
        <v>11287</v>
      </c>
      <c r="B654" t="s">
        <v>37</v>
      </c>
      <c r="C654" t="s">
        <v>39</v>
      </c>
      <c r="D654" s="3">
        <v>70000</v>
      </c>
      <c r="E654">
        <v>5</v>
      </c>
      <c r="F654" t="s">
        <v>21</v>
      </c>
      <c r="G654" t="s">
        <v>23</v>
      </c>
      <c r="H654" t="s">
        <v>20</v>
      </c>
      <c r="I654">
        <v>3</v>
      </c>
      <c r="J654" t="s">
        <v>26</v>
      </c>
      <c r="K654" t="s">
        <v>35</v>
      </c>
      <c r="L654">
        <v>45</v>
      </c>
      <c r="M654" t="str" cm="1">
        <f t="array" ref="M654">_xlfn.IFS(
L654&lt;=12,"Children",
L654&lt;=19,"Teens",
L654&lt;=29,"Young Adults",
L654&lt;=39,"Adults",
L654&lt;=59,"Middle-Aged",
L654&gt;=60,"Seniors"
)</f>
        <v>Middle-Aged</v>
      </c>
      <c r="N654" t="s">
        <v>20</v>
      </c>
    </row>
    <row r="655" spans="1:14" x14ac:dyDescent="0.3">
      <c r="A655">
        <v>13066</v>
      </c>
      <c r="B655" t="s">
        <v>40</v>
      </c>
      <c r="C655" t="s">
        <v>39</v>
      </c>
      <c r="D655" s="3">
        <v>30000</v>
      </c>
      <c r="E655">
        <v>0</v>
      </c>
      <c r="F655" t="s">
        <v>30</v>
      </c>
      <c r="G655" t="s">
        <v>16</v>
      </c>
      <c r="H655" t="s">
        <v>20</v>
      </c>
      <c r="I655">
        <v>2</v>
      </c>
      <c r="J655" t="s">
        <v>29</v>
      </c>
      <c r="K655" t="s">
        <v>35</v>
      </c>
      <c r="L655">
        <v>31</v>
      </c>
      <c r="M655" t="str" cm="1">
        <f t="array" ref="M655">_xlfn.IFS(
L655&lt;=12,"Children",
L655&lt;=19,"Teens",
L655&lt;=29,"Young Adults",
L655&lt;=39,"Adults",
L655&lt;=59,"Middle-Aged",
L655&gt;=60,"Seniors"
)</f>
        <v>Adults</v>
      </c>
      <c r="N655" t="s">
        <v>17</v>
      </c>
    </row>
    <row r="656" spans="1:14" x14ac:dyDescent="0.3">
      <c r="A656">
        <v>29106</v>
      </c>
      <c r="B656" t="s">
        <v>40</v>
      </c>
      <c r="C656" t="s">
        <v>39</v>
      </c>
      <c r="D656" s="3">
        <v>40000</v>
      </c>
      <c r="E656">
        <v>0</v>
      </c>
      <c r="F656" t="s">
        <v>30</v>
      </c>
      <c r="G656" t="s">
        <v>16</v>
      </c>
      <c r="H656" t="s">
        <v>20</v>
      </c>
      <c r="I656">
        <v>2</v>
      </c>
      <c r="J656" t="s">
        <v>29</v>
      </c>
      <c r="K656" t="s">
        <v>35</v>
      </c>
      <c r="L656">
        <v>31</v>
      </c>
      <c r="M656" t="str" cm="1">
        <f t="array" ref="M656">_xlfn.IFS(
L656&lt;=12,"Children",
L656&lt;=19,"Teens",
L656&lt;=29,"Young Adults",
L656&lt;=39,"Adults",
L656&lt;=59,"Middle-Aged",
L656&gt;=60,"Seniors"
)</f>
        <v>Adults</v>
      </c>
      <c r="N656" t="s">
        <v>17</v>
      </c>
    </row>
    <row r="657" spans="1:14" x14ac:dyDescent="0.3">
      <c r="A657">
        <v>26236</v>
      </c>
      <c r="B657" t="s">
        <v>37</v>
      </c>
      <c r="C657" t="s">
        <v>38</v>
      </c>
      <c r="D657" s="3">
        <v>40000</v>
      </c>
      <c r="E657">
        <v>3</v>
      </c>
      <c r="F657" t="s">
        <v>21</v>
      </c>
      <c r="G657" t="s">
        <v>22</v>
      </c>
      <c r="H657" t="s">
        <v>17</v>
      </c>
      <c r="I657">
        <v>1</v>
      </c>
      <c r="J657" t="s">
        <v>18</v>
      </c>
      <c r="K657" t="s">
        <v>35</v>
      </c>
      <c r="L657">
        <v>31</v>
      </c>
      <c r="M657" t="str" cm="1">
        <f t="array" ref="M657">_xlfn.IFS(
L657&lt;=12,"Children",
L657&lt;=19,"Teens",
L657&lt;=29,"Young Adults",
L657&lt;=39,"Adults",
L657&lt;=59,"Middle-Aged",
L657&gt;=60,"Seniors"
)</f>
        <v>Adults</v>
      </c>
      <c r="N657" t="s">
        <v>20</v>
      </c>
    </row>
    <row r="658" spans="1:14" x14ac:dyDescent="0.3">
      <c r="A658">
        <v>17531</v>
      </c>
      <c r="B658" t="s">
        <v>37</v>
      </c>
      <c r="C658" t="s">
        <v>39</v>
      </c>
      <c r="D658" s="3">
        <v>60000</v>
      </c>
      <c r="E658">
        <v>2</v>
      </c>
      <c r="F658" t="s">
        <v>30</v>
      </c>
      <c r="G658" t="s">
        <v>23</v>
      </c>
      <c r="H658" t="s">
        <v>20</v>
      </c>
      <c r="I658">
        <v>2</v>
      </c>
      <c r="J658" t="s">
        <v>26</v>
      </c>
      <c r="K658" t="s">
        <v>35</v>
      </c>
      <c r="L658">
        <v>50</v>
      </c>
      <c r="M658" t="str" cm="1">
        <f t="array" ref="M658">_xlfn.IFS(
L658&lt;=12,"Children",
L658&lt;=19,"Teens",
L658&lt;=29,"Young Adults",
L658&lt;=39,"Adults",
L658&lt;=59,"Middle-Aged",
L658&gt;=60,"Seniors"
)</f>
        <v>Middle-Aged</v>
      </c>
      <c r="N658" t="s">
        <v>20</v>
      </c>
    </row>
    <row r="659" spans="1:14" x14ac:dyDescent="0.3">
      <c r="A659">
        <v>12964</v>
      </c>
      <c r="B659" t="s">
        <v>37</v>
      </c>
      <c r="C659" t="s">
        <v>39</v>
      </c>
      <c r="D659" s="3">
        <v>70000</v>
      </c>
      <c r="E659">
        <v>1</v>
      </c>
      <c r="F659" t="s">
        <v>21</v>
      </c>
      <c r="G659" t="s">
        <v>16</v>
      </c>
      <c r="H659" t="s">
        <v>17</v>
      </c>
      <c r="I659">
        <v>1</v>
      </c>
      <c r="J659" t="s">
        <v>18</v>
      </c>
      <c r="K659" t="s">
        <v>35</v>
      </c>
      <c r="L659">
        <v>44</v>
      </c>
      <c r="M659" t="str" cm="1">
        <f t="array" ref="M659">_xlfn.IFS(
L659&lt;=12,"Children",
L659&lt;=19,"Teens",
L659&lt;=29,"Young Adults",
L659&lt;=39,"Adults",
L659&lt;=59,"Middle-Aged",
L659&gt;=60,"Seniors"
)</f>
        <v>Middle-Aged</v>
      </c>
      <c r="N659" t="s">
        <v>20</v>
      </c>
    </row>
    <row r="660" spans="1:14" x14ac:dyDescent="0.3">
      <c r="A660">
        <v>19133</v>
      </c>
      <c r="B660" t="s">
        <v>40</v>
      </c>
      <c r="C660" t="s">
        <v>39</v>
      </c>
      <c r="D660" s="3">
        <v>50000</v>
      </c>
      <c r="E660">
        <v>2</v>
      </c>
      <c r="F660" t="s">
        <v>15</v>
      </c>
      <c r="G660" t="s">
        <v>16</v>
      </c>
      <c r="H660" t="s">
        <v>17</v>
      </c>
      <c r="I660">
        <v>1</v>
      </c>
      <c r="J660" t="s">
        <v>24</v>
      </c>
      <c r="K660" t="s">
        <v>35</v>
      </c>
      <c r="L660">
        <v>38</v>
      </c>
      <c r="M660" t="str" cm="1">
        <f t="array" ref="M660">_xlfn.IFS(
L660&lt;=12,"Children",
L660&lt;=19,"Teens",
L660&lt;=29,"Young Adults",
L660&lt;=39,"Adults",
L660&lt;=59,"Middle-Aged",
L660&gt;=60,"Seniors"
)</f>
        <v>Adults</v>
      </c>
      <c r="N660" t="s">
        <v>17</v>
      </c>
    </row>
    <row r="661" spans="1:14" x14ac:dyDescent="0.3">
      <c r="A661">
        <v>24643</v>
      </c>
      <c r="B661" t="s">
        <v>40</v>
      </c>
      <c r="C661" t="s">
        <v>38</v>
      </c>
      <c r="D661" s="3">
        <v>60000</v>
      </c>
      <c r="E661">
        <v>4</v>
      </c>
      <c r="F661" t="s">
        <v>15</v>
      </c>
      <c r="G661" t="s">
        <v>31</v>
      </c>
      <c r="H661" t="s">
        <v>17</v>
      </c>
      <c r="I661">
        <v>2</v>
      </c>
      <c r="J661" t="s">
        <v>41</v>
      </c>
      <c r="K661" t="s">
        <v>35</v>
      </c>
      <c r="L661">
        <v>63</v>
      </c>
      <c r="M661" t="str" cm="1">
        <f t="array" ref="M661">_xlfn.IFS(
L661&lt;=12,"Children",
L661&lt;=19,"Teens",
L661&lt;=29,"Young Adults",
L661&lt;=39,"Adults",
L661&lt;=59,"Middle-Aged",
L661&gt;=60,"Seniors"
)</f>
        <v>Seniors</v>
      </c>
      <c r="N661" t="s">
        <v>20</v>
      </c>
    </row>
    <row r="662" spans="1:14" x14ac:dyDescent="0.3">
      <c r="A662">
        <v>21599</v>
      </c>
      <c r="B662" t="s">
        <v>37</v>
      </c>
      <c r="C662" t="s">
        <v>38</v>
      </c>
      <c r="D662" s="3">
        <v>60000</v>
      </c>
      <c r="E662">
        <v>1</v>
      </c>
      <c r="F662" t="s">
        <v>34</v>
      </c>
      <c r="G662" t="s">
        <v>23</v>
      </c>
      <c r="H662" t="s">
        <v>17</v>
      </c>
      <c r="I662">
        <v>0</v>
      </c>
      <c r="J662" t="s">
        <v>24</v>
      </c>
      <c r="K662" t="s">
        <v>35</v>
      </c>
      <c r="L662">
        <v>36</v>
      </c>
      <c r="M662" t="str" cm="1">
        <f t="array" ref="M662">_xlfn.IFS(
L662&lt;=12,"Children",
L662&lt;=19,"Teens",
L662&lt;=29,"Young Adults",
L662&lt;=39,"Adults",
L662&lt;=59,"Middle-Aged",
L662&gt;=60,"Seniors"
)</f>
        <v>Adults</v>
      </c>
      <c r="N662" t="s">
        <v>17</v>
      </c>
    </row>
    <row r="663" spans="1:14" x14ac:dyDescent="0.3">
      <c r="A663">
        <v>22976</v>
      </c>
      <c r="B663" t="s">
        <v>40</v>
      </c>
      <c r="C663" t="s">
        <v>39</v>
      </c>
      <c r="D663" s="3">
        <v>40000</v>
      </c>
      <c r="E663">
        <v>0</v>
      </c>
      <c r="F663" t="s">
        <v>30</v>
      </c>
      <c r="G663" t="s">
        <v>16</v>
      </c>
      <c r="H663" t="s">
        <v>20</v>
      </c>
      <c r="I663">
        <v>2</v>
      </c>
      <c r="J663" t="s">
        <v>18</v>
      </c>
      <c r="K663" t="s">
        <v>35</v>
      </c>
      <c r="L663">
        <v>28</v>
      </c>
      <c r="M663" t="str" cm="1">
        <f t="array" ref="M663">_xlfn.IFS(
L663&lt;=12,"Children",
L663&lt;=19,"Teens",
L663&lt;=29,"Young Adults",
L663&lt;=39,"Adults",
L663&lt;=59,"Middle-Aged",
L663&gt;=60,"Seniors"
)</f>
        <v>Young Adults</v>
      </c>
      <c r="N663" t="s">
        <v>17</v>
      </c>
    </row>
    <row r="664" spans="1:14" x14ac:dyDescent="0.3">
      <c r="A664">
        <v>27637</v>
      </c>
      <c r="B664" t="s">
        <v>40</v>
      </c>
      <c r="C664" t="s">
        <v>38</v>
      </c>
      <c r="D664" s="3">
        <v>100000</v>
      </c>
      <c r="E664">
        <v>1</v>
      </c>
      <c r="F664" t="s">
        <v>21</v>
      </c>
      <c r="G664" t="s">
        <v>23</v>
      </c>
      <c r="H664" t="s">
        <v>20</v>
      </c>
      <c r="I664">
        <v>3</v>
      </c>
      <c r="J664" t="s">
        <v>29</v>
      </c>
      <c r="K664" t="s">
        <v>35</v>
      </c>
      <c r="L664">
        <v>44</v>
      </c>
      <c r="M664" t="str" cm="1">
        <f t="array" ref="M664">_xlfn.IFS(
L664&lt;=12,"Children",
L664&lt;=19,"Teens",
L664&lt;=29,"Young Adults",
L664&lt;=39,"Adults",
L664&lt;=59,"Middle-Aged",
L664&gt;=60,"Seniors"
)</f>
        <v>Middle-Aged</v>
      </c>
      <c r="N664" t="s">
        <v>20</v>
      </c>
    </row>
    <row r="665" spans="1:14" x14ac:dyDescent="0.3">
      <c r="A665">
        <v>11890</v>
      </c>
      <c r="B665" t="s">
        <v>37</v>
      </c>
      <c r="C665" t="s">
        <v>38</v>
      </c>
      <c r="D665" s="3">
        <v>70000</v>
      </c>
      <c r="E665">
        <v>5</v>
      </c>
      <c r="F665" t="s">
        <v>34</v>
      </c>
      <c r="G665" t="s">
        <v>23</v>
      </c>
      <c r="H665" t="s">
        <v>17</v>
      </c>
      <c r="I665">
        <v>1</v>
      </c>
      <c r="J665" t="s">
        <v>18</v>
      </c>
      <c r="K665" t="s">
        <v>35</v>
      </c>
      <c r="L665">
        <v>47</v>
      </c>
      <c r="M665" t="str" cm="1">
        <f t="array" ref="M665">_xlfn.IFS(
L665&lt;=12,"Children",
L665&lt;=19,"Teens",
L665&lt;=29,"Young Adults",
L665&lt;=39,"Adults",
L665&lt;=59,"Middle-Aged",
L665&gt;=60,"Seniors"
)</f>
        <v>Middle-Aged</v>
      </c>
      <c r="N665" t="s">
        <v>20</v>
      </c>
    </row>
    <row r="666" spans="1:14" x14ac:dyDescent="0.3">
      <c r="A666">
        <v>28580</v>
      </c>
      <c r="B666" t="s">
        <v>37</v>
      </c>
      <c r="C666" t="s">
        <v>38</v>
      </c>
      <c r="D666" s="3">
        <v>80000</v>
      </c>
      <c r="E666">
        <v>0</v>
      </c>
      <c r="F666" t="s">
        <v>34</v>
      </c>
      <c r="G666" t="s">
        <v>16</v>
      </c>
      <c r="H666" t="s">
        <v>17</v>
      </c>
      <c r="I666">
        <v>0</v>
      </c>
      <c r="J666" t="s">
        <v>29</v>
      </c>
      <c r="K666" t="s">
        <v>35</v>
      </c>
      <c r="L666">
        <v>40</v>
      </c>
      <c r="M666" t="str" cm="1">
        <f t="array" ref="M666">_xlfn.IFS(
L666&lt;=12,"Children",
L666&lt;=19,"Teens",
L666&lt;=29,"Young Adults",
L666&lt;=39,"Adults",
L666&lt;=59,"Middle-Aged",
L666&gt;=60,"Seniors"
)</f>
        <v>Middle-Aged</v>
      </c>
      <c r="N666" t="s">
        <v>17</v>
      </c>
    </row>
    <row r="667" spans="1:14" x14ac:dyDescent="0.3">
      <c r="A667">
        <v>14443</v>
      </c>
      <c r="B667" t="s">
        <v>37</v>
      </c>
      <c r="C667" t="s">
        <v>39</v>
      </c>
      <c r="D667" s="3">
        <v>130000</v>
      </c>
      <c r="E667">
        <v>1</v>
      </c>
      <c r="F667" t="s">
        <v>34</v>
      </c>
      <c r="G667" t="s">
        <v>31</v>
      </c>
      <c r="H667" t="s">
        <v>17</v>
      </c>
      <c r="I667">
        <v>4</v>
      </c>
      <c r="J667" t="s">
        <v>18</v>
      </c>
      <c r="K667" t="s">
        <v>35</v>
      </c>
      <c r="L667">
        <v>40</v>
      </c>
      <c r="M667" t="str" cm="1">
        <f t="array" ref="M667">_xlfn.IFS(
L667&lt;=12,"Children",
L667&lt;=19,"Teens",
L667&lt;=29,"Young Adults",
L667&lt;=39,"Adults",
L667&lt;=59,"Middle-Aged",
L667&gt;=60,"Seniors"
)</f>
        <v>Middle-Aged</v>
      </c>
      <c r="N667" t="s">
        <v>20</v>
      </c>
    </row>
    <row r="668" spans="1:14" x14ac:dyDescent="0.3">
      <c r="A668">
        <v>17864</v>
      </c>
      <c r="B668" t="s">
        <v>37</v>
      </c>
      <c r="C668" t="s">
        <v>38</v>
      </c>
      <c r="D668" s="3">
        <v>60000</v>
      </c>
      <c r="E668">
        <v>1</v>
      </c>
      <c r="F668" t="s">
        <v>21</v>
      </c>
      <c r="G668" t="s">
        <v>16</v>
      </c>
      <c r="H668" t="s">
        <v>17</v>
      </c>
      <c r="I668">
        <v>1</v>
      </c>
      <c r="J668" t="s">
        <v>24</v>
      </c>
      <c r="K668" t="s">
        <v>35</v>
      </c>
      <c r="L668">
        <v>46</v>
      </c>
      <c r="M668" t="str" cm="1">
        <f t="array" ref="M668">_xlfn.IFS(
L668&lt;=12,"Children",
L668&lt;=19,"Teens",
L668&lt;=29,"Young Adults",
L668&lt;=39,"Adults",
L668&lt;=59,"Middle-Aged",
L668&gt;=60,"Seniors"
)</f>
        <v>Middle-Aged</v>
      </c>
      <c r="N668" t="s">
        <v>17</v>
      </c>
    </row>
    <row r="669" spans="1:14" x14ac:dyDescent="0.3">
      <c r="A669">
        <v>20505</v>
      </c>
      <c r="B669" t="s">
        <v>37</v>
      </c>
      <c r="C669" t="s">
        <v>38</v>
      </c>
      <c r="D669" s="3">
        <v>40000</v>
      </c>
      <c r="E669">
        <v>5</v>
      </c>
      <c r="F669" t="s">
        <v>30</v>
      </c>
      <c r="G669" t="s">
        <v>23</v>
      </c>
      <c r="H669" t="s">
        <v>20</v>
      </c>
      <c r="I669">
        <v>2</v>
      </c>
      <c r="J669" t="s">
        <v>41</v>
      </c>
      <c r="K669" t="s">
        <v>35</v>
      </c>
      <c r="L669">
        <v>61</v>
      </c>
      <c r="M669" t="str" cm="1">
        <f t="array" ref="M669">_xlfn.IFS(
L669&lt;=12,"Children",
L669&lt;=19,"Teens",
L669&lt;=29,"Young Adults",
L669&lt;=39,"Adults",
L669&lt;=59,"Middle-Aged",
L669&gt;=60,"Seniors"
)</f>
        <v>Seniors</v>
      </c>
      <c r="N669" t="s">
        <v>20</v>
      </c>
    </row>
    <row r="670" spans="1:14" x14ac:dyDescent="0.3">
      <c r="A670">
        <v>14592</v>
      </c>
      <c r="B670" t="s">
        <v>37</v>
      </c>
      <c r="C670" t="s">
        <v>38</v>
      </c>
      <c r="D670" s="3">
        <v>60000</v>
      </c>
      <c r="E670">
        <v>0</v>
      </c>
      <c r="F670" t="s">
        <v>34</v>
      </c>
      <c r="G670" t="s">
        <v>23</v>
      </c>
      <c r="H670" t="s">
        <v>17</v>
      </c>
      <c r="I670">
        <v>0</v>
      </c>
      <c r="J670" t="s">
        <v>18</v>
      </c>
      <c r="K670" t="s">
        <v>35</v>
      </c>
      <c r="L670">
        <v>40</v>
      </c>
      <c r="M670" t="str" cm="1">
        <f t="array" ref="M670">_xlfn.IFS(
L670&lt;=12,"Children",
L670&lt;=19,"Teens",
L670&lt;=29,"Young Adults",
L670&lt;=39,"Adults",
L670&lt;=59,"Middle-Aged",
L670&gt;=60,"Seniors"
)</f>
        <v>Middle-Aged</v>
      </c>
      <c r="N670" t="s">
        <v>20</v>
      </c>
    </row>
    <row r="671" spans="1:14" x14ac:dyDescent="0.3">
      <c r="A671">
        <v>22227</v>
      </c>
      <c r="B671" t="s">
        <v>37</v>
      </c>
      <c r="C671" t="s">
        <v>38</v>
      </c>
      <c r="D671" s="3">
        <v>60000</v>
      </c>
      <c r="E671">
        <v>2</v>
      </c>
      <c r="F671" t="s">
        <v>30</v>
      </c>
      <c r="G671" t="s">
        <v>23</v>
      </c>
      <c r="H671" t="s">
        <v>17</v>
      </c>
      <c r="I671">
        <v>2</v>
      </c>
      <c r="J671" t="s">
        <v>26</v>
      </c>
      <c r="K671" t="s">
        <v>35</v>
      </c>
      <c r="L671">
        <v>50</v>
      </c>
      <c r="M671" t="str" cm="1">
        <f t="array" ref="M671">_xlfn.IFS(
L671&lt;=12,"Children",
L671&lt;=19,"Teens",
L671&lt;=29,"Young Adults",
L671&lt;=39,"Adults",
L671&lt;=59,"Middle-Aged",
L671&gt;=60,"Seniors"
)</f>
        <v>Middle-Aged</v>
      </c>
      <c r="N671" t="s">
        <v>20</v>
      </c>
    </row>
    <row r="672" spans="1:14" x14ac:dyDescent="0.3">
      <c r="A672">
        <v>21471</v>
      </c>
      <c r="B672" t="s">
        <v>37</v>
      </c>
      <c r="C672" t="s">
        <v>39</v>
      </c>
      <c r="D672" s="3">
        <v>70000</v>
      </c>
      <c r="E672">
        <v>2</v>
      </c>
      <c r="F672" t="s">
        <v>21</v>
      </c>
      <c r="G672" t="s">
        <v>23</v>
      </c>
      <c r="H672" t="s">
        <v>17</v>
      </c>
      <c r="I672">
        <v>1</v>
      </c>
      <c r="J672" t="s">
        <v>41</v>
      </c>
      <c r="K672" t="s">
        <v>35</v>
      </c>
      <c r="L672">
        <v>59</v>
      </c>
      <c r="M672" t="str" cm="1">
        <f t="array" ref="M672">_xlfn.IFS(
L672&lt;=12,"Children",
L672&lt;=19,"Teens",
L672&lt;=29,"Young Adults",
L672&lt;=39,"Adults",
L672&lt;=59,"Middle-Aged",
L672&gt;=60,"Seniors"
)</f>
        <v>Middle-Aged</v>
      </c>
      <c r="N672" t="s">
        <v>20</v>
      </c>
    </row>
    <row r="673" spans="1:14" x14ac:dyDescent="0.3">
      <c r="A673">
        <v>22252</v>
      </c>
      <c r="B673" t="s">
        <v>40</v>
      </c>
      <c r="C673" t="s">
        <v>38</v>
      </c>
      <c r="D673" s="3">
        <v>60000</v>
      </c>
      <c r="E673">
        <v>1</v>
      </c>
      <c r="F673" t="s">
        <v>34</v>
      </c>
      <c r="G673" t="s">
        <v>23</v>
      </c>
      <c r="H673" t="s">
        <v>17</v>
      </c>
      <c r="I673">
        <v>0</v>
      </c>
      <c r="J673" t="s">
        <v>24</v>
      </c>
      <c r="K673" t="s">
        <v>35</v>
      </c>
      <c r="L673">
        <v>36</v>
      </c>
      <c r="M673" t="str" cm="1">
        <f t="array" ref="M673">_xlfn.IFS(
L673&lt;=12,"Children",
L673&lt;=19,"Teens",
L673&lt;=29,"Young Adults",
L673&lt;=39,"Adults",
L673&lt;=59,"Middle-Aged",
L673&gt;=60,"Seniors"
)</f>
        <v>Adults</v>
      </c>
      <c r="N673" t="s">
        <v>17</v>
      </c>
    </row>
    <row r="674" spans="1:14" x14ac:dyDescent="0.3">
      <c r="A674">
        <v>21260</v>
      </c>
      <c r="B674" t="s">
        <v>40</v>
      </c>
      <c r="C674" t="s">
        <v>38</v>
      </c>
      <c r="D674" s="3">
        <v>40000</v>
      </c>
      <c r="E674">
        <v>0</v>
      </c>
      <c r="F674" t="s">
        <v>30</v>
      </c>
      <c r="G674" t="s">
        <v>16</v>
      </c>
      <c r="H674" t="s">
        <v>17</v>
      </c>
      <c r="I674">
        <v>2</v>
      </c>
      <c r="J674" t="s">
        <v>26</v>
      </c>
      <c r="K674" t="s">
        <v>35</v>
      </c>
      <c r="L674">
        <v>30</v>
      </c>
      <c r="M674" t="str" cm="1">
        <f t="array" ref="M674">_xlfn.IFS(
L674&lt;=12,"Children",
L674&lt;=19,"Teens",
L674&lt;=29,"Young Adults",
L674&lt;=39,"Adults",
L674&lt;=59,"Middle-Aged",
L674&gt;=60,"Seniors"
)</f>
        <v>Adults</v>
      </c>
      <c r="N674" t="s">
        <v>20</v>
      </c>
    </row>
    <row r="675" spans="1:14" x14ac:dyDescent="0.3">
      <c r="A675">
        <v>11817</v>
      </c>
      <c r="B675" t="s">
        <v>40</v>
      </c>
      <c r="C675" t="s">
        <v>38</v>
      </c>
      <c r="D675" s="3">
        <v>70000</v>
      </c>
      <c r="E675">
        <v>4</v>
      </c>
      <c r="F675" t="s">
        <v>34</v>
      </c>
      <c r="G675" t="s">
        <v>23</v>
      </c>
      <c r="H675" t="s">
        <v>17</v>
      </c>
      <c r="I675">
        <v>0</v>
      </c>
      <c r="J675" t="s">
        <v>24</v>
      </c>
      <c r="K675" t="s">
        <v>35</v>
      </c>
      <c r="L675">
        <v>35</v>
      </c>
      <c r="M675" t="str" cm="1">
        <f t="array" ref="M675">_xlfn.IFS(
L675&lt;=12,"Children",
L675&lt;=19,"Teens",
L675&lt;=29,"Young Adults",
L675&lt;=39,"Adults",
L675&lt;=59,"Middle-Aged",
L675&gt;=60,"Seniors"
)</f>
        <v>Adults</v>
      </c>
      <c r="N675" t="s">
        <v>17</v>
      </c>
    </row>
    <row r="676" spans="1:14" x14ac:dyDescent="0.3">
      <c r="A676">
        <v>19223</v>
      </c>
      <c r="B676" t="s">
        <v>37</v>
      </c>
      <c r="C676" t="s">
        <v>38</v>
      </c>
      <c r="D676" s="3">
        <v>30000</v>
      </c>
      <c r="E676">
        <v>2</v>
      </c>
      <c r="F676" t="s">
        <v>30</v>
      </c>
      <c r="G676" t="s">
        <v>16</v>
      </c>
      <c r="H676" t="s">
        <v>17</v>
      </c>
      <c r="I676">
        <v>2</v>
      </c>
      <c r="J676" t="s">
        <v>29</v>
      </c>
      <c r="K676" t="s">
        <v>35</v>
      </c>
      <c r="L676">
        <v>48</v>
      </c>
      <c r="M676" t="str" cm="1">
        <f t="array" ref="M676">_xlfn.IFS(
L676&lt;=12,"Children",
L676&lt;=19,"Teens",
L676&lt;=29,"Young Adults",
L676&lt;=39,"Adults",
L676&lt;=59,"Middle-Aged",
L676&gt;=60,"Seniors"
)</f>
        <v>Middle-Aged</v>
      </c>
      <c r="N676" t="s">
        <v>20</v>
      </c>
    </row>
    <row r="677" spans="1:14" x14ac:dyDescent="0.3">
      <c r="A677">
        <v>18517</v>
      </c>
      <c r="B677" t="s">
        <v>37</v>
      </c>
      <c r="C677" t="s">
        <v>39</v>
      </c>
      <c r="D677" s="3">
        <v>100000</v>
      </c>
      <c r="E677">
        <v>3</v>
      </c>
      <c r="F677" t="s">
        <v>15</v>
      </c>
      <c r="G677" t="s">
        <v>31</v>
      </c>
      <c r="H677" t="s">
        <v>17</v>
      </c>
      <c r="I677">
        <v>4</v>
      </c>
      <c r="J677" t="s">
        <v>18</v>
      </c>
      <c r="K677" t="s">
        <v>35</v>
      </c>
      <c r="L677">
        <v>41</v>
      </c>
      <c r="M677" t="str" cm="1">
        <f t="array" ref="M677">_xlfn.IFS(
L677&lt;=12,"Children",
L677&lt;=19,"Teens",
L677&lt;=29,"Young Adults",
L677&lt;=39,"Adults",
L677&lt;=59,"Middle-Aged",
L677&gt;=60,"Seniors"
)</f>
        <v>Middle-Aged</v>
      </c>
      <c r="N677" t="s">
        <v>20</v>
      </c>
    </row>
    <row r="678" spans="1:14" x14ac:dyDescent="0.3">
      <c r="A678">
        <v>21717</v>
      </c>
      <c r="B678" t="s">
        <v>37</v>
      </c>
      <c r="C678" t="s">
        <v>39</v>
      </c>
      <c r="D678" s="3">
        <v>40000</v>
      </c>
      <c r="E678">
        <v>2</v>
      </c>
      <c r="F678" t="s">
        <v>21</v>
      </c>
      <c r="G678" t="s">
        <v>22</v>
      </c>
      <c r="H678" t="s">
        <v>17</v>
      </c>
      <c r="I678">
        <v>1</v>
      </c>
      <c r="J678" t="s">
        <v>18</v>
      </c>
      <c r="K678" t="s">
        <v>35</v>
      </c>
      <c r="L678">
        <v>47</v>
      </c>
      <c r="M678" t="str" cm="1">
        <f t="array" ref="M678">_xlfn.IFS(
L678&lt;=12,"Children",
L678&lt;=19,"Teens",
L678&lt;=29,"Young Adults",
L678&lt;=39,"Adults",
L678&lt;=59,"Middle-Aged",
L678&gt;=60,"Seniors"
)</f>
        <v>Middle-Aged</v>
      </c>
      <c r="N678" t="s">
        <v>20</v>
      </c>
    </row>
    <row r="679" spans="1:14" x14ac:dyDescent="0.3">
      <c r="A679">
        <v>13760</v>
      </c>
      <c r="B679" t="s">
        <v>37</v>
      </c>
      <c r="C679" t="s">
        <v>39</v>
      </c>
      <c r="D679" s="3">
        <v>60000</v>
      </c>
      <c r="E679">
        <v>4</v>
      </c>
      <c r="F679" t="s">
        <v>34</v>
      </c>
      <c r="G679" t="s">
        <v>16</v>
      </c>
      <c r="H679" t="s">
        <v>20</v>
      </c>
      <c r="I679">
        <v>0</v>
      </c>
      <c r="J679" t="s">
        <v>18</v>
      </c>
      <c r="K679" t="s">
        <v>35</v>
      </c>
      <c r="L679">
        <v>47</v>
      </c>
      <c r="M679" t="str" cm="1">
        <f t="array" ref="M679">_xlfn.IFS(
L679&lt;=12,"Children",
L679&lt;=19,"Teens",
L679&lt;=29,"Young Adults",
L679&lt;=39,"Adults",
L679&lt;=59,"Middle-Aged",
L679&gt;=60,"Seniors"
)</f>
        <v>Middle-Aged</v>
      </c>
      <c r="N679" t="s">
        <v>20</v>
      </c>
    </row>
    <row r="680" spans="1:14" x14ac:dyDescent="0.3">
      <c r="A680">
        <v>18145</v>
      </c>
      <c r="B680" t="s">
        <v>37</v>
      </c>
      <c r="C680" t="s">
        <v>39</v>
      </c>
      <c r="D680" s="3">
        <v>80000</v>
      </c>
      <c r="E680">
        <v>5</v>
      </c>
      <c r="F680" t="s">
        <v>15</v>
      </c>
      <c r="G680" t="s">
        <v>31</v>
      </c>
      <c r="H680" t="s">
        <v>20</v>
      </c>
      <c r="I680">
        <v>2</v>
      </c>
      <c r="J680" t="s">
        <v>24</v>
      </c>
      <c r="K680" t="s">
        <v>19</v>
      </c>
      <c r="L680">
        <v>62</v>
      </c>
      <c r="M680" t="str" cm="1">
        <f t="array" ref="M680">_xlfn.IFS(
L680&lt;=12,"Children",
L680&lt;=19,"Teens",
L680&lt;=29,"Young Adults",
L680&lt;=39,"Adults",
L680&lt;=59,"Middle-Aged",
L680&gt;=60,"Seniors"
)</f>
        <v>Seniors</v>
      </c>
      <c r="N680" t="s">
        <v>20</v>
      </c>
    </row>
    <row r="681" spans="1:14" x14ac:dyDescent="0.3">
      <c r="A681">
        <v>21770</v>
      </c>
      <c r="B681" t="s">
        <v>37</v>
      </c>
      <c r="C681" t="s">
        <v>39</v>
      </c>
      <c r="D681" s="3">
        <v>60000</v>
      </c>
      <c r="E681">
        <v>4</v>
      </c>
      <c r="F681" t="s">
        <v>15</v>
      </c>
      <c r="G681" t="s">
        <v>31</v>
      </c>
      <c r="H681" t="s">
        <v>17</v>
      </c>
      <c r="I681">
        <v>2</v>
      </c>
      <c r="J681" t="s">
        <v>41</v>
      </c>
      <c r="K681" t="s">
        <v>35</v>
      </c>
      <c r="L681">
        <v>60</v>
      </c>
      <c r="M681" t="str" cm="1">
        <f t="array" ref="M681">_xlfn.IFS(
L681&lt;=12,"Children",
L681&lt;=19,"Teens",
L681&lt;=29,"Young Adults",
L681&lt;=39,"Adults",
L681&lt;=59,"Middle-Aged",
L681&gt;=60,"Seniors"
)</f>
        <v>Seniors</v>
      </c>
      <c r="N681" t="s">
        <v>20</v>
      </c>
    </row>
    <row r="682" spans="1:14" x14ac:dyDescent="0.3">
      <c r="A682">
        <v>11165</v>
      </c>
      <c r="B682" t="s">
        <v>37</v>
      </c>
      <c r="C682" t="s">
        <v>38</v>
      </c>
      <c r="D682" s="3">
        <v>60000</v>
      </c>
      <c r="E682">
        <v>0</v>
      </c>
      <c r="F682" t="s">
        <v>21</v>
      </c>
      <c r="G682" t="s">
        <v>16</v>
      </c>
      <c r="H682" t="s">
        <v>20</v>
      </c>
      <c r="I682">
        <v>1</v>
      </c>
      <c r="J682" t="s">
        <v>29</v>
      </c>
      <c r="K682" t="s">
        <v>35</v>
      </c>
      <c r="L682">
        <v>33</v>
      </c>
      <c r="M682" t="str" cm="1">
        <f t="array" ref="M682">_xlfn.IFS(
L682&lt;=12,"Children",
L682&lt;=19,"Teens",
L682&lt;=29,"Young Adults",
L682&lt;=39,"Adults",
L682&lt;=59,"Middle-Aged",
L682&gt;=60,"Seniors"
)</f>
        <v>Adults</v>
      </c>
      <c r="N682" t="s">
        <v>20</v>
      </c>
    </row>
    <row r="683" spans="1:14" x14ac:dyDescent="0.3">
      <c r="A683">
        <v>16377</v>
      </c>
      <c r="B683" t="s">
        <v>40</v>
      </c>
      <c r="C683" t="s">
        <v>38</v>
      </c>
      <c r="D683" s="3">
        <v>80000</v>
      </c>
      <c r="E683">
        <v>4</v>
      </c>
      <c r="F683" t="s">
        <v>34</v>
      </c>
      <c r="G683" t="s">
        <v>16</v>
      </c>
      <c r="H683" t="s">
        <v>20</v>
      </c>
      <c r="I683">
        <v>0</v>
      </c>
      <c r="J683" t="s">
        <v>18</v>
      </c>
      <c r="K683" t="s">
        <v>35</v>
      </c>
      <c r="L683">
        <v>47</v>
      </c>
      <c r="M683" t="str" cm="1">
        <f t="array" ref="M683">_xlfn.IFS(
L683&lt;=12,"Children",
L683&lt;=19,"Teens",
L683&lt;=29,"Young Adults",
L683&lt;=39,"Adults",
L683&lt;=59,"Middle-Aged",
L683&gt;=60,"Seniors"
)</f>
        <v>Middle-Aged</v>
      </c>
      <c r="N683" t="s">
        <v>20</v>
      </c>
    </row>
    <row r="684" spans="1:14" x14ac:dyDescent="0.3">
      <c r="A684">
        <v>26248</v>
      </c>
      <c r="B684" t="s">
        <v>37</v>
      </c>
      <c r="C684" t="s">
        <v>39</v>
      </c>
      <c r="D684" s="3">
        <v>20000</v>
      </c>
      <c r="E684">
        <v>3</v>
      </c>
      <c r="F684" t="s">
        <v>32</v>
      </c>
      <c r="G684" t="s">
        <v>22</v>
      </c>
      <c r="H684" t="s">
        <v>20</v>
      </c>
      <c r="I684">
        <v>2</v>
      </c>
      <c r="J684" t="s">
        <v>18</v>
      </c>
      <c r="K684" t="s">
        <v>35</v>
      </c>
      <c r="L684">
        <v>52</v>
      </c>
      <c r="M684" t="str" cm="1">
        <f t="array" ref="M684">_xlfn.IFS(
L684&lt;=12,"Children",
L684&lt;=19,"Teens",
L684&lt;=29,"Young Adults",
L684&lt;=39,"Adults",
L684&lt;=59,"Middle-Aged",
L684&gt;=60,"Seniors"
)</f>
        <v>Middle-Aged</v>
      </c>
      <c r="N684" t="s">
        <v>20</v>
      </c>
    </row>
    <row r="685" spans="1:14" x14ac:dyDescent="0.3">
      <c r="A685">
        <v>23461</v>
      </c>
      <c r="B685" t="s">
        <v>37</v>
      </c>
      <c r="C685" t="s">
        <v>38</v>
      </c>
      <c r="D685" s="3">
        <v>90000</v>
      </c>
      <c r="E685">
        <v>5</v>
      </c>
      <c r="F685" t="s">
        <v>21</v>
      </c>
      <c r="G685" t="s">
        <v>23</v>
      </c>
      <c r="H685" t="s">
        <v>17</v>
      </c>
      <c r="I685">
        <v>3</v>
      </c>
      <c r="J685" t="s">
        <v>24</v>
      </c>
      <c r="K685" t="s">
        <v>35</v>
      </c>
      <c r="L685">
        <v>40</v>
      </c>
      <c r="M685" t="str" cm="1">
        <f t="array" ref="M685">_xlfn.IFS(
L685&lt;=12,"Children",
L685&lt;=19,"Teens",
L685&lt;=29,"Young Adults",
L685&lt;=39,"Adults",
L685&lt;=59,"Middle-Aged",
L685&gt;=60,"Seniors"
)</f>
        <v>Middle-Aged</v>
      </c>
      <c r="N685" t="s">
        <v>20</v>
      </c>
    </row>
    <row r="686" spans="1:14" x14ac:dyDescent="0.3">
      <c r="A686">
        <v>29133</v>
      </c>
      <c r="B686" t="s">
        <v>40</v>
      </c>
      <c r="C686" t="s">
        <v>38</v>
      </c>
      <c r="D686" s="3">
        <v>60000</v>
      </c>
      <c r="E686">
        <v>4</v>
      </c>
      <c r="F686" t="s">
        <v>15</v>
      </c>
      <c r="G686" t="s">
        <v>16</v>
      </c>
      <c r="H686" t="s">
        <v>20</v>
      </c>
      <c r="I686">
        <v>2</v>
      </c>
      <c r="J686" t="s">
        <v>18</v>
      </c>
      <c r="K686" t="s">
        <v>35</v>
      </c>
      <c r="L686">
        <v>42</v>
      </c>
      <c r="M686" t="str" cm="1">
        <f t="array" ref="M686">_xlfn.IFS(
L686&lt;=12,"Children",
L686&lt;=19,"Teens",
L686&lt;=29,"Young Adults",
L686&lt;=39,"Adults",
L686&lt;=59,"Middle-Aged",
L686&gt;=60,"Seniors"
)</f>
        <v>Middle-Aged</v>
      </c>
      <c r="N686" t="s">
        <v>20</v>
      </c>
    </row>
    <row r="687" spans="1:14" x14ac:dyDescent="0.3">
      <c r="A687">
        <v>27673</v>
      </c>
      <c r="B687" t="s">
        <v>40</v>
      </c>
      <c r="C687" t="s">
        <v>38</v>
      </c>
      <c r="D687" s="3">
        <v>60000</v>
      </c>
      <c r="E687">
        <v>3</v>
      </c>
      <c r="F687" t="s">
        <v>34</v>
      </c>
      <c r="G687" t="s">
        <v>31</v>
      </c>
      <c r="H687" t="s">
        <v>17</v>
      </c>
      <c r="I687">
        <v>2</v>
      </c>
      <c r="J687" t="s">
        <v>26</v>
      </c>
      <c r="K687" t="s">
        <v>35</v>
      </c>
      <c r="L687">
        <v>53</v>
      </c>
      <c r="M687" t="str" cm="1">
        <f t="array" ref="M687">_xlfn.IFS(
L687&lt;=12,"Children",
L687&lt;=19,"Teens",
L687&lt;=29,"Young Adults",
L687&lt;=39,"Adults",
L687&lt;=59,"Middle-Aged",
L687&gt;=60,"Seniors"
)</f>
        <v>Middle-Aged</v>
      </c>
      <c r="N687" t="s">
        <v>17</v>
      </c>
    </row>
    <row r="688" spans="1:14" x14ac:dyDescent="0.3">
      <c r="A688">
        <v>12774</v>
      </c>
      <c r="B688" t="s">
        <v>37</v>
      </c>
      <c r="C688" t="s">
        <v>38</v>
      </c>
      <c r="D688" s="3">
        <v>40000</v>
      </c>
      <c r="E688">
        <v>1</v>
      </c>
      <c r="F688" t="s">
        <v>21</v>
      </c>
      <c r="G688" t="s">
        <v>22</v>
      </c>
      <c r="H688" t="s">
        <v>17</v>
      </c>
      <c r="I688">
        <v>1</v>
      </c>
      <c r="J688" t="s">
        <v>29</v>
      </c>
      <c r="K688" t="s">
        <v>35</v>
      </c>
      <c r="L688">
        <v>51</v>
      </c>
      <c r="M688" t="str" cm="1">
        <f t="array" ref="M688">_xlfn.IFS(
L688&lt;=12,"Children",
L688&lt;=19,"Teens",
L688&lt;=29,"Young Adults",
L688&lt;=39,"Adults",
L688&lt;=59,"Middle-Aged",
L688&gt;=60,"Seniors"
)</f>
        <v>Middle-Aged</v>
      </c>
      <c r="N688" t="s">
        <v>17</v>
      </c>
    </row>
    <row r="689" spans="1:14" x14ac:dyDescent="0.3">
      <c r="A689">
        <v>18910</v>
      </c>
      <c r="B689" t="s">
        <v>40</v>
      </c>
      <c r="C689" t="s">
        <v>39</v>
      </c>
      <c r="D689" s="3">
        <v>30000</v>
      </c>
      <c r="E689">
        <v>0</v>
      </c>
      <c r="F689" t="s">
        <v>21</v>
      </c>
      <c r="G689" t="s">
        <v>16</v>
      </c>
      <c r="H689" t="s">
        <v>17</v>
      </c>
      <c r="I689">
        <v>2</v>
      </c>
      <c r="J689" t="s">
        <v>26</v>
      </c>
      <c r="K689" t="s">
        <v>35</v>
      </c>
      <c r="L689">
        <v>30</v>
      </c>
      <c r="M689" t="str" cm="1">
        <f t="array" ref="M689">_xlfn.IFS(
L689&lt;=12,"Children",
L689&lt;=19,"Teens",
L689&lt;=29,"Young Adults",
L689&lt;=39,"Adults",
L689&lt;=59,"Middle-Aged",
L689&gt;=60,"Seniors"
)</f>
        <v>Adults</v>
      </c>
      <c r="N689" t="s">
        <v>20</v>
      </c>
    </row>
    <row r="690" spans="1:14" x14ac:dyDescent="0.3">
      <c r="A690">
        <v>11699</v>
      </c>
      <c r="B690" t="s">
        <v>40</v>
      </c>
      <c r="C690" t="s">
        <v>39</v>
      </c>
      <c r="D690" s="3">
        <v>60000</v>
      </c>
      <c r="E690">
        <v>0</v>
      </c>
      <c r="F690" t="s">
        <v>15</v>
      </c>
      <c r="G690" t="s">
        <v>16</v>
      </c>
      <c r="H690" t="s">
        <v>20</v>
      </c>
      <c r="I690">
        <v>2</v>
      </c>
      <c r="J690" t="s">
        <v>18</v>
      </c>
      <c r="K690" t="s">
        <v>35</v>
      </c>
      <c r="L690">
        <v>30</v>
      </c>
      <c r="M690" t="str" cm="1">
        <f t="array" ref="M690">_xlfn.IFS(
L690&lt;=12,"Children",
L690&lt;=19,"Teens",
L690&lt;=29,"Young Adults",
L690&lt;=39,"Adults",
L690&lt;=59,"Middle-Aged",
L690&gt;=60,"Seniors"
)</f>
        <v>Adults</v>
      </c>
      <c r="N690" t="s">
        <v>20</v>
      </c>
    </row>
    <row r="691" spans="1:14" x14ac:dyDescent="0.3">
      <c r="A691">
        <v>16725</v>
      </c>
      <c r="B691" t="s">
        <v>37</v>
      </c>
      <c r="C691" t="s">
        <v>39</v>
      </c>
      <c r="D691" s="3">
        <v>30000</v>
      </c>
      <c r="E691">
        <v>0</v>
      </c>
      <c r="F691" t="s">
        <v>30</v>
      </c>
      <c r="G691" t="s">
        <v>16</v>
      </c>
      <c r="H691" t="s">
        <v>17</v>
      </c>
      <c r="I691">
        <v>2</v>
      </c>
      <c r="J691" t="s">
        <v>26</v>
      </c>
      <c r="K691" t="s">
        <v>35</v>
      </c>
      <c r="L691">
        <v>26</v>
      </c>
      <c r="M691" t="str" cm="1">
        <f t="array" ref="M691">_xlfn.IFS(
L691&lt;=12,"Children",
L691&lt;=19,"Teens",
L691&lt;=29,"Young Adults",
L691&lt;=39,"Adults",
L691&lt;=59,"Middle-Aged",
L691&gt;=60,"Seniors"
)</f>
        <v>Young Adults</v>
      </c>
      <c r="N691" t="s">
        <v>20</v>
      </c>
    </row>
    <row r="692" spans="1:14" x14ac:dyDescent="0.3">
      <c r="A692">
        <v>28269</v>
      </c>
      <c r="B692" t="s">
        <v>40</v>
      </c>
      <c r="C692" t="s">
        <v>38</v>
      </c>
      <c r="D692" s="3">
        <v>130000</v>
      </c>
      <c r="E692">
        <v>1</v>
      </c>
      <c r="F692" t="s">
        <v>15</v>
      </c>
      <c r="G692" t="s">
        <v>31</v>
      </c>
      <c r="H692" t="s">
        <v>20</v>
      </c>
      <c r="I692">
        <v>1</v>
      </c>
      <c r="J692" t="s">
        <v>24</v>
      </c>
      <c r="K692" t="s">
        <v>35</v>
      </c>
      <c r="L692">
        <v>45</v>
      </c>
      <c r="M692" t="str" cm="1">
        <f t="array" ref="M692">_xlfn.IFS(
L692&lt;=12,"Children",
L692&lt;=19,"Teens",
L692&lt;=29,"Young Adults",
L692&lt;=39,"Adults",
L692&lt;=59,"Middle-Aged",
L692&gt;=60,"Seniors"
)</f>
        <v>Middle-Aged</v>
      </c>
      <c r="N692" t="s">
        <v>20</v>
      </c>
    </row>
    <row r="693" spans="1:14" x14ac:dyDescent="0.3">
      <c r="A693">
        <v>23144</v>
      </c>
      <c r="B693" t="s">
        <v>37</v>
      </c>
      <c r="C693" t="s">
        <v>39</v>
      </c>
      <c r="D693" s="3">
        <v>50000</v>
      </c>
      <c r="E693">
        <v>1</v>
      </c>
      <c r="F693" t="s">
        <v>15</v>
      </c>
      <c r="G693" t="s">
        <v>16</v>
      </c>
      <c r="H693" t="s">
        <v>17</v>
      </c>
      <c r="I693">
        <v>0</v>
      </c>
      <c r="J693" t="s">
        <v>18</v>
      </c>
      <c r="K693" t="s">
        <v>35</v>
      </c>
      <c r="L693">
        <v>34</v>
      </c>
      <c r="M693" t="str" cm="1">
        <f t="array" ref="M693">_xlfn.IFS(
L693&lt;=12,"Children",
L693&lt;=19,"Teens",
L693&lt;=29,"Young Adults",
L693&lt;=39,"Adults",
L693&lt;=59,"Middle-Aged",
L693&gt;=60,"Seniors"
)</f>
        <v>Adults</v>
      </c>
      <c r="N693" t="s">
        <v>17</v>
      </c>
    </row>
    <row r="694" spans="1:14" x14ac:dyDescent="0.3">
      <c r="A694">
        <v>23376</v>
      </c>
      <c r="B694" t="s">
        <v>37</v>
      </c>
      <c r="C694" t="s">
        <v>39</v>
      </c>
      <c r="D694" s="3">
        <v>70000</v>
      </c>
      <c r="E694">
        <v>1</v>
      </c>
      <c r="F694" t="s">
        <v>15</v>
      </c>
      <c r="G694" t="s">
        <v>23</v>
      </c>
      <c r="H694" t="s">
        <v>17</v>
      </c>
      <c r="I694">
        <v>1</v>
      </c>
      <c r="J694" t="s">
        <v>24</v>
      </c>
      <c r="K694" t="s">
        <v>35</v>
      </c>
      <c r="L694">
        <v>44</v>
      </c>
      <c r="M694" t="str" cm="1">
        <f t="array" ref="M694">_xlfn.IFS(
L694&lt;=12,"Children",
L694&lt;=19,"Teens",
L694&lt;=29,"Young Adults",
L694&lt;=39,"Adults",
L694&lt;=59,"Middle-Aged",
L694&gt;=60,"Seniors"
)</f>
        <v>Middle-Aged</v>
      </c>
      <c r="N694" t="s">
        <v>17</v>
      </c>
    </row>
    <row r="695" spans="1:14" x14ac:dyDescent="0.3">
      <c r="A695">
        <v>25970</v>
      </c>
      <c r="B695" t="s">
        <v>40</v>
      </c>
      <c r="C695" t="s">
        <v>38</v>
      </c>
      <c r="D695" s="3">
        <v>60000</v>
      </c>
      <c r="E695">
        <v>4</v>
      </c>
      <c r="F695" t="s">
        <v>15</v>
      </c>
      <c r="G695" t="s">
        <v>16</v>
      </c>
      <c r="H695" t="s">
        <v>20</v>
      </c>
      <c r="I695">
        <v>2</v>
      </c>
      <c r="J695" t="s">
        <v>18</v>
      </c>
      <c r="K695" t="s">
        <v>35</v>
      </c>
      <c r="L695">
        <v>41</v>
      </c>
      <c r="M695" t="str" cm="1">
        <f t="array" ref="M695">_xlfn.IFS(
L695&lt;=12,"Children",
L695&lt;=19,"Teens",
L695&lt;=29,"Young Adults",
L695&lt;=39,"Adults",
L695&lt;=59,"Middle-Aged",
L695&gt;=60,"Seniors"
)</f>
        <v>Middle-Aged</v>
      </c>
      <c r="N695" t="s">
        <v>17</v>
      </c>
    </row>
    <row r="696" spans="1:14" x14ac:dyDescent="0.3">
      <c r="A696">
        <v>28068</v>
      </c>
      <c r="B696" t="s">
        <v>40</v>
      </c>
      <c r="C696" t="s">
        <v>38</v>
      </c>
      <c r="D696" s="3">
        <v>80000</v>
      </c>
      <c r="E696">
        <v>3</v>
      </c>
      <c r="F696" t="s">
        <v>34</v>
      </c>
      <c r="G696" t="s">
        <v>23</v>
      </c>
      <c r="H696" t="s">
        <v>20</v>
      </c>
      <c r="I696">
        <v>0</v>
      </c>
      <c r="J696" t="s">
        <v>18</v>
      </c>
      <c r="K696" t="s">
        <v>35</v>
      </c>
      <c r="L696">
        <v>36</v>
      </c>
      <c r="M696" t="str" cm="1">
        <f t="array" ref="M696">_xlfn.IFS(
L696&lt;=12,"Children",
L696&lt;=19,"Teens",
L696&lt;=29,"Young Adults",
L696&lt;=39,"Adults",
L696&lt;=59,"Middle-Aged",
L696&gt;=60,"Seniors"
)</f>
        <v>Adults</v>
      </c>
      <c r="N696" t="s">
        <v>17</v>
      </c>
    </row>
    <row r="697" spans="1:14" x14ac:dyDescent="0.3">
      <c r="A697">
        <v>18390</v>
      </c>
      <c r="B697" t="s">
        <v>37</v>
      </c>
      <c r="C697" t="s">
        <v>39</v>
      </c>
      <c r="D697" s="3">
        <v>80000</v>
      </c>
      <c r="E697">
        <v>5</v>
      </c>
      <c r="F697" t="s">
        <v>21</v>
      </c>
      <c r="G697" t="s">
        <v>23</v>
      </c>
      <c r="H697" t="s">
        <v>17</v>
      </c>
      <c r="I697">
        <v>2</v>
      </c>
      <c r="J697" t="s">
        <v>18</v>
      </c>
      <c r="K697" t="s">
        <v>35</v>
      </c>
      <c r="L697">
        <v>44</v>
      </c>
      <c r="M697" t="str" cm="1">
        <f t="array" ref="M697">_xlfn.IFS(
L697&lt;=12,"Children",
L697&lt;=19,"Teens",
L697&lt;=29,"Young Adults",
L697&lt;=39,"Adults",
L697&lt;=59,"Middle-Aged",
L697&gt;=60,"Seniors"
)</f>
        <v>Middle-Aged</v>
      </c>
      <c r="N697" t="s">
        <v>20</v>
      </c>
    </row>
    <row r="698" spans="1:14" x14ac:dyDescent="0.3">
      <c r="A698">
        <v>29112</v>
      </c>
      <c r="B698" t="s">
        <v>40</v>
      </c>
      <c r="C698" t="s">
        <v>39</v>
      </c>
      <c r="D698" s="3">
        <v>60000</v>
      </c>
      <c r="E698">
        <v>0</v>
      </c>
      <c r="F698" t="s">
        <v>21</v>
      </c>
      <c r="G698" t="s">
        <v>23</v>
      </c>
      <c r="H698" t="s">
        <v>20</v>
      </c>
      <c r="I698">
        <v>2</v>
      </c>
      <c r="J698" t="s">
        <v>29</v>
      </c>
      <c r="K698" t="s">
        <v>35</v>
      </c>
      <c r="L698">
        <v>30</v>
      </c>
      <c r="M698" t="str" cm="1">
        <f t="array" ref="M698">_xlfn.IFS(
L698&lt;=12,"Children",
L698&lt;=19,"Teens",
L698&lt;=29,"Young Adults",
L698&lt;=39,"Adults",
L698&lt;=59,"Middle-Aged",
L698&gt;=60,"Seniors"
)</f>
        <v>Adults</v>
      </c>
      <c r="N698" t="s">
        <v>20</v>
      </c>
    </row>
    <row r="699" spans="1:14" x14ac:dyDescent="0.3">
      <c r="A699">
        <v>14090</v>
      </c>
      <c r="B699" t="s">
        <v>37</v>
      </c>
      <c r="C699" t="s">
        <v>38</v>
      </c>
      <c r="D699" s="3">
        <v>30000</v>
      </c>
      <c r="E699">
        <v>0</v>
      </c>
      <c r="F699" t="s">
        <v>32</v>
      </c>
      <c r="G699" t="s">
        <v>22</v>
      </c>
      <c r="H699" t="s">
        <v>20</v>
      </c>
      <c r="I699">
        <v>2</v>
      </c>
      <c r="J699" t="s">
        <v>18</v>
      </c>
      <c r="K699" t="s">
        <v>35</v>
      </c>
      <c r="L699">
        <v>28</v>
      </c>
      <c r="M699" t="str" cm="1">
        <f t="array" ref="M699">_xlfn.IFS(
L699&lt;=12,"Children",
L699&lt;=19,"Teens",
L699&lt;=29,"Young Adults",
L699&lt;=39,"Adults",
L699&lt;=59,"Middle-Aged",
L699&gt;=60,"Seniors"
)</f>
        <v>Young Adults</v>
      </c>
      <c r="N699" t="s">
        <v>20</v>
      </c>
    </row>
    <row r="700" spans="1:14" x14ac:dyDescent="0.3">
      <c r="A700">
        <v>27040</v>
      </c>
      <c r="B700" t="s">
        <v>37</v>
      </c>
      <c r="C700" t="s">
        <v>39</v>
      </c>
      <c r="D700" s="3">
        <v>20000</v>
      </c>
      <c r="E700">
        <v>2</v>
      </c>
      <c r="F700" t="s">
        <v>32</v>
      </c>
      <c r="G700" t="s">
        <v>22</v>
      </c>
      <c r="H700" t="s">
        <v>17</v>
      </c>
      <c r="I700">
        <v>2</v>
      </c>
      <c r="J700" t="s">
        <v>29</v>
      </c>
      <c r="K700" t="s">
        <v>35</v>
      </c>
      <c r="L700">
        <v>49</v>
      </c>
      <c r="M700" t="str" cm="1">
        <f t="array" ref="M700">_xlfn.IFS(
L700&lt;=12,"Children",
L700&lt;=19,"Teens",
L700&lt;=29,"Young Adults",
L700&lt;=39,"Adults",
L700&lt;=59,"Middle-Aged",
L700&gt;=60,"Seniors"
)</f>
        <v>Middle-Aged</v>
      </c>
      <c r="N700" t="s">
        <v>20</v>
      </c>
    </row>
    <row r="701" spans="1:14" x14ac:dyDescent="0.3">
      <c r="A701">
        <v>23479</v>
      </c>
      <c r="B701" t="s">
        <v>40</v>
      </c>
      <c r="C701" t="s">
        <v>39</v>
      </c>
      <c r="D701" s="3">
        <v>90000</v>
      </c>
      <c r="E701">
        <v>0</v>
      </c>
      <c r="F701" t="s">
        <v>21</v>
      </c>
      <c r="G701" t="s">
        <v>23</v>
      </c>
      <c r="H701" t="s">
        <v>20</v>
      </c>
      <c r="I701">
        <v>2</v>
      </c>
      <c r="J701" t="s">
        <v>18</v>
      </c>
      <c r="K701" t="s">
        <v>35</v>
      </c>
      <c r="L701">
        <v>43</v>
      </c>
      <c r="M701" t="str" cm="1">
        <f t="array" ref="M701">_xlfn.IFS(
L701&lt;=12,"Children",
L701&lt;=19,"Teens",
L701&lt;=29,"Young Adults",
L701&lt;=39,"Adults",
L701&lt;=59,"Middle-Aged",
L701&gt;=60,"Seniors"
)</f>
        <v>Middle-Aged</v>
      </c>
      <c r="N701" t="s">
        <v>17</v>
      </c>
    </row>
    <row r="702" spans="1:14" x14ac:dyDescent="0.3">
      <c r="A702">
        <v>16795</v>
      </c>
      <c r="B702" t="s">
        <v>37</v>
      </c>
      <c r="C702" t="s">
        <v>38</v>
      </c>
      <c r="D702" s="3">
        <v>70000</v>
      </c>
      <c r="E702">
        <v>4</v>
      </c>
      <c r="F702" t="s">
        <v>15</v>
      </c>
      <c r="G702" t="s">
        <v>31</v>
      </c>
      <c r="H702" t="s">
        <v>17</v>
      </c>
      <c r="I702">
        <v>1</v>
      </c>
      <c r="J702" t="s">
        <v>29</v>
      </c>
      <c r="K702" t="s">
        <v>35</v>
      </c>
      <c r="L702">
        <v>59</v>
      </c>
      <c r="M702" t="str" cm="1">
        <f t="array" ref="M702">_xlfn.IFS(
L702&lt;=12,"Children",
L702&lt;=19,"Teens",
L702&lt;=29,"Young Adults",
L702&lt;=39,"Adults",
L702&lt;=59,"Middle-Aged",
L702&gt;=60,"Seniors"
)</f>
        <v>Middle-Aged</v>
      </c>
      <c r="N702" t="s">
        <v>20</v>
      </c>
    </row>
    <row r="703" spans="1:14" x14ac:dyDescent="0.3">
      <c r="A703">
        <v>22014</v>
      </c>
      <c r="B703" t="s">
        <v>40</v>
      </c>
      <c r="C703" t="s">
        <v>39</v>
      </c>
      <c r="D703" s="3">
        <v>30000</v>
      </c>
      <c r="E703">
        <v>0</v>
      </c>
      <c r="F703" t="s">
        <v>30</v>
      </c>
      <c r="G703" t="s">
        <v>16</v>
      </c>
      <c r="H703" t="s">
        <v>17</v>
      </c>
      <c r="I703">
        <v>2</v>
      </c>
      <c r="J703" t="s">
        <v>26</v>
      </c>
      <c r="K703" t="s">
        <v>35</v>
      </c>
      <c r="L703">
        <v>26</v>
      </c>
      <c r="M703" t="str" cm="1">
        <f t="array" ref="M703">_xlfn.IFS(
L703&lt;=12,"Children",
L703&lt;=19,"Teens",
L703&lt;=29,"Young Adults",
L703&lt;=39,"Adults",
L703&lt;=59,"Middle-Aged",
L703&gt;=60,"Seniors"
)</f>
        <v>Young Adults</v>
      </c>
      <c r="N703" t="s">
        <v>20</v>
      </c>
    </row>
    <row r="704" spans="1:14" x14ac:dyDescent="0.3">
      <c r="A704">
        <v>13314</v>
      </c>
      <c r="B704" t="s">
        <v>37</v>
      </c>
      <c r="C704" t="s">
        <v>39</v>
      </c>
      <c r="D704" s="3">
        <v>120000</v>
      </c>
      <c r="E704">
        <v>1</v>
      </c>
      <c r="F704" t="s">
        <v>30</v>
      </c>
      <c r="G704" t="s">
        <v>23</v>
      </c>
      <c r="H704" t="s">
        <v>17</v>
      </c>
      <c r="I704">
        <v>4</v>
      </c>
      <c r="J704" t="s">
        <v>26</v>
      </c>
      <c r="K704" t="s">
        <v>35</v>
      </c>
      <c r="L704">
        <v>46</v>
      </c>
      <c r="M704" t="str" cm="1">
        <f t="array" ref="M704">_xlfn.IFS(
L704&lt;=12,"Children",
L704&lt;=19,"Teens",
L704&lt;=29,"Young Adults",
L704&lt;=39,"Adults",
L704&lt;=59,"Middle-Aged",
L704&gt;=60,"Seniors"
)</f>
        <v>Middle-Aged</v>
      </c>
      <c r="N704" t="s">
        <v>17</v>
      </c>
    </row>
    <row r="705" spans="1:14" x14ac:dyDescent="0.3">
      <c r="A705">
        <v>11619</v>
      </c>
      <c r="B705" t="s">
        <v>40</v>
      </c>
      <c r="C705" t="s">
        <v>38</v>
      </c>
      <c r="D705" s="3">
        <v>50000</v>
      </c>
      <c r="E705">
        <v>0</v>
      </c>
      <c r="F705" t="s">
        <v>34</v>
      </c>
      <c r="G705" t="s">
        <v>16</v>
      </c>
      <c r="H705" t="s">
        <v>17</v>
      </c>
      <c r="I705">
        <v>0</v>
      </c>
      <c r="J705" t="s">
        <v>29</v>
      </c>
      <c r="K705" t="s">
        <v>35</v>
      </c>
      <c r="L705">
        <v>33</v>
      </c>
      <c r="M705" t="str" cm="1">
        <f t="array" ref="M705">_xlfn.IFS(
L705&lt;=12,"Children",
L705&lt;=19,"Teens",
L705&lt;=29,"Young Adults",
L705&lt;=39,"Adults",
L705&lt;=59,"Middle-Aged",
L705&gt;=60,"Seniors"
)</f>
        <v>Adults</v>
      </c>
      <c r="N705" t="s">
        <v>20</v>
      </c>
    </row>
    <row r="706" spans="1:14" x14ac:dyDescent="0.3">
      <c r="A706">
        <v>29132</v>
      </c>
      <c r="B706" t="s">
        <v>40</v>
      </c>
      <c r="C706" t="s">
        <v>38</v>
      </c>
      <c r="D706" s="3">
        <v>40000</v>
      </c>
      <c r="E706">
        <v>0</v>
      </c>
      <c r="F706" t="s">
        <v>15</v>
      </c>
      <c r="G706" t="s">
        <v>23</v>
      </c>
      <c r="H706" t="s">
        <v>17</v>
      </c>
      <c r="I706">
        <v>1</v>
      </c>
      <c r="J706" t="s">
        <v>24</v>
      </c>
      <c r="K706" t="s">
        <v>35</v>
      </c>
      <c r="L706">
        <v>42</v>
      </c>
      <c r="M706" t="str" cm="1">
        <f t="array" ref="M706">_xlfn.IFS(
L706&lt;=12,"Children",
L706&lt;=19,"Teens",
L706&lt;=29,"Young Adults",
L706&lt;=39,"Adults",
L706&lt;=59,"Middle-Aged",
L706&gt;=60,"Seniors"
)</f>
        <v>Middle-Aged</v>
      </c>
      <c r="N706" t="s">
        <v>17</v>
      </c>
    </row>
    <row r="707" spans="1:14" x14ac:dyDescent="0.3">
      <c r="A707">
        <v>11199</v>
      </c>
      <c r="B707" t="s">
        <v>37</v>
      </c>
      <c r="C707" t="s">
        <v>38</v>
      </c>
      <c r="D707" s="3">
        <v>70000</v>
      </c>
      <c r="E707">
        <v>4</v>
      </c>
      <c r="F707" t="s">
        <v>15</v>
      </c>
      <c r="G707" t="s">
        <v>31</v>
      </c>
      <c r="H707" t="s">
        <v>17</v>
      </c>
      <c r="I707">
        <v>1</v>
      </c>
      <c r="J707" t="s">
        <v>41</v>
      </c>
      <c r="K707" t="s">
        <v>35</v>
      </c>
      <c r="L707">
        <v>59</v>
      </c>
      <c r="M707" t="str" cm="1">
        <f t="array" ref="M707">_xlfn.IFS(
L707&lt;=12,"Children",
L707&lt;=19,"Teens",
L707&lt;=29,"Young Adults",
L707&lt;=39,"Adults",
L707&lt;=59,"Middle-Aged",
L707&gt;=60,"Seniors"
)</f>
        <v>Middle-Aged</v>
      </c>
      <c r="N707" t="s">
        <v>20</v>
      </c>
    </row>
    <row r="708" spans="1:14" x14ac:dyDescent="0.3">
      <c r="A708">
        <v>20296</v>
      </c>
      <c r="B708" t="s">
        <v>40</v>
      </c>
      <c r="C708" t="s">
        <v>38</v>
      </c>
      <c r="D708" s="3">
        <v>60000</v>
      </c>
      <c r="E708">
        <v>0</v>
      </c>
      <c r="F708" t="s">
        <v>21</v>
      </c>
      <c r="G708" t="s">
        <v>16</v>
      </c>
      <c r="H708" t="s">
        <v>20</v>
      </c>
      <c r="I708">
        <v>1</v>
      </c>
      <c r="J708" t="s">
        <v>29</v>
      </c>
      <c r="K708" t="s">
        <v>35</v>
      </c>
      <c r="L708">
        <v>33</v>
      </c>
      <c r="M708" t="str" cm="1">
        <f t="array" ref="M708">_xlfn.IFS(
L708&lt;=12,"Children",
L708&lt;=19,"Teens",
L708&lt;=29,"Young Adults",
L708&lt;=39,"Adults",
L708&lt;=59,"Middle-Aged",
L708&gt;=60,"Seniors"
)</f>
        <v>Adults</v>
      </c>
      <c r="N708" t="s">
        <v>17</v>
      </c>
    </row>
    <row r="709" spans="1:14" x14ac:dyDescent="0.3">
      <c r="A709">
        <v>17546</v>
      </c>
      <c r="B709" t="s">
        <v>37</v>
      </c>
      <c r="C709" t="s">
        <v>38</v>
      </c>
      <c r="D709" s="3">
        <v>70000</v>
      </c>
      <c r="E709">
        <v>1</v>
      </c>
      <c r="F709" t="s">
        <v>21</v>
      </c>
      <c r="G709" t="s">
        <v>16</v>
      </c>
      <c r="H709" t="s">
        <v>17</v>
      </c>
      <c r="I709">
        <v>1</v>
      </c>
      <c r="J709" t="s">
        <v>18</v>
      </c>
      <c r="K709" t="s">
        <v>35</v>
      </c>
      <c r="L709">
        <v>44</v>
      </c>
      <c r="M709" t="str" cm="1">
        <f t="array" ref="M709">_xlfn.IFS(
L709&lt;=12,"Children",
L709&lt;=19,"Teens",
L709&lt;=29,"Young Adults",
L709&lt;=39,"Adults",
L709&lt;=59,"Middle-Aged",
L709&gt;=60,"Seniors"
)</f>
        <v>Middle-Aged</v>
      </c>
      <c r="N709" t="s">
        <v>17</v>
      </c>
    </row>
    <row r="710" spans="1:14" x14ac:dyDescent="0.3">
      <c r="A710">
        <v>18069</v>
      </c>
      <c r="B710" t="s">
        <v>37</v>
      </c>
      <c r="C710" t="s">
        <v>39</v>
      </c>
      <c r="D710" s="3">
        <v>70000</v>
      </c>
      <c r="E710">
        <v>5</v>
      </c>
      <c r="F710" t="s">
        <v>15</v>
      </c>
      <c r="G710" t="s">
        <v>31</v>
      </c>
      <c r="H710" t="s">
        <v>17</v>
      </c>
      <c r="I710">
        <v>4</v>
      </c>
      <c r="J710" t="s">
        <v>41</v>
      </c>
      <c r="K710" t="s">
        <v>35</v>
      </c>
      <c r="L710">
        <v>60</v>
      </c>
      <c r="M710" t="str" cm="1">
        <f t="array" ref="M710">_xlfn.IFS(
L710&lt;=12,"Children",
L710&lt;=19,"Teens",
L710&lt;=29,"Young Adults",
L710&lt;=39,"Adults",
L710&lt;=59,"Middle-Aged",
L710&gt;=60,"Seniors"
)</f>
        <v>Seniors</v>
      </c>
      <c r="N710" t="s">
        <v>20</v>
      </c>
    </row>
    <row r="711" spans="1:14" x14ac:dyDescent="0.3">
      <c r="A711">
        <v>23712</v>
      </c>
      <c r="B711" t="s">
        <v>40</v>
      </c>
      <c r="C711" t="s">
        <v>38</v>
      </c>
      <c r="D711" s="3">
        <v>70000</v>
      </c>
      <c r="E711">
        <v>2</v>
      </c>
      <c r="F711" t="s">
        <v>15</v>
      </c>
      <c r="G711" t="s">
        <v>31</v>
      </c>
      <c r="H711" t="s">
        <v>17</v>
      </c>
      <c r="I711">
        <v>1</v>
      </c>
      <c r="J711" t="s">
        <v>41</v>
      </c>
      <c r="K711" t="s">
        <v>35</v>
      </c>
      <c r="L711">
        <v>59</v>
      </c>
      <c r="M711" t="str" cm="1">
        <f t="array" ref="M711">_xlfn.IFS(
L711&lt;=12,"Children",
L711&lt;=19,"Teens",
L711&lt;=29,"Young Adults",
L711&lt;=39,"Adults",
L711&lt;=59,"Middle-Aged",
L711&gt;=60,"Seniors"
)</f>
        <v>Middle-Aged</v>
      </c>
      <c r="N711" t="s">
        <v>20</v>
      </c>
    </row>
    <row r="712" spans="1:14" x14ac:dyDescent="0.3">
      <c r="A712">
        <v>23358</v>
      </c>
      <c r="B712" t="s">
        <v>37</v>
      </c>
      <c r="C712" t="s">
        <v>39</v>
      </c>
      <c r="D712" s="3">
        <v>60000</v>
      </c>
      <c r="E712">
        <v>0</v>
      </c>
      <c r="F712" t="s">
        <v>30</v>
      </c>
      <c r="G712" t="s">
        <v>23</v>
      </c>
      <c r="H712" t="s">
        <v>17</v>
      </c>
      <c r="I712">
        <v>2</v>
      </c>
      <c r="J712" t="s">
        <v>26</v>
      </c>
      <c r="K712" t="s">
        <v>35</v>
      </c>
      <c r="L712">
        <v>32</v>
      </c>
      <c r="M712" t="str" cm="1">
        <f t="array" ref="M712">_xlfn.IFS(
L712&lt;=12,"Children",
L712&lt;=19,"Teens",
L712&lt;=29,"Young Adults",
L712&lt;=39,"Adults",
L712&lt;=59,"Middle-Aged",
L712&gt;=60,"Seniors"
)</f>
        <v>Adults</v>
      </c>
      <c r="N712" t="s">
        <v>17</v>
      </c>
    </row>
    <row r="713" spans="1:14" x14ac:dyDescent="0.3">
      <c r="A713">
        <v>20518</v>
      </c>
      <c r="B713" t="s">
        <v>37</v>
      </c>
      <c r="C713" t="s">
        <v>38</v>
      </c>
      <c r="D713" s="3">
        <v>70000</v>
      </c>
      <c r="E713">
        <v>2</v>
      </c>
      <c r="F713" t="s">
        <v>21</v>
      </c>
      <c r="G713" t="s">
        <v>23</v>
      </c>
      <c r="H713" t="s">
        <v>17</v>
      </c>
      <c r="I713">
        <v>1</v>
      </c>
      <c r="J713" t="s">
        <v>41</v>
      </c>
      <c r="K713" t="s">
        <v>35</v>
      </c>
      <c r="L713">
        <v>58</v>
      </c>
      <c r="M713" t="str" cm="1">
        <f t="array" ref="M713">_xlfn.IFS(
L713&lt;=12,"Children",
L713&lt;=19,"Teens",
L713&lt;=29,"Young Adults",
L713&lt;=39,"Adults",
L713&lt;=59,"Middle-Aged",
L713&gt;=60,"Seniors"
)</f>
        <v>Middle-Aged</v>
      </c>
      <c r="N713" t="s">
        <v>20</v>
      </c>
    </row>
    <row r="714" spans="1:14" x14ac:dyDescent="0.3">
      <c r="A714">
        <v>28026</v>
      </c>
      <c r="B714" t="s">
        <v>37</v>
      </c>
      <c r="C714" t="s">
        <v>38</v>
      </c>
      <c r="D714" s="3">
        <v>40000</v>
      </c>
      <c r="E714">
        <v>2</v>
      </c>
      <c r="F714" t="s">
        <v>30</v>
      </c>
      <c r="G714" t="s">
        <v>23</v>
      </c>
      <c r="H714" t="s">
        <v>20</v>
      </c>
      <c r="I714">
        <v>2</v>
      </c>
      <c r="J714" t="s">
        <v>24</v>
      </c>
      <c r="K714" t="s">
        <v>35</v>
      </c>
      <c r="L714">
        <v>59</v>
      </c>
      <c r="M714" t="str" cm="1">
        <f t="array" ref="M714">_xlfn.IFS(
L714&lt;=12,"Children",
L714&lt;=19,"Teens",
L714&lt;=29,"Young Adults",
L714&lt;=39,"Adults",
L714&lt;=59,"Middle-Aged",
L714&gt;=60,"Seniors"
)</f>
        <v>Middle-Aged</v>
      </c>
      <c r="N714" t="s">
        <v>20</v>
      </c>
    </row>
    <row r="715" spans="1:14" x14ac:dyDescent="0.3">
      <c r="A715">
        <v>11669</v>
      </c>
      <c r="B715" t="s">
        <v>40</v>
      </c>
      <c r="C715" t="s">
        <v>38</v>
      </c>
      <c r="D715" s="3">
        <v>70000</v>
      </c>
      <c r="E715">
        <v>2</v>
      </c>
      <c r="F715" t="s">
        <v>15</v>
      </c>
      <c r="G715" t="s">
        <v>16</v>
      </c>
      <c r="H715" t="s">
        <v>17</v>
      </c>
      <c r="I715">
        <v>1</v>
      </c>
      <c r="J715" t="s">
        <v>24</v>
      </c>
      <c r="K715" t="s">
        <v>35</v>
      </c>
      <c r="L715">
        <v>38</v>
      </c>
      <c r="M715" t="str" cm="1">
        <f t="array" ref="M715">_xlfn.IFS(
L715&lt;=12,"Children",
L715&lt;=19,"Teens",
L715&lt;=29,"Young Adults",
L715&lt;=39,"Adults",
L715&lt;=59,"Middle-Aged",
L715&gt;=60,"Seniors"
)</f>
        <v>Adults</v>
      </c>
      <c r="N715" t="s">
        <v>20</v>
      </c>
    </row>
    <row r="716" spans="1:14" x14ac:dyDescent="0.3">
      <c r="A716">
        <v>16020</v>
      </c>
      <c r="B716" t="s">
        <v>37</v>
      </c>
      <c r="C716" t="s">
        <v>39</v>
      </c>
      <c r="D716" s="3">
        <v>40000</v>
      </c>
      <c r="E716">
        <v>0</v>
      </c>
      <c r="F716" t="s">
        <v>30</v>
      </c>
      <c r="G716" t="s">
        <v>16</v>
      </c>
      <c r="H716" t="s">
        <v>17</v>
      </c>
      <c r="I716">
        <v>2</v>
      </c>
      <c r="J716" t="s">
        <v>26</v>
      </c>
      <c r="K716" t="s">
        <v>35</v>
      </c>
      <c r="L716">
        <v>28</v>
      </c>
      <c r="M716" t="str" cm="1">
        <f t="array" ref="M716">_xlfn.IFS(
L716&lt;=12,"Children",
L716&lt;=19,"Teens",
L716&lt;=29,"Young Adults",
L716&lt;=39,"Adults",
L716&lt;=59,"Middle-Aged",
L716&gt;=60,"Seniors"
)</f>
        <v>Young Adults</v>
      </c>
      <c r="N716" t="s">
        <v>17</v>
      </c>
    </row>
    <row r="717" spans="1:14" x14ac:dyDescent="0.3">
      <c r="A717">
        <v>27090</v>
      </c>
      <c r="B717" t="s">
        <v>37</v>
      </c>
      <c r="C717" t="s">
        <v>38</v>
      </c>
      <c r="D717" s="3">
        <v>60000</v>
      </c>
      <c r="E717">
        <v>1</v>
      </c>
      <c r="F717" t="s">
        <v>34</v>
      </c>
      <c r="G717" t="s">
        <v>23</v>
      </c>
      <c r="H717" t="s">
        <v>17</v>
      </c>
      <c r="I717">
        <v>0</v>
      </c>
      <c r="J717" t="s">
        <v>24</v>
      </c>
      <c r="K717" t="s">
        <v>35</v>
      </c>
      <c r="L717">
        <v>37</v>
      </c>
      <c r="M717" t="str" cm="1">
        <f t="array" ref="M717">_xlfn.IFS(
L717&lt;=12,"Children",
L717&lt;=19,"Teens",
L717&lt;=29,"Young Adults",
L717&lt;=39,"Adults",
L717&lt;=59,"Middle-Aged",
L717&gt;=60,"Seniors"
)</f>
        <v>Adults</v>
      </c>
      <c r="N717" t="s">
        <v>17</v>
      </c>
    </row>
    <row r="718" spans="1:14" x14ac:dyDescent="0.3">
      <c r="A718">
        <v>27198</v>
      </c>
      <c r="B718" t="s">
        <v>40</v>
      </c>
      <c r="C718" t="s">
        <v>38</v>
      </c>
      <c r="D718" s="3">
        <v>80000</v>
      </c>
      <c r="E718">
        <v>0</v>
      </c>
      <c r="F718" t="s">
        <v>34</v>
      </c>
      <c r="G718" t="s">
        <v>16</v>
      </c>
      <c r="H718" t="s">
        <v>20</v>
      </c>
      <c r="I718">
        <v>0</v>
      </c>
      <c r="J718" t="s">
        <v>18</v>
      </c>
      <c r="K718" t="s">
        <v>35</v>
      </c>
      <c r="L718">
        <v>40</v>
      </c>
      <c r="M718" t="str" cm="1">
        <f t="array" ref="M718">_xlfn.IFS(
L718&lt;=12,"Children",
L718&lt;=19,"Teens",
L718&lt;=29,"Young Adults",
L718&lt;=39,"Adults",
L718&lt;=59,"Middle-Aged",
L718&gt;=60,"Seniors"
)</f>
        <v>Middle-Aged</v>
      </c>
      <c r="N718" t="s">
        <v>20</v>
      </c>
    </row>
    <row r="719" spans="1:14" x14ac:dyDescent="0.3">
      <c r="A719">
        <v>19661</v>
      </c>
      <c r="B719" t="s">
        <v>40</v>
      </c>
      <c r="C719" t="s">
        <v>39</v>
      </c>
      <c r="D719" s="3">
        <v>90000</v>
      </c>
      <c r="E719">
        <v>4</v>
      </c>
      <c r="F719" t="s">
        <v>15</v>
      </c>
      <c r="G719" t="s">
        <v>31</v>
      </c>
      <c r="H719" t="s">
        <v>17</v>
      </c>
      <c r="I719">
        <v>1</v>
      </c>
      <c r="J719" t="s">
        <v>29</v>
      </c>
      <c r="K719" t="s">
        <v>35</v>
      </c>
      <c r="L719">
        <v>38</v>
      </c>
      <c r="M719" t="str" cm="1">
        <f t="array" ref="M719">_xlfn.IFS(
L719&lt;=12,"Children",
L719&lt;=19,"Teens",
L719&lt;=29,"Young Adults",
L719&lt;=39,"Adults",
L719&lt;=59,"Middle-Aged",
L719&gt;=60,"Seniors"
)</f>
        <v>Adults</v>
      </c>
      <c r="N719" t="s">
        <v>17</v>
      </c>
    </row>
    <row r="720" spans="1:14" x14ac:dyDescent="0.3">
      <c r="A720">
        <v>26327</v>
      </c>
      <c r="B720" t="s">
        <v>37</v>
      </c>
      <c r="C720" t="s">
        <v>39</v>
      </c>
      <c r="D720" s="3">
        <v>70000</v>
      </c>
      <c r="E720">
        <v>4</v>
      </c>
      <c r="F720" t="s">
        <v>34</v>
      </c>
      <c r="G720" t="s">
        <v>23</v>
      </c>
      <c r="H720" t="s">
        <v>17</v>
      </c>
      <c r="I720">
        <v>0</v>
      </c>
      <c r="J720" t="s">
        <v>24</v>
      </c>
      <c r="K720" t="s">
        <v>35</v>
      </c>
      <c r="L720">
        <v>36</v>
      </c>
      <c r="M720" t="str" cm="1">
        <f t="array" ref="M720">_xlfn.IFS(
L720&lt;=12,"Children",
L720&lt;=19,"Teens",
L720&lt;=29,"Young Adults",
L720&lt;=39,"Adults",
L720&lt;=59,"Middle-Aged",
L720&gt;=60,"Seniors"
)</f>
        <v>Adults</v>
      </c>
      <c r="N720" t="s">
        <v>17</v>
      </c>
    </row>
    <row r="721" spans="1:14" x14ac:dyDescent="0.3">
      <c r="A721">
        <v>26341</v>
      </c>
      <c r="B721" t="s">
        <v>37</v>
      </c>
      <c r="C721" t="s">
        <v>38</v>
      </c>
      <c r="D721" s="3">
        <v>70000</v>
      </c>
      <c r="E721">
        <v>5</v>
      </c>
      <c r="F721" t="s">
        <v>34</v>
      </c>
      <c r="G721" t="s">
        <v>23</v>
      </c>
      <c r="H721" t="s">
        <v>17</v>
      </c>
      <c r="I721">
        <v>2</v>
      </c>
      <c r="J721" t="s">
        <v>18</v>
      </c>
      <c r="K721" t="s">
        <v>35</v>
      </c>
      <c r="L721">
        <v>37</v>
      </c>
      <c r="M721" t="str" cm="1">
        <f t="array" ref="M721">_xlfn.IFS(
L721&lt;=12,"Children",
L721&lt;=19,"Teens",
L721&lt;=29,"Young Adults",
L721&lt;=39,"Adults",
L721&lt;=59,"Middle-Aged",
L721&gt;=60,"Seniors"
)</f>
        <v>Adults</v>
      </c>
      <c r="N721" t="s">
        <v>20</v>
      </c>
    </row>
    <row r="722" spans="1:14" x14ac:dyDescent="0.3">
      <c r="A722">
        <v>24958</v>
      </c>
      <c r="B722" t="s">
        <v>40</v>
      </c>
      <c r="C722" t="s">
        <v>38</v>
      </c>
      <c r="D722" s="3">
        <v>40000</v>
      </c>
      <c r="E722">
        <v>5</v>
      </c>
      <c r="F722" t="s">
        <v>30</v>
      </c>
      <c r="G722" t="s">
        <v>23</v>
      </c>
      <c r="H722" t="s">
        <v>20</v>
      </c>
      <c r="I722">
        <v>3</v>
      </c>
      <c r="J722" t="s">
        <v>24</v>
      </c>
      <c r="K722" t="s">
        <v>35</v>
      </c>
      <c r="L722">
        <v>60</v>
      </c>
      <c r="M722" t="str" cm="1">
        <f t="array" ref="M722">_xlfn.IFS(
L722&lt;=12,"Children",
L722&lt;=19,"Teens",
L722&lt;=29,"Young Adults",
L722&lt;=39,"Adults",
L722&lt;=59,"Middle-Aged",
L722&gt;=60,"Seniors"
)</f>
        <v>Seniors</v>
      </c>
      <c r="N722" t="s">
        <v>17</v>
      </c>
    </row>
    <row r="723" spans="1:14" x14ac:dyDescent="0.3">
      <c r="A723">
        <v>13287</v>
      </c>
      <c r="B723" t="s">
        <v>40</v>
      </c>
      <c r="C723" t="s">
        <v>39</v>
      </c>
      <c r="D723" s="3">
        <v>110000</v>
      </c>
      <c r="E723">
        <v>4</v>
      </c>
      <c r="F723" t="s">
        <v>15</v>
      </c>
      <c r="G723" t="s">
        <v>31</v>
      </c>
      <c r="H723" t="s">
        <v>17</v>
      </c>
      <c r="I723">
        <v>4</v>
      </c>
      <c r="J723" t="s">
        <v>26</v>
      </c>
      <c r="K723" t="s">
        <v>35</v>
      </c>
      <c r="L723">
        <v>42</v>
      </c>
      <c r="M723" t="str" cm="1">
        <f t="array" ref="M723">_xlfn.IFS(
L723&lt;=12,"Children",
L723&lt;=19,"Teens",
L723&lt;=29,"Young Adults",
L723&lt;=39,"Adults",
L723&lt;=59,"Middle-Aged",
L723&gt;=60,"Seniors"
)</f>
        <v>Middle-Aged</v>
      </c>
      <c r="N723" t="s">
        <v>17</v>
      </c>
    </row>
    <row r="724" spans="1:14" x14ac:dyDescent="0.3">
      <c r="A724">
        <v>14493</v>
      </c>
      <c r="B724" t="s">
        <v>40</v>
      </c>
      <c r="C724" t="s">
        <v>38</v>
      </c>
      <c r="D724" s="3">
        <v>70000</v>
      </c>
      <c r="E724">
        <v>3</v>
      </c>
      <c r="F724" t="s">
        <v>34</v>
      </c>
      <c r="G724" t="s">
        <v>31</v>
      </c>
      <c r="H724" t="s">
        <v>20</v>
      </c>
      <c r="I724">
        <v>2</v>
      </c>
      <c r="J724" t="s">
        <v>29</v>
      </c>
      <c r="K724" t="s">
        <v>35</v>
      </c>
      <c r="L724">
        <v>53</v>
      </c>
      <c r="M724" t="str" cm="1">
        <f t="array" ref="M724">_xlfn.IFS(
L724&lt;=12,"Children",
L724&lt;=19,"Teens",
L724&lt;=29,"Young Adults",
L724&lt;=39,"Adults",
L724&lt;=59,"Middle-Aged",
L724&gt;=60,"Seniors"
)</f>
        <v>Middle-Aged</v>
      </c>
      <c r="N724" t="s">
        <v>20</v>
      </c>
    </row>
    <row r="725" spans="1:14" x14ac:dyDescent="0.3">
      <c r="A725">
        <v>26678</v>
      </c>
      <c r="B725" t="s">
        <v>40</v>
      </c>
      <c r="C725" t="s">
        <v>38</v>
      </c>
      <c r="D725" s="3">
        <v>80000</v>
      </c>
      <c r="E725">
        <v>2</v>
      </c>
      <c r="F725" t="s">
        <v>32</v>
      </c>
      <c r="G725" t="s">
        <v>16</v>
      </c>
      <c r="H725" t="s">
        <v>17</v>
      </c>
      <c r="I725">
        <v>2</v>
      </c>
      <c r="J725" t="s">
        <v>26</v>
      </c>
      <c r="K725" t="s">
        <v>35</v>
      </c>
      <c r="L725">
        <v>49</v>
      </c>
      <c r="M725" t="str" cm="1">
        <f t="array" ref="M725">_xlfn.IFS(
L725&lt;=12,"Children",
L725&lt;=19,"Teens",
L725&lt;=29,"Young Adults",
L725&lt;=39,"Adults",
L725&lt;=59,"Middle-Aged",
L725&gt;=60,"Seniors"
)</f>
        <v>Middle-Aged</v>
      </c>
      <c r="N725" t="s">
        <v>20</v>
      </c>
    </row>
    <row r="726" spans="1:14" x14ac:dyDescent="0.3">
      <c r="A726">
        <v>23275</v>
      </c>
      <c r="B726" t="s">
        <v>37</v>
      </c>
      <c r="C726" t="s">
        <v>39</v>
      </c>
      <c r="D726" s="3">
        <v>30000</v>
      </c>
      <c r="E726">
        <v>2</v>
      </c>
      <c r="F726" t="s">
        <v>30</v>
      </c>
      <c r="G726" t="s">
        <v>16</v>
      </c>
      <c r="H726" t="s">
        <v>17</v>
      </c>
      <c r="I726">
        <v>2</v>
      </c>
      <c r="J726" t="s">
        <v>29</v>
      </c>
      <c r="K726" t="s">
        <v>35</v>
      </c>
      <c r="L726">
        <v>49</v>
      </c>
      <c r="M726" t="str" cm="1">
        <f t="array" ref="M726">_xlfn.IFS(
L726&lt;=12,"Children",
L726&lt;=19,"Teens",
L726&lt;=29,"Young Adults",
L726&lt;=39,"Adults",
L726&lt;=59,"Middle-Aged",
L726&gt;=60,"Seniors"
)</f>
        <v>Middle-Aged</v>
      </c>
      <c r="N726" t="s">
        <v>20</v>
      </c>
    </row>
    <row r="727" spans="1:14" x14ac:dyDescent="0.3">
      <c r="A727">
        <v>11270</v>
      </c>
      <c r="B727" t="s">
        <v>37</v>
      </c>
      <c r="C727" t="s">
        <v>39</v>
      </c>
      <c r="D727" s="3">
        <v>130000</v>
      </c>
      <c r="E727">
        <v>2</v>
      </c>
      <c r="F727" t="s">
        <v>34</v>
      </c>
      <c r="G727" t="s">
        <v>31</v>
      </c>
      <c r="H727" t="s">
        <v>17</v>
      </c>
      <c r="I727">
        <v>3</v>
      </c>
      <c r="J727" t="s">
        <v>18</v>
      </c>
      <c r="K727" t="s">
        <v>35</v>
      </c>
      <c r="L727">
        <v>42</v>
      </c>
      <c r="M727" t="str" cm="1">
        <f t="array" ref="M727">_xlfn.IFS(
L727&lt;=12,"Children",
L727&lt;=19,"Teens",
L727&lt;=29,"Young Adults",
L727&lt;=39,"Adults",
L727&lt;=59,"Middle-Aged",
L727&gt;=60,"Seniors"
)</f>
        <v>Middle-Aged</v>
      </c>
      <c r="N727" t="s">
        <v>17</v>
      </c>
    </row>
    <row r="728" spans="1:14" x14ac:dyDescent="0.3">
      <c r="A728">
        <v>20084</v>
      </c>
      <c r="B728" t="s">
        <v>37</v>
      </c>
      <c r="C728" t="s">
        <v>39</v>
      </c>
      <c r="D728" s="3">
        <v>20000</v>
      </c>
      <c r="E728">
        <v>2</v>
      </c>
      <c r="F728" t="s">
        <v>30</v>
      </c>
      <c r="G728" t="s">
        <v>28</v>
      </c>
      <c r="H728" t="s">
        <v>20</v>
      </c>
      <c r="I728">
        <v>2</v>
      </c>
      <c r="J728" t="s">
        <v>18</v>
      </c>
      <c r="K728" t="s">
        <v>35</v>
      </c>
      <c r="L728">
        <v>53</v>
      </c>
      <c r="M728" t="str" cm="1">
        <f t="array" ref="M728">_xlfn.IFS(
L728&lt;=12,"Children",
L728&lt;=19,"Teens",
L728&lt;=29,"Young Adults",
L728&lt;=39,"Adults",
L728&lt;=59,"Middle-Aged",
L728&gt;=60,"Seniors"
)</f>
        <v>Middle-Aged</v>
      </c>
      <c r="N728" t="s">
        <v>20</v>
      </c>
    </row>
    <row r="729" spans="1:14" x14ac:dyDescent="0.3">
      <c r="A729">
        <v>16144</v>
      </c>
      <c r="B729" t="s">
        <v>37</v>
      </c>
      <c r="C729" t="s">
        <v>39</v>
      </c>
      <c r="D729" s="3">
        <v>70000</v>
      </c>
      <c r="E729">
        <v>1</v>
      </c>
      <c r="F729" t="s">
        <v>34</v>
      </c>
      <c r="G729" t="s">
        <v>23</v>
      </c>
      <c r="H729" t="s">
        <v>17</v>
      </c>
      <c r="I729">
        <v>1</v>
      </c>
      <c r="J729" t="s">
        <v>18</v>
      </c>
      <c r="K729" t="s">
        <v>35</v>
      </c>
      <c r="L729">
        <v>46</v>
      </c>
      <c r="M729" t="str" cm="1">
        <f t="array" ref="M729">_xlfn.IFS(
L729&lt;=12,"Children",
L729&lt;=19,"Teens",
L729&lt;=29,"Young Adults",
L729&lt;=39,"Adults",
L729&lt;=59,"Middle-Aged",
L729&gt;=60,"Seniors"
)</f>
        <v>Middle-Aged</v>
      </c>
      <c r="N729" t="s">
        <v>17</v>
      </c>
    </row>
    <row r="730" spans="1:14" x14ac:dyDescent="0.3">
      <c r="A730">
        <v>27731</v>
      </c>
      <c r="B730" t="s">
        <v>37</v>
      </c>
      <c r="C730" t="s">
        <v>39</v>
      </c>
      <c r="D730" s="3">
        <v>40000</v>
      </c>
      <c r="E730">
        <v>0</v>
      </c>
      <c r="F730" t="s">
        <v>30</v>
      </c>
      <c r="G730" t="s">
        <v>16</v>
      </c>
      <c r="H730" t="s">
        <v>17</v>
      </c>
      <c r="I730">
        <v>2</v>
      </c>
      <c r="J730" t="s">
        <v>26</v>
      </c>
      <c r="K730" t="s">
        <v>35</v>
      </c>
      <c r="L730">
        <v>27</v>
      </c>
      <c r="M730" t="str" cm="1">
        <f t="array" ref="M730">_xlfn.IFS(
L730&lt;=12,"Children",
L730&lt;=19,"Teens",
L730&lt;=29,"Young Adults",
L730&lt;=39,"Adults",
L730&lt;=59,"Middle-Aged",
L730&gt;=60,"Seniors"
)</f>
        <v>Young Adults</v>
      </c>
      <c r="N730" t="s">
        <v>20</v>
      </c>
    </row>
    <row r="731" spans="1:14" x14ac:dyDescent="0.3">
      <c r="A731">
        <v>11886</v>
      </c>
      <c r="B731" t="s">
        <v>37</v>
      </c>
      <c r="C731" t="s">
        <v>38</v>
      </c>
      <c r="D731" s="3">
        <v>60000</v>
      </c>
      <c r="E731">
        <v>3</v>
      </c>
      <c r="F731" t="s">
        <v>15</v>
      </c>
      <c r="G731" t="s">
        <v>23</v>
      </c>
      <c r="H731" t="s">
        <v>17</v>
      </c>
      <c r="I731">
        <v>1</v>
      </c>
      <c r="J731" t="s">
        <v>18</v>
      </c>
      <c r="K731" t="s">
        <v>35</v>
      </c>
      <c r="L731">
        <v>48</v>
      </c>
      <c r="M731" t="str" cm="1">
        <f t="array" ref="M731">_xlfn.IFS(
L731&lt;=12,"Children",
L731&lt;=19,"Teens",
L731&lt;=29,"Young Adults",
L731&lt;=39,"Adults",
L731&lt;=59,"Middle-Aged",
L731&gt;=60,"Seniors"
)</f>
        <v>Middle-Aged</v>
      </c>
      <c r="N731" t="s">
        <v>17</v>
      </c>
    </row>
    <row r="732" spans="1:14" x14ac:dyDescent="0.3">
      <c r="A732">
        <v>24324</v>
      </c>
      <c r="B732" t="s">
        <v>40</v>
      </c>
      <c r="C732" t="s">
        <v>38</v>
      </c>
      <c r="D732" s="3">
        <v>60000</v>
      </c>
      <c r="E732">
        <v>4</v>
      </c>
      <c r="F732" t="s">
        <v>15</v>
      </c>
      <c r="G732" t="s">
        <v>16</v>
      </c>
      <c r="H732" t="s">
        <v>17</v>
      </c>
      <c r="I732">
        <v>2</v>
      </c>
      <c r="J732" t="s">
        <v>24</v>
      </c>
      <c r="K732" t="s">
        <v>35</v>
      </c>
      <c r="L732">
        <v>41</v>
      </c>
      <c r="M732" t="str" cm="1">
        <f t="array" ref="M732">_xlfn.IFS(
L732&lt;=12,"Children",
L732&lt;=19,"Teens",
L732&lt;=29,"Young Adults",
L732&lt;=39,"Adults",
L732&lt;=59,"Middle-Aged",
L732&gt;=60,"Seniors"
)</f>
        <v>Middle-Aged</v>
      </c>
      <c r="N732" t="s">
        <v>17</v>
      </c>
    </row>
    <row r="733" spans="1:14" x14ac:dyDescent="0.3">
      <c r="A733">
        <v>22220</v>
      </c>
      <c r="B733" t="s">
        <v>37</v>
      </c>
      <c r="C733" t="s">
        <v>39</v>
      </c>
      <c r="D733" s="3">
        <v>60000</v>
      </c>
      <c r="E733">
        <v>2</v>
      </c>
      <c r="F733" t="s">
        <v>30</v>
      </c>
      <c r="G733" t="s">
        <v>23</v>
      </c>
      <c r="H733" t="s">
        <v>20</v>
      </c>
      <c r="I733">
        <v>2</v>
      </c>
      <c r="J733" t="s">
        <v>29</v>
      </c>
      <c r="K733" t="s">
        <v>35</v>
      </c>
      <c r="L733">
        <v>49</v>
      </c>
      <c r="M733" t="str" cm="1">
        <f t="array" ref="M733">_xlfn.IFS(
L733&lt;=12,"Children",
L733&lt;=19,"Teens",
L733&lt;=29,"Young Adults",
L733&lt;=39,"Adults",
L733&lt;=59,"Middle-Aged",
L733&gt;=60,"Seniors"
)</f>
        <v>Middle-Aged</v>
      </c>
      <c r="N733" t="s">
        <v>17</v>
      </c>
    </row>
    <row r="734" spans="1:14" x14ac:dyDescent="0.3">
      <c r="A734">
        <v>26625</v>
      </c>
      <c r="B734" t="s">
        <v>40</v>
      </c>
      <c r="C734" t="s">
        <v>38</v>
      </c>
      <c r="D734" s="3">
        <v>60000</v>
      </c>
      <c r="E734">
        <v>0</v>
      </c>
      <c r="F734" t="s">
        <v>34</v>
      </c>
      <c r="G734" t="s">
        <v>23</v>
      </c>
      <c r="H734" t="s">
        <v>17</v>
      </c>
      <c r="I734">
        <v>1</v>
      </c>
      <c r="J734" t="s">
        <v>24</v>
      </c>
      <c r="K734" t="s">
        <v>35</v>
      </c>
      <c r="L734">
        <v>38</v>
      </c>
      <c r="M734" t="str" cm="1">
        <f t="array" ref="M734">_xlfn.IFS(
L734&lt;=12,"Children",
L734&lt;=19,"Teens",
L734&lt;=29,"Young Adults",
L734&lt;=39,"Adults",
L734&lt;=59,"Middle-Aged",
L734&gt;=60,"Seniors"
)</f>
        <v>Adults</v>
      </c>
      <c r="N734" t="s">
        <v>17</v>
      </c>
    </row>
    <row r="735" spans="1:14" x14ac:dyDescent="0.3">
      <c r="A735">
        <v>23027</v>
      </c>
      <c r="B735" t="s">
        <v>40</v>
      </c>
      <c r="C735" t="s">
        <v>39</v>
      </c>
      <c r="D735" s="3">
        <v>130000</v>
      </c>
      <c r="E735">
        <v>1</v>
      </c>
      <c r="F735" t="s">
        <v>15</v>
      </c>
      <c r="G735" t="s">
        <v>31</v>
      </c>
      <c r="H735" t="s">
        <v>20</v>
      </c>
      <c r="I735">
        <v>4</v>
      </c>
      <c r="J735" t="s">
        <v>18</v>
      </c>
      <c r="K735" t="s">
        <v>35</v>
      </c>
      <c r="L735">
        <v>44</v>
      </c>
      <c r="M735" t="str" cm="1">
        <f t="array" ref="M735">_xlfn.IFS(
L735&lt;=12,"Children",
L735&lt;=19,"Teens",
L735&lt;=29,"Young Adults",
L735&lt;=39,"Adults",
L735&lt;=59,"Middle-Aged",
L735&gt;=60,"Seniors"
)</f>
        <v>Middle-Aged</v>
      </c>
      <c r="N735" t="s">
        <v>20</v>
      </c>
    </row>
    <row r="736" spans="1:14" x14ac:dyDescent="0.3">
      <c r="A736">
        <v>16867</v>
      </c>
      <c r="B736" t="s">
        <v>40</v>
      </c>
      <c r="C736" t="s">
        <v>38</v>
      </c>
      <c r="D736" s="3">
        <v>130000</v>
      </c>
      <c r="E736">
        <v>1</v>
      </c>
      <c r="F736" t="s">
        <v>15</v>
      </c>
      <c r="G736" t="s">
        <v>31</v>
      </c>
      <c r="H736" t="s">
        <v>20</v>
      </c>
      <c r="I736">
        <v>3</v>
      </c>
      <c r="J736" t="s">
        <v>18</v>
      </c>
      <c r="K736" t="s">
        <v>35</v>
      </c>
      <c r="L736">
        <v>45</v>
      </c>
      <c r="M736" t="str" cm="1">
        <f t="array" ref="M736">_xlfn.IFS(
L736&lt;=12,"Children",
L736&lt;=19,"Teens",
L736&lt;=29,"Young Adults",
L736&lt;=39,"Adults",
L736&lt;=59,"Middle-Aged",
L736&gt;=60,"Seniors"
)</f>
        <v>Middle-Aged</v>
      </c>
      <c r="N736" t="s">
        <v>17</v>
      </c>
    </row>
    <row r="737" spans="1:14" x14ac:dyDescent="0.3">
      <c r="A737">
        <v>14514</v>
      </c>
      <c r="B737" t="s">
        <v>40</v>
      </c>
      <c r="C737" t="s">
        <v>38</v>
      </c>
      <c r="D737" s="3">
        <v>30000</v>
      </c>
      <c r="E737">
        <v>0</v>
      </c>
      <c r="F737" t="s">
        <v>21</v>
      </c>
      <c r="G737" t="s">
        <v>16</v>
      </c>
      <c r="H737" t="s">
        <v>17</v>
      </c>
      <c r="I737">
        <v>1</v>
      </c>
      <c r="J737" t="s">
        <v>26</v>
      </c>
      <c r="K737" t="s">
        <v>35</v>
      </c>
      <c r="L737">
        <v>26</v>
      </c>
      <c r="M737" t="str" cm="1">
        <f t="array" ref="M737">_xlfn.IFS(
L737&lt;=12,"Children",
L737&lt;=19,"Teens",
L737&lt;=29,"Young Adults",
L737&lt;=39,"Adults",
L737&lt;=59,"Middle-Aged",
L737&gt;=60,"Seniors"
)</f>
        <v>Young Adults</v>
      </c>
      <c r="N737" t="s">
        <v>20</v>
      </c>
    </row>
    <row r="738" spans="1:14" x14ac:dyDescent="0.3">
      <c r="A738">
        <v>19634</v>
      </c>
      <c r="B738" t="s">
        <v>37</v>
      </c>
      <c r="C738" t="s">
        <v>39</v>
      </c>
      <c r="D738" s="3">
        <v>40000</v>
      </c>
      <c r="E738">
        <v>0</v>
      </c>
      <c r="F738" t="s">
        <v>30</v>
      </c>
      <c r="G738" t="s">
        <v>16</v>
      </c>
      <c r="H738" t="s">
        <v>17</v>
      </c>
      <c r="I738">
        <v>1</v>
      </c>
      <c r="J738" t="s">
        <v>26</v>
      </c>
      <c r="K738" t="s">
        <v>35</v>
      </c>
      <c r="L738">
        <v>31</v>
      </c>
      <c r="M738" t="str" cm="1">
        <f t="array" ref="M738">_xlfn.IFS(
L738&lt;=12,"Children",
L738&lt;=19,"Teens",
L738&lt;=29,"Young Adults",
L738&lt;=39,"Adults",
L738&lt;=59,"Middle-Aged",
L738&gt;=60,"Seniors"
)</f>
        <v>Adults</v>
      </c>
      <c r="N738" t="s">
        <v>20</v>
      </c>
    </row>
    <row r="739" spans="1:14" x14ac:dyDescent="0.3">
      <c r="A739">
        <v>18504</v>
      </c>
      <c r="B739" t="s">
        <v>37</v>
      </c>
      <c r="C739" t="s">
        <v>39</v>
      </c>
      <c r="D739" s="3">
        <v>70000</v>
      </c>
      <c r="E739">
        <v>2</v>
      </c>
      <c r="F739" t="s">
        <v>32</v>
      </c>
      <c r="G739" t="s">
        <v>16</v>
      </c>
      <c r="H739" t="s">
        <v>20</v>
      </c>
      <c r="I739">
        <v>2</v>
      </c>
      <c r="J739" t="s">
        <v>29</v>
      </c>
      <c r="K739" t="s">
        <v>35</v>
      </c>
      <c r="L739">
        <v>49</v>
      </c>
      <c r="M739" t="str" cm="1">
        <f t="array" ref="M739">_xlfn.IFS(
L739&lt;=12,"Children",
L739&lt;=19,"Teens",
L739&lt;=29,"Young Adults",
L739&lt;=39,"Adults",
L739&lt;=59,"Middle-Aged",
L739&gt;=60,"Seniors"
)</f>
        <v>Middle-Aged</v>
      </c>
      <c r="N739" t="s">
        <v>20</v>
      </c>
    </row>
    <row r="740" spans="1:14" x14ac:dyDescent="0.3">
      <c r="A740">
        <v>28799</v>
      </c>
      <c r="B740" t="s">
        <v>40</v>
      </c>
      <c r="C740" t="s">
        <v>38</v>
      </c>
      <c r="D740" s="3">
        <v>40000</v>
      </c>
      <c r="E740">
        <v>2</v>
      </c>
      <c r="F740" t="s">
        <v>21</v>
      </c>
      <c r="G740" t="s">
        <v>22</v>
      </c>
      <c r="H740" t="s">
        <v>20</v>
      </c>
      <c r="I740">
        <v>1</v>
      </c>
      <c r="J740" t="s">
        <v>29</v>
      </c>
      <c r="K740" t="s">
        <v>35</v>
      </c>
      <c r="L740">
        <v>47</v>
      </c>
      <c r="M740" t="str" cm="1">
        <f t="array" ref="M740">_xlfn.IFS(
L740&lt;=12,"Children",
L740&lt;=19,"Teens",
L740&lt;=29,"Young Adults",
L740&lt;=39,"Adults",
L740&lt;=59,"Middle-Aged",
L740&gt;=60,"Seniors"
)</f>
        <v>Middle-Aged</v>
      </c>
      <c r="N740" t="s">
        <v>17</v>
      </c>
    </row>
    <row r="741" spans="1:14" x14ac:dyDescent="0.3">
      <c r="A741">
        <v>11225</v>
      </c>
      <c r="B741" t="s">
        <v>37</v>
      </c>
      <c r="C741" t="s">
        <v>38</v>
      </c>
      <c r="D741" s="3">
        <v>60000</v>
      </c>
      <c r="E741">
        <v>2</v>
      </c>
      <c r="F741" t="s">
        <v>21</v>
      </c>
      <c r="G741" t="s">
        <v>23</v>
      </c>
      <c r="H741" t="s">
        <v>17</v>
      </c>
      <c r="I741">
        <v>1</v>
      </c>
      <c r="J741" t="s">
        <v>41</v>
      </c>
      <c r="K741" t="s">
        <v>35</v>
      </c>
      <c r="L741">
        <v>55</v>
      </c>
      <c r="M741" t="str" cm="1">
        <f t="array" ref="M741">_xlfn.IFS(
L741&lt;=12,"Children",
L741&lt;=19,"Teens",
L741&lt;=29,"Young Adults",
L741&lt;=39,"Adults",
L741&lt;=59,"Middle-Aged",
L741&gt;=60,"Seniors"
)</f>
        <v>Middle-Aged</v>
      </c>
      <c r="N741" t="s">
        <v>20</v>
      </c>
    </row>
    <row r="742" spans="1:14" x14ac:dyDescent="0.3">
      <c r="A742">
        <v>17657</v>
      </c>
      <c r="B742" t="s">
        <v>37</v>
      </c>
      <c r="C742" t="s">
        <v>39</v>
      </c>
      <c r="D742" s="3">
        <v>40000</v>
      </c>
      <c r="E742">
        <v>4</v>
      </c>
      <c r="F742" t="s">
        <v>21</v>
      </c>
      <c r="G742" t="s">
        <v>22</v>
      </c>
      <c r="H742" t="s">
        <v>20</v>
      </c>
      <c r="I742">
        <v>0</v>
      </c>
      <c r="J742" t="s">
        <v>18</v>
      </c>
      <c r="K742" t="s">
        <v>35</v>
      </c>
      <c r="L742">
        <v>30</v>
      </c>
      <c r="M742" t="str" cm="1">
        <f t="array" ref="M742">_xlfn.IFS(
L742&lt;=12,"Children",
L742&lt;=19,"Teens",
L742&lt;=29,"Young Adults",
L742&lt;=39,"Adults",
L742&lt;=59,"Middle-Aged",
L742&gt;=60,"Seniors"
)</f>
        <v>Adults</v>
      </c>
      <c r="N742" t="s">
        <v>20</v>
      </c>
    </row>
    <row r="743" spans="1:14" x14ac:dyDescent="0.3">
      <c r="A743">
        <v>14913</v>
      </c>
      <c r="B743" t="s">
        <v>37</v>
      </c>
      <c r="C743" t="s">
        <v>38</v>
      </c>
      <c r="D743" s="3">
        <v>40000</v>
      </c>
      <c r="E743">
        <v>1</v>
      </c>
      <c r="F743" t="s">
        <v>21</v>
      </c>
      <c r="G743" t="s">
        <v>22</v>
      </c>
      <c r="H743" t="s">
        <v>17</v>
      </c>
      <c r="I743">
        <v>1</v>
      </c>
      <c r="J743" t="s">
        <v>29</v>
      </c>
      <c r="K743" t="s">
        <v>35</v>
      </c>
      <c r="L743">
        <v>48</v>
      </c>
      <c r="M743" t="str" cm="1">
        <f t="array" ref="M743">_xlfn.IFS(
L743&lt;=12,"Children",
L743&lt;=19,"Teens",
L743&lt;=29,"Young Adults",
L743&lt;=39,"Adults",
L743&lt;=59,"Middle-Aged",
L743&gt;=60,"Seniors"
)</f>
        <v>Middle-Aged</v>
      </c>
      <c r="N743" t="s">
        <v>17</v>
      </c>
    </row>
    <row r="744" spans="1:14" x14ac:dyDescent="0.3">
      <c r="A744">
        <v>14077</v>
      </c>
      <c r="B744" t="s">
        <v>40</v>
      </c>
      <c r="C744" t="s">
        <v>39</v>
      </c>
      <c r="D744" s="3">
        <v>30000</v>
      </c>
      <c r="E744">
        <v>0</v>
      </c>
      <c r="F744" t="s">
        <v>30</v>
      </c>
      <c r="G744" t="s">
        <v>16</v>
      </c>
      <c r="H744" t="s">
        <v>17</v>
      </c>
      <c r="I744">
        <v>2</v>
      </c>
      <c r="J744" t="s">
        <v>26</v>
      </c>
      <c r="K744" t="s">
        <v>35</v>
      </c>
      <c r="L744">
        <v>30</v>
      </c>
      <c r="M744" t="str" cm="1">
        <f t="array" ref="M744">_xlfn.IFS(
L744&lt;=12,"Children",
L744&lt;=19,"Teens",
L744&lt;=29,"Young Adults",
L744&lt;=39,"Adults",
L744&lt;=59,"Middle-Aged",
L744&gt;=60,"Seniors"
)</f>
        <v>Adults</v>
      </c>
      <c r="N744" t="s">
        <v>20</v>
      </c>
    </row>
    <row r="745" spans="1:14" x14ac:dyDescent="0.3">
      <c r="A745">
        <v>13296</v>
      </c>
      <c r="B745" t="s">
        <v>37</v>
      </c>
      <c r="C745" t="s">
        <v>39</v>
      </c>
      <c r="D745" s="3">
        <v>110000</v>
      </c>
      <c r="E745">
        <v>1</v>
      </c>
      <c r="F745" t="s">
        <v>15</v>
      </c>
      <c r="G745" t="s">
        <v>31</v>
      </c>
      <c r="H745" t="s">
        <v>17</v>
      </c>
      <c r="I745">
        <v>3</v>
      </c>
      <c r="J745" t="s">
        <v>26</v>
      </c>
      <c r="K745" t="s">
        <v>35</v>
      </c>
      <c r="L745">
        <v>45</v>
      </c>
      <c r="M745" t="str" cm="1">
        <f t="array" ref="M745">_xlfn.IFS(
L745&lt;=12,"Children",
L745&lt;=19,"Teens",
L745&lt;=29,"Young Adults",
L745&lt;=39,"Adults",
L745&lt;=59,"Middle-Aged",
L745&gt;=60,"Seniors"
)</f>
        <v>Middle-Aged</v>
      </c>
      <c r="N745" t="s">
        <v>20</v>
      </c>
    </row>
    <row r="746" spans="1:14" x14ac:dyDescent="0.3">
      <c r="A746">
        <v>20535</v>
      </c>
      <c r="B746" t="s">
        <v>37</v>
      </c>
      <c r="C746" t="s">
        <v>38</v>
      </c>
      <c r="D746" s="3">
        <v>70000</v>
      </c>
      <c r="E746">
        <v>4</v>
      </c>
      <c r="F746" t="s">
        <v>21</v>
      </c>
      <c r="G746" t="s">
        <v>23</v>
      </c>
      <c r="H746" t="s">
        <v>17</v>
      </c>
      <c r="I746">
        <v>1</v>
      </c>
      <c r="J746" t="s">
        <v>41</v>
      </c>
      <c r="K746" t="s">
        <v>35</v>
      </c>
      <c r="L746">
        <v>56</v>
      </c>
      <c r="M746" t="str" cm="1">
        <f t="array" ref="M746">_xlfn.IFS(
L746&lt;=12,"Children",
L746&lt;=19,"Teens",
L746&lt;=29,"Young Adults",
L746&lt;=39,"Adults",
L746&lt;=59,"Middle-Aged",
L746&gt;=60,"Seniors"
)</f>
        <v>Middle-Aged</v>
      </c>
      <c r="N746" t="s">
        <v>20</v>
      </c>
    </row>
    <row r="747" spans="1:14" x14ac:dyDescent="0.3">
      <c r="A747">
        <v>12452</v>
      </c>
      <c r="B747" t="s">
        <v>37</v>
      </c>
      <c r="C747" t="s">
        <v>39</v>
      </c>
      <c r="D747" s="3">
        <v>60000</v>
      </c>
      <c r="E747">
        <v>4</v>
      </c>
      <c r="F747" t="s">
        <v>34</v>
      </c>
      <c r="G747" t="s">
        <v>16</v>
      </c>
      <c r="H747" t="s">
        <v>17</v>
      </c>
      <c r="I747">
        <v>0</v>
      </c>
      <c r="J747" t="s">
        <v>29</v>
      </c>
      <c r="K747" t="s">
        <v>35</v>
      </c>
      <c r="L747">
        <v>47</v>
      </c>
      <c r="M747" t="str" cm="1">
        <f t="array" ref="M747">_xlfn.IFS(
L747&lt;=12,"Children",
L747&lt;=19,"Teens",
L747&lt;=29,"Young Adults",
L747&lt;=39,"Adults",
L747&lt;=59,"Middle-Aged",
L747&gt;=60,"Seniors"
)</f>
        <v>Middle-Aged</v>
      </c>
      <c r="N747" t="s">
        <v>17</v>
      </c>
    </row>
    <row r="748" spans="1:14" x14ac:dyDescent="0.3">
      <c r="A748">
        <v>28043</v>
      </c>
      <c r="B748" t="s">
        <v>37</v>
      </c>
      <c r="C748" t="s">
        <v>38</v>
      </c>
      <c r="D748" s="3">
        <v>60000</v>
      </c>
      <c r="E748">
        <v>2</v>
      </c>
      <c r="F748" t="s">
        <v>15</v>
      </c>
      <c r="G748" t="s">
        <v>31</v>
      </c>
      <c r="H748" t="s">
        <v>17</v>
      </c>
      <c r="I748">
        <v>0</v>
      </c>
      <c r="J748" t="s">
        <v>41</v>
      </c>
      <c r="K748" t="s">
        <v>35</v>
      </c>
      <c r="L748">
        <v>56</v>
      </c>
      <c r="M748" t="str" cm="1">
        <f t="array" ref="M748">_xlfn.IFS(
L748&lt;=12,"Children",
L748&lt;=19,"Teens",
L748&lt;=29,"Young Adults",
L748&lt;=39,"Adults",
L748&lt;=59,"Middle-Aged",
L748&gt;=60,"Seniors"
)</f>
        <v>Middle-Aged</v>
      </c>
      <c r="N748" t="s">
        <v>20</v>
      </c>
    </row>
    <row r="749" spans="1:14" x14ac:dyDescent="0.3">
      <c r="A749">
        <v>12957</v>
      </c>
      <c r="B749" t="s">
        <v>40</v>
      </c>
      <c r="C749" t="s">
        <v>38</v>
      </c>
      <c r="D749" s="3">
        <v>70000</v>
      </c>
      <c r="E749">
        <v>1</v>
      </c>
      <c r="F749" t="s">
        <v>15</v>
      </c>
      <c r="G749" t="s">
        <v>23</v>
      </c>
      <c r="H749" t="s">
        <v>20</v>
      </c>
      <c r="I749">
        <v>1</v>
      </c>
      <c r="J749" t="s">
        <v>18</v>
      </c>
      <c r="K749" t="s">
        <v>35</v>
      </c>
      <c r="L749">
        <v>44</v>
      </c>
      <c r="M749" t="str" cm="1">
        <f t="array" ref="M749">_xlfn.IFS(
L749&lt;=12,"Children",
L749&lt;=19,"Teens",
L749&lt;=29,"Young Adults",
L749&lt;=39,"Adults",
L749&lt;=59,"Middle-Aged",
L749&gt;=60,"Seniors"
)</f>
        <v>Middle-Aged</v>
      </c>
      <c r="N749" t="s">
        <v>20</v>
      </c>
    </row>
    <row r="750" spans="1:14" x14ac:dyDescent="0.3">
      <c r="A750">
        <v>15412</v>
      </c>
      <c r="B750" t="s">
        <v>37</v>
      </c>
      <c r="C750" t="s">
        <v>39</v>
      </c>
      <c r="D750" s="3">
        <v>130000</v>
      </c>
      <c r="E750">
        <v>2</v>
      </c>
      <c r="F750" t="s">
        <v>34</v>
      </c>
      <c r="G750" t="s">
        <v>31</v>
      </c>
      <c r="H750" t="s">
        <v>17</v>
      </c>
      <c r="I750">
        <v>3</v>
      </c>
      <c r="J750" t="s">
        <v>24</v>
      </c>
      <c r="K750" t="s">
        <v>35</v>
      </c>
      <c r="L750">
        <v>69</v>
      </c>
      <c r="M750" t="str" cm="1">
        <f t="array" ref="M750">_xlfn.IFS(
L750&lt;=12,"Children",
L750&lt;=19,"Teens",
L750&lt;=29,"Young Adults",
L750&lt;=39,"Adults",
L750&lt;=59,"Middle-Aged",
L750&gt;=60,"Seniors"
)</f>
        <v>Seniors</v>
      </c>
      <c r="N750" t="s">
        <v>20</v>
      </c>
    </row>
    <row r="751" spans="1:14" x14ac:dyDescent="0.3">
      <c r="A751">
        <v>20514</v>
      </c>
      <c r="B751" t="s">
        <v>37</v>
      </c>
      <c r="C751" t="s">
        <v>38</v>
      </c>
      <c r="D751" s="3">
        <v>70000</v>
      </c>
      <c r="E751">
        <v>2</v>
      </c>
      <c r="F751" t="s">
        <v>21</v>
      </c>
      <c r="G751" t="s">
        <v>23</v>
      </c>
      <c r="H751" t="s">
        <v>17</v>
      </c>
      <c r="I751">
        <v>1</v>
      </c>
      <c r="J751" t="s">
        <v>24</v>
      </c>
      <c r="K751" t="s">
        <v>35</v>
      </c>
      <c r="L751">
        <v>59</v>
      </c>
      <c r="M751" t="str" cm="1">
        <f t="array" ref="M751">_xlfn.IFS(
L751&lt;=12,"Children",
L751&lt;=19,"Teens",
L751&lt;=29,"Young Adults",
L751&lt;=39,"Adults",
L751&lt;=59,"Middle-Aged",
L751&gt;=60,"Seniors"
)</f>
        <v>Middle-Aged</v>
      </c>
      <c r="N751" t="s">
        <v>20</v>
      </c>
    </row>
    <row r="752" spans="1:14" x14ac:dyDescent="0.3">
      <c r="A752">
        <v>20758</v>
      </c>
      <c r="B752" t="s">
        <v>37</v>
      </c>
      <c r="C752" t="s">
        <v>39</v>
      </c>
      <c r="D752" s="3">
        <v>30000</v>
      </c>
      <c r="E752">
        <v>2</v>
      </c>
      <c r="F752" t="s">
        <v>30</v>
      </c>
      <c r="G752" t="s">
        <v>16</v>
      </c>
      <c r="H752" t="s">
        <v>17</v>
      </c>
      <c r="I752">
        <v>2</v>
      </c>
      <c r="J752" t="s">
        <v>29</v>
      </c>
      <c r="K752" t="s">
        <v>35</v>
      </c>
      <c r="L752">
        <v>50</v>
      </c>
      <c r="M752" t="str" cm="1">
        <f t="array" ref="M752">_xlfn.IFS(
L752&lt;=12,"Children",
L752&lt;=19,"Teens",
L752&lt;=29,"Young Adults",
L752&lt;=39,"Adults",
L752&lt;=59,"Middle-Aged",
L752&gt;=60,"Seniors"
)</f>
        <v>Middle-Aged</v>
      </c>
      <c r="N752" t="s">
        <v>20</v>
      </c>
    </row>
    <row r="753" spans="1:14" x14ac:dyDescent="0.3">
      <c r="A753">
        <v>11801</v>
      </c>
      <c r="B753" t="s">
        <v>37</v>
      </c>
      <c r="C753" t="s">
        <v>39</v>
      </c>
      <c r="D753" s="3">
        <v>60000</v>
      </c>
      <c r="E753">
        <v>1</v>
      </c>
      <c r="F753" t="s">
        <v>34</v>
      </c>
      <c r="G753" t="s">
        <v>23</v>
      </c>
      <c r="H753" t="s">
        <v>17</v>
      </c>
      <c r="I753">
        <v>0</v>
      </c>
      <c r="J753" t="s">
        <v>24</v>
      </c>
      <c r="K753" t="s">
        <v>35</v>
      </c>
      <c r="L753">
        <v>36</v>
      </c>
      <c r="M753" t="str" cm="1">
        <f t="array" ref="M753">_xlfn.IFS(
L753&lt;=12,"Children",
L753&lt;=19,"Teens",
L753&lt;=29,"Young Adults",
L753&lt;=39,"Adults",
L753&lt;=59,"Middle-Aged",
L753&gt;=60,"Seniors"
)</f>
        <v>Adults</v>
      </c>
      <c r="N753" t="s">
        <v>20</v>
      </c>
    </row>
    <row r="754" spans="1:14" x14ac:dyDescent="0.3">
      <c r="A754">
        <v>22211</v>
      </c>
      <c r="B754" t="s">
        <v>37</v>
      </c>
      <c r="C754" t="s">
        <v>39</v>
      </c>
      <c r="D754" s="3">
        <v>60000</v>
      </c>
      <c r="E754">
        <v>0</v>
      </c>
      <c r="F754" t="s">
        <v>21</v>
      </c>
      <c r="G754" t="s">
        <v>23</v>
      </c>
      <c r="H754" t="s">
        <v>17</v>
      </c>
      <c r="I754">
        <v>2</v>
      </c>
      <c r="J754" t="s">
        <v>26</v>
      </c>
      <c r="K754" t="s">
        <v>35</v>
      </c>
      <c r="L754">
        <v>32</v>
      </c>
      <c r="M754" t="str" cm="1">
        <f t="array" ref="M754">_xlfn.IFS(
L754&lt;=12,"Children",
L754&lt;=19,"Teens",
L754&lt;=29,"Young Adults",
L754&lt;=39,"Adults",
L754&lt;=59,"Middle-Aged",
L754&gt;=60,"Seniors"
)</f>
        <v>Adults</v>
      </c>
      <c r="N754" t="s">
        <v>20</v>
      </c>
    </row>
    <row r="755" spans="1:14" x14ac:dyDescent="0.3">
      <c r="A755">
        <v>28087</v>
      </c>
      <c r="B755" t="s">
        <v>40</v>
      </c>
      <c r="C755" t="s">
        <v>38</v>
      </c>
      <c r="D755" s="3">
        <v>40000</v>
      </c>
      <c r="E755">
        <v>0</v>
      </c>
      <c r="F755" t="s">
        <v>21</v>
      </c>
      <c r="G755" t="s">
        <v>16</v>
      </c>
      <c r="H755" t="s">
        <v>20</v>
      </c>
      <c r="I755">
        <v>1</v>
      </c>
      <c r="J755" t="s">
        <v>29</v>
      </c>
      <c r="K755" t="s">
        <v>35</v>
      </c>
      <c r="L755">
        <v>27</v>
      </c>
      <c r="M755" t="str" cm="1">
        <f t="array" ref="M755">_xlfn.IFS(
L755&lt;=12,"Children",
L755&lt;=19,"Teens",
L755&lt;=29,"Young Adults",
L755&lt;=39,"Adults",
L755&lt;=59,"Middle-Aged",
L755&gt;=60,"Seniors"
)</f>
        <v>Young Adults</v>
      </c>
      <c r="N755" t="s">
        <v>20</v>
      </c>
    </row>
    <row r="756" spans="1:14" x14ac:dyDescent="0.3">
      <c r="A756">
        <v>23668</v>
      </c>
      <c r="B756" t="s">
        <v>37</v>
      </c>
      <c r="C756" t="s">
        <v>38</v>
      </c>
      <c r="D756" s="3">
        <v>40000</v>
      </c>
      <c r="E756">
        <v>4</v>
      </c>
      <c r="F756" t="s">
        <v>30</v>
      </c>
      <c r="G756" t="s">
        <v>23</v>
      </c>
      <c r="H756" t="s">
        <v>17</v>
      </c>
      <c r="I756">
        <v>2</v>
      </c>
      <c r="J756" t="s">
        <v>26</v>
      </c>
      <c r="K756" t="s">
        <v>35</v>
      </c>
      <c r="L756">
        <v>59</v>
      </c>
      <c r="M756" t="str" cm="1">
        <f t="array" ref="M756">_xlfn.IFS(
L756&lt;=12,"Children",
L756&lt;=19,"Teens",
L756&lt;=29,"Young Adults",
L756&lt;=39,"Adults",
L756&lt;=59,"Middle-Aged",
L756&gt;=60,"Seniors"
)</f>
        <v>Middle-Aged</v>
      </c>
      <c r="N756" t="s">
        <v>17</v>
      </c>
    </row>
    <row r="757" spans="1:14" x14ac:dyDescent="0.3">
      <c r="A757">
        <v>27441</v>
      </c>
      <c r="B757" t="s">
        <v>37</v>
      </c>
      <c r="C757" t="s">
        <v>39</v>
      </c>
      <c r="D757" s="3">
        <v>60000</v>
      </c>
      <c r="E757">
        <v>3</v>
      </c>
      <c r="F757" t="s">
        <v>30</v>
      </c>
      <c r="G757" t="s">
        <v>23</v>
      </c>
      <c r="H757" t="s">
        <v>20</v>
      </c>
      <c r="I757">
        <v>2</v>
      </c>
      <c r="J757" t="s">
        <v>24</v>
      </c>
      <c r="K757" t="s">
        <v>35</v>
      </c>
      <c r="L757">
        <v>53</v>
      </c>
      <c r="M757" t="str" cm="1">
        <f t="array" ref="M757">_xlfn.IFS(
L757&lt;=12,"Children",
L757&lt;=19,"Teens",
L757&lt;=29,"Young Adults",
L757&lt;=39,"Adults",
L757&lt;=59,"Middle-Aged",
L757&gt;=60,"Seniors"
)</f>
        <v>Middle-Aged</v>
      </c>
      <c r="N757" t="s">
        <v>20</v>
      </c>
    </row>
    <row r="758" spans="1:14" x14ac:dyDescent="0.3">
      <c r="A758">
        <v>27261</v>
      </c>
      <c r="B758" t="s">
        <v>37</v>
      </c>
      <c r="C758" t="s">
        <v>39</v>
      </c>
      <c r="D758" s="3">
        <v>40000</v>
      </c>
      <c r="E758">
        <v>1</v>
      </c>
      <c r="F758" t="s">
        <v>15</v>
      </c>
      <c r="G758" t="s">
        <v>16</v>
      </c>
      <c r="H758" t="s">
        <v>20</v>
      </c>
      <c r="I758">
        <v>1</v>
      </c>
      <c r="J758" t="s">
        <v>18</v>
      </c>
      <c r="K758" t="s">
        <v>35</v>
      </c>
      <c r="L758">
        <v>36</v>
      </c>
      <c r="M758" t="str" cm="1">
        <f t="array" ref="M758">_xlfn.IFS(
L758&lt;=12,"Children",
L758&lt;=19,"Teens",
L758&lt;=29,"Young Adults",
L758&lt;=39,"Adults",
L758&lt;=59,"Middle-Aged",
L758&gt;=60,"Seniors"
)</f>
        <v>Adults</v>
      </c>
      <c r="N758" t="s">
        <v>17</v>
      </c>
    </row>
    <row r="759" spans="1:14" x14ac:dyDescent="0.3">
      <c r="A759">
        <v>18649</v>
      </c>
      <c r="B759" t="s">
        <v>40</v>
      </c>
      <c r="C759" t="s">
        <v>39</v>
      </c>
      <c r="D759" s="3">
        <v>30000</v>
      </c>
      <c r="E759">
        <v>1</v>
      </c>
      <c r="F759" t="s">
        <v>30</v>
      </c>
      <c r="G759" t="s">
        <v>22</v>
      </c>
      <c r="H759" t="s">
        <v>17</v>
      </c>
      <c r="I759">
        <v>2</v>
      </c>
      <c r="J759" t="s">
        <v>29</v>
      </c>
      <c r="K759" t="s">
        <v>35</v>
      </c>
      <c r="L759">
        <v>51</v>
      </c>
      <c r="M759" t="str" cm="1">
        <f t="array" ref="M759">_xlfn.IFS(
L759&lt;=12,"Children",
L759&lt;=19,"Teens",
L759&lt;=29,"Young Adults",
L759&lt;=39,"Adults",
L759&lt;=59,"Middle-Aged",
L759&gt;=60,"Seniors"
)</f>
        <v>Middle-Aged</v>
      </c>
      <c r="N759" t="s">
        <v>17</v>
      </c>
    </row>
    <row r="760" spans="1:14" x14ac:dyDescent="0.3">
      <c r="A760">
        <v>21714</v>
      </c>
      <c r="B760" t="s">
        <v>40</v>
      </c>
      <c r="C760" t="s">
        <v>38</v>
      </c>
      <c r="D760" s="3">
        <v>80000</v>
      </c>
      <c r="E760">
        <v>5</v>
      </c>
      <c r="F760" t="s">
        <v>34</v>
      </c>
      <c r="G760" t="s">
        <v>16</v>
      </c>
      <c r="H760" t="s">
        <v>20</v>
      </c>
      <c r="I760">
        <v>0</v>
      </c>
      <c r="J760" t="s">
        <v>18</v>
      </c>
      <c r="K760" t="s">
        <v>35</v>
      </c>
      <c r="L760">
        <v>47</v>
      </c>
      <c r="M760" t="str" cm="1">
        <f t="array" ref="M760">_xlfn.IFS(
L760&lt;=12,"Children",
L760&lt;=19,"Teens",
L760&lt;=29,"Young Adults",
L760&lt;=39,"Adults",
L760&lt;=59,"Middle-Aged",
L760&gt;=60,"Seniors"
)</f>
        <v>Middle-Aged</v>
      </c>
      <c r="N760" t="s">
        <v>20</v>
      </c>
    </row>
    <row r="761" spans="1:14" x14ac:dyDescent="0.3">
      <c r="A761">
        <v>23217</v>
      </c>
      <c r="B761" t="s">
        <v>40</v>
      </c>
      <c r="C761" t="s">
        <v>38</v>
      </c>
      <c r="D761" s="3">
        <v>60000</v>
      </c>
      <c r="E761">
        <v>3</v>
      </c>
      <c r="F761" t="s">
        <v>34</v>
      </c>
      <c r="G761" t="s">
        <v>23</v>
      </c>
      <c r="H761" t="s">
        <v>17</v>
      </c>
      <c r="I761">
        <v>0</v>
      </c>
      <c r="J761" t="s">
        <v>24</v>
      </c>
      <c r="K761" t="s">
        <v>35</v>
      </c>
      <c r="L761">
        <v>43</v>
      </c>
      <c r="M761" t="str" cm="1">
        <f t="array" ref="M761">_xlfn.IFS(
L761&lt;=12,"Children",
L761&lt;=19,"Teens",
L761&lt;=29,"Young Adults",
L761&lt;=39,"Adults",
L761&lt;=59,"Middle-Aged",
L761&gt;=60,"Seniors"
)</f>
        <v>Middle-Aged</v>
      </c>
      <c r="N761" t="s">
        <v>17</v>
      </c>
    </row>
    <row r="762" spans="1:14" x14ac:dyDescent="0.3">
      <c r="A762">
        <v>23797</v>
      </c>
      <c r="B762" t="s">
        <v>40</v>
      </c>
      <c r="C762" t="s">
        <v>39</v>
      </c>
      <c r="D762" s="3">
        <v>20000</v>
      </c>
      <c r="E762">
        <v>3</v>
      </c>
      <c r="F762" t="s">
        <v>32</v>
      </c>
      <c r="G762" t="s">
        <v>22</v>
      </c>
      <c r="H762" t="s">
        <v>20</v>
      </c>
      <c r="I762">
        <v>2</v>
      </c>
      <c r="J762" t="s">
        <v>18</v>
      </c>
      <c r="K762" t="s">
        <v>35</v>
      </c>
      <c r="L762">
        <v>50</v>
      </c>
      <c r="M762" t="str" cm="1">
        <f t="array" ref="M762">_xlfn.IFS(
L762&lt;=12,"Children",
L762&lt;=19,"Teens",
L762&lt;=29,"Young Adults",
L762&lt;=39,"Adults",
L762&lt;=59,"Middle-Aged",
L762&gt;=60,"Seniors"
)</f>
        <v>Middle-Aged</v>
      </c>
      <c r="N762" t="s">
        <v>20</v>
      </c>
    </row>
    <row r="763" spans="1:14" x14ac:dyDescent="0.3">
      <c r="A763">
        <v>13216</v>
      </c>
      <c r="B763" t="s">
        <v>37</v>
      </c>
      <c r="C763" t="s">
        <v>38</v>
      </c>
      <c r="D763" s="3">
        <v>60000</v>
      </c>
      <c r="E763">
        <v>5</v>
      </c>
      <c r="F763" t="s">
        <v>15</v>
      </c>
      <c r="G763" t="s">
        <v>31</v>
      </c>
      <c r="H763" t="s">
        <v>17</v>
      </c>
      <c r="I763">
        <v>3</v>
      </c>
      <c r="J763" t="s">
        <v>41</v>
      </c>
      <c r="K763" t="s">
        <v>35</v>
      </c>
      <c r="L763">
        <v>59</v>
      </c>
      <c r="M763" t="str" cm="1">
        <f t="array" ref="M763">_xlfn.IFS(
L763&lt;=12,"Children",
L763&lt;=19,"Teens",
L763&lt;=29,"Young Adults",
L763&lt;=39,"Adults",
L763&lt;=59,"Middle-Aged",
L763&gt;=60,"Seniors"
)</f>
        <v>Middle-Aged</v>
      </c>
      <c r="N763" t="s">
        <v>20</v>
      </c>
    </row>
    <row r="764" spans="1:14" x14ac:dyDescent="0.3">
      <c r="A764">
        <v>20657</v>
      </c>
      <c r="B764" t="s">
        <v>40</v>
      </c>
      <c r="C764" t="s">
        <v>39</v>
      </c>
      <c r="D764" s="3">
        <v>50000</v>
      </c>
      <c r="E764">
        <v>2</v>
      </c>
      <c r="F764" t="s">
        <v>15</v>
      </c>
      <c r="G764" t="s">
        <v>16</v>
      </c>
      <c r="H764" t="s">
        <v>17</v>
      </c>
      <c r="I764">
        <v>0</v>
      </c>
      <c r="J764" t="s">
        <v>24</v>
      </c>
      <c r="K764" t="s">
        <v>35</v>
      </c>
      <c r="L764">
        <v>37</v>
      </c>
      <c r="M764" t="str" cm="1">
        <f t="array" ref="M764">_xlfn.IFS(
L764&lt;=12,"Children",
L764&lt;=19,"Teens",
L764&lt;=29,"Young Adults",
L764&lt;=39,"Adults",
L764&lt;=59,"Middle-Aged",
L764&gt;=60,"Seniors"
)</f>
        <v>Adults</v>
      </c>
      <c r="N764" t="s">
        <v>17</v>
      </c>
    </row>
    <row r="765" spans="1:14" x14ac:dyDescent="0.3">
      <c r="A765">
        <v>12882</v>
      </c>
      <c r="B765" t="s">
        <v>37</v>
      </c>
      <c r="C765" t="s">
        <v>39</v>
      </c>
      <c r="D765" s="3">
        <v>50000</v>
      </c>
      <c r="E765">
        <v>1</v>
      </c>
      <c r="F765" t="s">
        <v>34</v>
      </c>
      <c r="G765" t="s">
        <v>16</v>
      </c>
      <c r="H765" t="s">
        <v>17</v>
      </c>
      <c r="I765">
        <v>0</v>
      </c>
      <c r="J765" t="s">
        <v>18</v>
      </c>
      <c r="K765" t="s">
        <v>35</v>
      </c>
      <c r="L765">
        <v>33</v>
      </c>
      <c r="M765" t="str" cm="1">
        <f t="array" ref="M765">_xlfn.IFS(
L765&lt;=12,"Children",
L765&lt;=19,"Teens",
L765&lt;=29,"Young Adults",
L765&lt;=39,"Adults",
L765&lt;=59,"Middle-Aged",
L765&gt;=60,"Seniors"
)</f>
        <v>Adults</v>
      </c>
      <c r="N765" t="s">
        <v>17</v>
      </c>
    </row>
    <row r="766" spans="1:14" x14ac:dyDescent="0.3">
      <c r="A766">
        <v>25908</v>
      </c>
      <c r="B766" t="s">
        <v>37</v>
      </c>
      <c r="C766" t="s">
        <v>38</v>
      </c>
      <c r="D766" s="3">
        <v>60000</v>
      </c>
      <c r="E766">
        <v>0</v>
      </c>
      <c r="F766" t="s">
        <v>21</v>
      </c>
      <c r="G766" t="s">
        <v>16</v>
      </c>
      <c r="H766" t="s">
        <v>20</v>
      </c>
      <c r="I766">
        <v>1</v>
      </c>
      <c r="J766" t="s">
        <v>29</v>
      </c>
      <c r="K766" t="s">
        <v>35</v>
      </c>
      <c r="L766">
        <v>27</v>
      </c>
      <c r="M766" t="str" cm="1">
        <f t="array" ref="M766">_xlfn.IFS(
L766&lt;=12,"Children",
L766&lt;=19,"Teens",
L766&lt;=29,"Young Adults",
L766&lt;=39,"Adults",
L766&lt;=59,"Middle-Aged",
L766&gt;=60,"Seniors"
)</f>
        <v>Young Adults</v>
      </c>
      <c r="N766" t="s">
        <v>20</v>
      </c>
    </row>
    <row r="767" spans="1:14" x14ac:dyDescent="0.3">
      <c r="A767">
        <v>16753</v>
      </c>
      <c r="B767" t="s">
        <v>40</v>
      </c>
      <c r="C767" t="s">
        <v>38</v>
      </c>
      <c r="D767" s="3">
        <v>70000</v>
      </c>
      <c r="E767">
        <v>0</v>
      </c>
      <c r="F767" t="s">
        <v>21</v>
      </c>
      <c r="G767" t="s">
        <v>16</v>
      </c>
      <c r="H767" t="s">
        <v>17</v>
      </c>
      <c r="I767">
        <v>2</v>
      </c>
      <c r="J767" t="s">
        <v>26</v>
      </c>
      <c r="K767" t="s">
        <v>35</v>
      </c>
      <c r="L767">
        <v>34</v>
      </c>
      <c r="M767" t="str" cm="1">
        <f t="array" ref="M767">_xlfn.IFS(
L767&lt;=12,"Children",
L767&lt;=19,"Teens",
L767&lt;=29,"Young Adults",
L767&lt;=39,"Adults",
L767&lt;=59,"Middle-Aged",
L767&gt;=60,"Seniors"
)</f>
        <v>Adults</v>
      </c>
      <c r="N767" t="s">
        <v>17</v>
      </c>
    </row>
    <row r="768" spans="1:14" x14ac:dyDescent="0.3">
      <c r="A768">
        <v>14608</v>
      </c>
      <c r="B768" t="s">
        <v>37</v>
      </c>
      <c r="C768" t="s">
        <v>39</v>
      </c>
      <c r="D768" s="3">
        <v>50000</v>
      </c>
      <c r="E768">
        <v>4</v>
      </c>
      <c r="F768" t="s">
        <v>15</v>
      </c>
      <c r="G768" t="s">
        <v>16</v>
      </c>
      <c r="H768" t="s">
        <v>17</v>
      </c>
      <c r="I768">
        <v>3</v>
      </c>
      <c r="J768" t="s">
        <v>41</v>
      </c>
      <c r="K768" t="s">
        <v>35</v>
      </c>
      <c r="L768">
        <v>42</v>
      </c>
      <c r="M768" t="str" cm="1">
        <f t="array" ref="M768">_xlfn.IFS(
L768&lt;=12,"Children",
L768&lt;=19,"Teens",
L768&lt;=29,"Young Adults",
L768&lt;=39,"Adults",
L768&lt;=59,"Middle-Aged",
L768&gt;=60,"Seniors"
)</f>
        <v>Middle-Aged</v>
      </c>
      <c r="N768" t="s">
        <v>20</v>
      </c>
    </row>
    <row r="769" spans="1:14" x14ac:dyDescent="0.3">
      <c r="A769">
        <v>24979</v>
      </c>
      <c r="B769" t="s">
        <v>37</v>
      </c>
      <c r="C769" t="s">
        <v>38</v>
      </c>
      <c r="D769" s="3">
        <v>60000</v>
      </c>
      <c r="E769">
        <v>2</v>
      </c>
      <c r="F769" t="s">
        <v>21</v>
      </c>
      <c r="G769" t="s">
        <v>23</v>
      </c>
      <c r="H769" t="s">
        <v>17</v>
      </c>
      <c r="I769">
        <v>2</v>
      </c>
      <c r="J769" t="s">
        <v>24</v>
      </c>
      <c r="K769" t="s">
        <v>35</v>
      </c>
      <c r="L769">
        <v>57</v>
      </c>
      <c r="M769" t="str" cm="1">
        <f t="array" ref="M769">_xlfn.IFS(
L769&lt;=12,"Children",
L769&lt;=19,"Teens",
L769&lt;=29,"Young Adults",
L769&lt;=39,"Adults",
L769&lt;=59,"Middle-Aged",
L769&gt;=60,"Seniors"
)</f>
        <v>Middle-Aged</v>
      </c>
      <c r="N769" t="s">
        <v>17</v>
      </c>
    </row>
    <row r="770" spans="1:14" x14ac:dyDescent="0.3">
      <c r="A770">
        <v>13313</v>
      </c>
      <c r="B770" t="s">
        <v>37</v>
      </c>
      <c r="C770" t="s">
        <v>38</v>
      </c>
      <c r="D770" s="3">
        <v>120000</v>
      </c>
      <c r="E770">
        <v>1</v>
      </c>
      <c r="F770" t="s">
        <v>30</v>
      </c>
      <c r="G770" t="s">
        <v>23</v>
      </c>
      <c r="H770" t="s">
        <v>20</v>
      </c>
      <c r="I770">
        <v>4</v>
      </c>
      <c r="J770" t="s">
        <v>24</v>
      </c>
      <c r="K770" t="s">
        <v>35</v>
      </c>
      <c r="L770">
        <v>45</v>
      </c>
      <c r="M770" t="str" cm="1">
        <f t="array" ref="M770">_xlfn.IFS(
L770&lt;=12,"Children",
L770&lt;=19,"Teens",
L770&lt;=29,"Young Adults",
L770&lt;=39,"Adults",
L770&lt;=59,"Middle-Aged",
L770&gt;=60,"Seniors"
)</f>
        <v>Middle-Aged</v>
      </c>
      <c r="N770" t="s">
        <v>20</v>
      </c>
    </row>
    <row r="771" spans="1:14" x14ac:dyDescent="0.3">
      <c r="A771">
        <v>18952</v>
      </c>
      <c r="B771" t="s">
        <v>37</v>
      </c>
      <c r="C771" t="s">
        <v>38</v>
      </c>
      <c r="D771" s="3">
        <v>100000</v>
      </c>
      <c r="E771">
        <v>4</v>
      </c>
      <c r="F771" t="s">
        <v>15</v>
      </c>
      <c r="G771" t="s">
        <v>31</v>
      </c>
      <c r="H771" t="s">
        <v>17</v>
      </c>
      <c r="I771">
        <v>4</v>
      </c>
      <c r="J771" t="s">
        <v>18</v>
      </c>
      <c r="K771" t="s">
        <v>35</v>
      </c>
      <c r="L771">
        <v>40</v>
      </c>
      <c r="M771" t="str" cm="1">
        <f t="array" ref="M771">_xlfn.IFS(
L771&lt;=12,"Children",
L771&lt;=19,"Teens",
L771&lt;=29,"Young Adults",
L771&lt;=39,"Adults",
L771&lt;=59,"Middle-Aged",
L771&gt;=60,"Seniors"
)</f>
        <v>Middle-Aged</v>
      </c>
      <c r="N771" t="s">
        <v>20</v>
      </c>
    </row>
    <row r="772" spans="1:14" x14ac:dyDescent="0.3">
      <c r="A772">
        <v>17699</v>
      </c>
      <c r="B772" t="s">
        <v>37</v>
      </c>
      <c r="C772" t="s">
        <v>39</v>
      </c>
      <c r="D772" s="3">
        <v>60000</v>
      </c>
      <c r="E772">
        <v>1</v>
      </c>
      <c r="F772" t="s">
        <v>34</v>
      </c>
      <c r="G772" t="s">
        <v>16</v>
      </c>
      <c r="H772" t="s">
        <v>20</v>
      </c>
      <c r="I772">
        <v>0</v>
      </c>
      <c r="J772" t="s">
        <v>18</v>
      </c>
      <c r="K772" t="s">
        <v>35</v>
      </c>
      <c r="L772">
        <v>55</v>
      </c>
      <c r="M772" t="str" cm="1">
        <f t="array" ref="M772">_xlfn.IFS(
L772&lt;=12,"Children",
L772&lt;=19,"Teens",
L772&lt;=29,"Young Adults",
L772&lt;=39,"Adults",
L772&lt;=59,"Middle-Aged",
L772&gt;=60,"Seniors"
)</f>
        <v>Middle-Aged</v>
      </c>
      <c r="N772" t="s">
        <v>20</v>
      </c>
    </row>
    <row r="773" spans="1:14" x14ac:dyDescent="0.3">
      <c r="A773">
        <v>14657</v>
      </c>
      <c r="B773" t="s">
        <v>37</v>
      </c>
      <c r="C773" t="s">
        <v>39</v>
      </c>
      <c r="D773" s="3">
        <v>80000</v>
      </c>
      <c r="E773">
        <v>1</v>
      </c>
      <c r="F773" t="s">
        <v>21</v>
      </c>
      <c r="G773" t="s">
        <v>16</v>
      </c>
      <c r="H773" t="s">
        <v>20</v>
      </c>
      <c r="I773">
        <v>1</v>
      </c>
      <c r="J773" t="s">
        <v>18</v>
      </c>
      <c r="K773" t="s">
        <v>35</v>
      </c>
      <c r="L773">
        <v>47</v>
      </c>
      <c r="M773" t="str" cm="1">
        <f t="array" ref="M773">_xlfn.IFS(
L773&lt;=12,"Children",
L773&lt;=19,"Teens",
L773&lt;=29,"Young Adults",
L773&lt;=39,"Adults",
L773&lt;=59,"Middle-Aged",
L773&gt;=60,"Seniors"
)</f>
        <v>Middle-Aged</v>
      </c>
      <c r="N773" t="s">
        <v>17</v>
      </c>
    </row>
    <row r="774" spans="1:14" x14ac:dyDescent="0.3">
      <c r="A774">
        <v>11540</v>
      </c>
      <c r="B774" t="s">
        <v>40</v>
      </c>
      <c r="C774" t="s">
        <v>39</v>
      </c>
      <c r="D774" s="3">
        <v>60000</v>
      </c>
      <c r="E774">
        <v>4</v>
      </c>
      <c r="F774" t="s">
        <v>34</v>
      </c>
      <c r="G774" t="s">
        <v>16</v>
      </c>
      <c r="H774" t="s">
        <v>17</v>
      </c>
      <c r="I774">
        <v>0</v>
      </c>
      <c r="J774" t="s">
        <v>29</v>
      </c>
      <c r="K774" t="s">
        <v>35</v>
      </c>
      <c r="L774">
        <v>47</v>
      </c>
      <c r="M774" t="str" cm="1">
        <f t="array" ref="M774">_xlfn.IFS(
L774&lt;=12,"Children",
L774&lt;=19,"Teens",
L774&lt;=29,"Young Adults",
L774&lt;=39,"Adults",
L774&lt;=59,"Middle-Aged",
L774&gt;=60,"Seniors"
)</f>
        <v>Middle-Aged</v>
      </c>
      <c r="N774" t="s">
        <v>17</v>
      </c>
    </row>
    <row r="775" spans="1:14" x14ac:dyDescent="0.3">
      <c r="A775">
        <v>11783</v>
      </c>
      <c r="B775" t="s">
        <v>37</v>
      </c>
      <c r="C775" t="s">
        <v>38</v>
      </c>
      <c r="D775" s="3">
        <v>60000</v>
      </c>
      <c r="E775">
        <v>1</v>
      </c>
      <c r="F775" t="s">
        <v>34</v>
      </c>
      <c r="G775" t="s">
        <v>16</v>
      </c>
      <c r="H775" t="s">
        <v>17</v>
      </c>
      <c r="I775">
        <v>0</v>
      </c>
      <c r="J775" t="s">
        <v>18</v>
      </c>
      <c r="K775" t="s">
        <v>35</v>
      </c>
      <c r="L775">
        <v>34</v>
      </c>
      <c r="M775" t="str" cm="1">
        <f t="array" ref="M775">_xlfn.IFS(
L775&lt;=12,"Children",
L775&lt;=19,"Teens",
L775&lt;=29,"Young Adults",
L775&lt;=39,"Adults",
L775&lt;=59,"Middle-Aged",
L775&gt;=60,"Seniors"
)</f>
        <v>Adults</v>
      </c>
      <c r="N775" t="s">
        <v>20</v>
      </c>
    </row>
    <row r="776" spans="1:14" x14ac:dyDescent="0.3">
      <c r="A776">
        <v>14602</v>
      </c>
      <c r="B776" t="s">
        <v>37</v>
      </c>
      <c r="C776" t="s">
        <v>38</v>
      </c>
      <c r="D776" s="3">
        <v>80000</v>
      </c>
      <c r="E776">
        <v>3</v>
      </c>
      <c r="F776" t="s">
        <v>34</v>
      </c>
      <c r="G776" t="s">
        <v>23</v>
      </c>
      <c r="H776" t="s">
        <v>17</v>
      </c>
      <c r="I776">
        <v>0</v>
      </c>
      <c r="J776" t="s">
        <v>18</v>
      </c>
      <c r="K776" t="s">
        <v>35</v>
      </c>
      <c r="L776">
        <v>36</v>
      </c>
      <c r="M776" t="str" cm="1">
        <f t="array" ref="M776">_xlfn.IFS(
L776&lt;=12,"Children",
L776&lt;=19,"Teens",
L776&lt;=29,"Young Adults",
L776&lt;=39,"Adults",
L776&lt;=59,"Middle-Aged",
L776&gt;=60,"Seniors"
)</f>
        <v>Adults</v>
      </c>
      <c r="N776" t="s">
        <v>17</v>
      </c>
    </row>
    <row r="777" spans="1:14" x14ac:dyDescent="0.3">
      <c r="A777">
        <v>29030</v>
      </c>
      <c r="B777" t="s">
        <v>37</v>
      </c>
      <c r="C777" t="s">
        <v>39</v>
      </c>
      <c r="D777" s="3">
        <v>70000</v>
      </c>
      <c r="E777">
        <v>2</v>
      </c>
      <c r="F777" t="s">
        <v>32</v>
      </c>
      <c r="G777" t="s">
        <v>16</v>
      </c>
      <c r="H777" t="s">
        <v>17</v>
      </c>
      <c r="I777">
        <v>2</v>
      </c>
      <c r="J777" t="s">
        <v>41</v>
      </c>
      <c r="K777" t="s">
        <v>35</v>
      </c>
      <c r="L777">
        <v>54</v>
      </c>
      <c r="M777" t="str" cm="1">
        <f t="array" ref="M777">_xlfn.IFS(
L777&lt;=12,"Children",
L777&lt;=19,"Teens",
L777&lt;=29,"Young Adults",
L777&lt;=39,"Adults",
L777&lt;=59,"Middle-Aged",
L777&gt;=60,"Seniors"
)</f>
        <v>Middle-Aged</v>
      </c>
      <c r="N777" t="s">
        <v>20</v>
      </c>
    </row>
    <row r="778" spans="1:14" x14ac:dyDescent="0.3">
      <c r="A778">
        <v>26490</v>
      </c>
      <c r="B778" t="s">
        <v>40</v>
      </c>
      <c r="C778" t="s">
        <v>39</v>
      </c>
      <c r="D778" s="3">
        <v>70000</v>
      </c>
      <c r="E778">
        <v>2</v>
      </c>
      <c r="F778" t="s">
        <v>15</v>
      </c>
      <c r="G778" t="s">
        <v>31</v>
      </c>
      <c r="H778" t="s">
        <v>20</v>
      </c>
      <c r="I778">
        <v>1</v>
      </c>
      <c r="J778" t="s">
        <v>24</v>
      </c>
      <c r="K778" t="s">
        <v>35</v>
      </c>
      <c r="L778">
        <v>59</v>
      </c>
      <c r="M778" t="str" cm="1">
        <f t="array" ref="M778">_xlfn.IFS(
L778&lt;=12,"Children",
L778&lt;=19,"Teens",
L778&lt;=29,"Young Adults",
L778&lt;=39,"Adults",
L778&lt;=59,"Middle-Aged",
L778&gt;=60,"Seniors"
)</f>
        <v>Middle-Aged</v>
      </c>
      <c r="N778" t="s">
        <v>17</v>
      </c>
    </row>
    <row r="779" spans="1:14" x14ac:dyDescent="0.3">
      <c r="A779">
        <v>13151</v>
      </c>
      <c r="B779" t="s">
        <v>40</v>
      </c>
      <c r="C779" t="s">
        <v>39</v>
      </c>
      <c r="D779" s="3">
        <v>40000</v>
      </c>
      <c r="E779">
        <v>0</v>
      </c>
      <c r="F779" t="s">
        <v>30</v>
      </c>
      <c r="G779" t="s">
        <v>16</v>
      </c>
      <c r="H779" t="s">
        <v>17</v>
      </c>
      <c r="I779">
        <v>2</v>
      </c>
      <c r="J779" t="s">
        <v>26</v>
      </c>
      <c r="K779" t="s">
        <v>35</v>
      </c>
      <c r="L779">
        <v>27</v>
      </c>
      <c r="M779" t="str" cm="1">
        <f t="array" ref="M779">_xlfn.IFS(
L779&lt;=12,"Children",
L779&lt;=19,"Teens",
L779&lt;=29,"Young Adults",
L779&lt;=39,"Adults",
L779&lt;=59,"Middle-Aged",
L779&gt;=60,"Seniors"
)</f>
        <v>Young Adults</v>
      </c>
      <c r="N779" t="s">
        <v>20</v>
      </c>
    </row>
    <row r="780" spans="1:14" x14ac:dyDescent="0.3">
      <c r="A780">
        <v>17260</v>
      </c>
      <c r="B780" t="s">
        <v>37</v>
      </c>
      <c r="C780" t="s">
        <v>39</v>
      </c>
      <c r="D780" s="3">
        <v>90000</v>
      </c>
      <c r="E780">
        <v>5</v>
      </c>
      <c r="F780" t="s">
        <v>21</v>
      </c>
      <c r="G780" t="s">
        <v>23</v>
      </c>
      <c r="H780" t="s">
        <v>17</v>
      </c>
      <c r="I780">
        <v>3</v>
      </c>
      <c r="J780" t="s">
        <v>18</v>
      </c>
      <c r="K780" t="s">
        <v>35</v>
      </c>
      <c r="L780">
        <v>41</v>
      </c>
      <c r="M780" t="str" cm="1">
        <f t="array" ref="M780">_xlfn.IFS(
L780&lt;=12,"Children",
L780&lt;=19,"Teens",
L780&lt;=29,"Young Adults",
L780&lt;=39,"Adults",
L780&lt;=59,"Middle-Aged",
L780&gt;=60,"Seniors"
)</f>
        <v>Middle-Aged</v>
      </c>
      <c r="N780" t="s">
        <v>20</v>
      </c>
    </row>
    <row r="781" spans="1:14" x14ac:dyDescent="0.3">
      <c r="A781">
        <v>15372</v>
      </c>
      <c r="B781" t="s">
        <v>37</v>
      </c>
      <c r="C781" t="s">
        <v>39</v>
      </c>
      <c r="D781" s="3">
        <v>80000</v>
      </c>
      <c r="E781">
        <v>3</v>
      </c>
      <c r="F781" t="s">
        <v>21</v>
      </c>
      <c r="G781" t="s">
        <v>23</v>
      </c>
      <c r="H781" t="s">
        <v>20</v>
      </c>
      <c r="I781">
        <v>2</v>
      </c>
      <c r="J781" t="s">
        <v>24</v>
      </c>
      <c r="K781" t="s">
        <v>35</v>
      </c>
      <c r="L781">
        <v>50</v>
      </c>
      <c r="M781" t="str" cm="1">
        <f t="array" ref="M781">_xlfn.IFS(
L781&lt;=12,"Children",
L781&lt;=19,"Teens",
L781&lt;=29,"Young Adults",
L781&lt;=39,"Adults",
L781&lt;=59,"Middle-Aged",
L781&gt;=60,"Seniors"
)</f>
        <v>Middle-Aged</v>
      </c>
      <c r="N781" t="s">
        <v>17</v>
      </c>
    </row>
    <row r="782" spans="1:14" x14ac:dyDescent="0.3">
      <c r="A782">
        <v>18105</v>
      </c>
      <c r="B782" t="s">
        <v>37</v>
      </c>
      <c r="C782" t="s">
        <v>38</v>
      </c>
      <c r="D782" s="3">
        <v>60000</v>
      </c>
      <c r="E782">
        <v>2</v>
      </c>
      <c r="F782" t="s">
        <v>21</v>
      </c>
      <c r="G782" t="s">
        <v>23</v>
      </c>
      <c r="H782" t="s">
        <v>17</v>
      </c>
      <c r="I782">
        <v>1</v>
      </c>
      <c r="J782" t="s">
        <v>41</v>
      </c>
      <c r="K782" t="s">
        <v>35</v>
      </c>
      <c r="L782">
        <v>55</v>
      </c>
      <c r="M782" t="str" cm="1">
        <f t="array" ref="M782">_xlfn.IFS(
L782&lt;=12,"Children",
L782&lt;=19,"Teens",
L782&lt;=29,"Young Adults",
L782&lt;=39,"Adults",
L782&lt;=59,"Middle-Aged",
L782&gt;=60,"Seniors"
)</f>
        <v>Middle-Aged</v>
      </c>
      <c r="N782" t="s">
        <v>20</v>
      </c>
    </row>
    <row r="783" spans="1:14" x14ac:dyDescent="0.3">
      <c r="A783">
        <v>19660</v>
      </c>
      <c r="B783" t="s">
        <v>37</v>
      </c>
      <c r="C783" t="s">
        <v>39</v>
      </c>
      <c r="D783" s="3">
        <v>80000</v>
      </c>
      <c r="E783">
        <v>4</v>
      </c>
      <c r="F783" t="s">
        <v>15</v>
      </c>
      <c r="G783" t="s">
        <v>31</v>
      </c>
      <c r="H783" t="s">
        <v>17</v>
      </c>
      <c r="I783">
        <v>0</v>
      </c>
      <c r="J783" t="s">
        <v>18</v>
      </c>
      <c r="K783" t="s">
        <v>35</v>
      </c>
      <c r="L783">
        <v>43</v>
      </c>
      <c r="M783" t="str" cm="1">
        <f t="array" ref="M783">_xlfn.IFS(
L783&lt;=12,"Children",
L783&lt;=19,"Teens",
L783&lt;=29,"Young Adults",
L783&lt;=39,"Adults",
L783&lt;=59,"Middle-Aged",
L783&gt;=60,"Seniors"
)</f>
        <v>Middle-Aged</v>
      </c>
      <c r="N783" t="s">
        <v>20</v>
      </c>
    </row>
    <row r="784" spans="1:14" x14ac:dyDescent="0.3">
      <c r="A784">
        <v>16112</v>
      </c>
      <c r="B784" t="s">
        <v>40</v>
      </c>
      <c r="C784" t="s">
        <v>39</v>
      </c>
      <c r="D784" s="3">
        <v>70000</v>
      </c>
      <c r="E784">
        <v>4</v>
      </c>
      <c r="F784" t="s">
        <v>15</v>
      </c>
      <c r="G784" t="s">
        <v>23</v>
      </c>
      <c r="H784" t="s">
        <v>17</v>
      </c>
      <c r="I784">
        <v>2</v>
      </c>
      <c r="J784" t="s">
        <v>24</v>
      </c>
      <c r="K784" t="s">
        <v>35</v>
      </c>
      <c r="L784">
        <v>43</v>
      </c>
      <c r="M784" t="str" cm="1">
        <f t="array" ref="M784">_xlfn.IFS(
L784&lt;=12,"Children",
L784&lt;=19,"Teens",
L784&lt;=29,"Young Adults",
L784&lt;=39,"Adults",
L784&lt;=59,"Middle-Aged",
L784&gt;=60,"Seniors"
)</f>
        <v>Middle-Aged</v>
      </c>
      <c r="N784" t="s">
        <v>17</v>
      </c>
    </row>
    <row r="785" spans="1:14" x14ac:dyDescent="0.3">
      <c r="A785">
        <v>20698</v>
      </c>
      <c r="B785" t="s">
        <v>37</v>
      </c>
      <c r="C785" t="s">
        <v>39</v>
      </c>
      <c r="D785" s="3">
        <v>60000</v>
      </c>
      <c r="E785">
        <v>4</v>
      </c>
      <c r="F785" t="s">
        <v>15</v>
      </c>
      <c r="G785" t="s">
        <v>16</v>
      </c>
      <c r="H785" t="s">
        <v>17</v>
      </c>
      <c r="I785">
        <v>3</v>
      </c>
      <c r="J785" t="s">
        <v>26</v>
      </c>
      <c r="K785" t="s">
        <v>35</v>
      </c>
      <c r="L785">
        <v>42</v>
      </c>
      <c r="M785" t="str" cm="1">
        <f t="array" ref="M785">_xlfn.IFS(
L785&lt;=12,"Children",
L785&lt;=19,"Teens",
L785&lt;=29,"Young Adults",
L785&lt;=39,"Adults",
L785&lt;=59,"Middle-Aged",
L785&gt;=60,"Seniors"
)</f>
        <v>Middle-Aged</v>
      </c>
      <c r="N785" t="s">
        <v>20</v>
      </c>
    </row>
    <row r="786" spans="1:14" x14ac:dyDescent="0.3">
      <c r="A786">
        <v>20076</v>
      </c>
      <c r="B786" t="s">
        <v>40</v>
      </c>
      <c r="C786" t="s">
        <v>38</v>
      </c>
      <c r="D786" s="3">
        <v>10000</v>
      </c>
      <c r="E786">
        <v>2</v>
      </c>
      <c r="F786" t="s">
        <v>30</v>
      </c>
      <c r="G786" t="s">
        <v>28</v>
      </c>
      <c r="H786" t="s">
        <v>17</v>
      </c>
      <c r="I786">
        <v>2</v>
      </c>
      <c r="J786" t="s">
        <v>29</v>
      </c>
      <c r="K786" t="s">
        <v>35</v>
      </c>
      <c r="L786">
        <v>53</v>
      </c>
      <c r="M786" t="str" cm="1">
        <f t="array" ref="M786">_xlfn.IFS(
L786&lt;=12,"Children",
L786&lt;=19,"Teens",
L786&lt;=29,"Young Adults",
L786&lt;=39,"Adults",
L786&lt;=59,"Middle-Aged",
L786&gt;=60,"Seniors"
)</f>
        <v>Middle-Aged</v>
      </c>
      <c r="N786" t="s">
        <v>17</v>
      </c>
    </row>
    <row r="787" spans="1:14" x14ac:dyDescent="0.3">
      <c r="A787">
        <v>24496</v>
      </c>
      <c r="B787" t="s">
        <v>40</v>
      </c>
      <c r="C787" t="s">
        <v>38</v>
      </c>
      <c r="D787" s="3">
        <v>40000</v>
      </c>
      <c r="E787">
        <v>0</v>
      </c>
      <c r="F787" t="s">
        <v>30</v>
      </c>
      <c r="G787" t="s">
        <v>16</v>
      </c>
      <c r="H787" t="s">
        <v>20</v>
      </c>
      <c r="I787">
        <v>2</v>
      </c>
      <c r="J787" t="s">
        <v>18</v>
      </c>
      <c r="K787" t="s">
        <v>35</v>
      </c>
      <c r="L787">
        <v>28</v>
      </c>
      <c r="M787" t="str" cm="1">
        <f t="array" ref="M787">_xlfn.IFS(
L787&lt;=12,"Children",
L787&lt;=19,"Teens",
L787&lt;=29,"Young Adults",
L787&lt;=39,"Adults",
L787&lt;=59,"Middle-Aged",
L787&gt;=60,"Seniors"
)</f>
        <v>Young Adults</v>
      </c>
      <c r="N787" t="s">
        <v>17</v>
      </c>
    </row>
    <row r="788" spans="1:14" x14ac:dyDescent="0.3">
      <c r="A788">
        <v>15468</v>
      </c>
      <c r="B788" t="s">
        <v>37</v>
      </c>
      <c r="C788" t="s">
        <v>38</v>
      </c>
      <c r="D788" s="3">
        <v>50000</v>
      </c>
      <c r="E788">
        <v>1</v>
      </c>
      <c r="F788" t="s">
        <v>15</v>
      </c>
      <c r="G788" t="s">
        <v>16</v>
      </c>
      <c r="H788" t="s">
        <v>17</v>
      </c>
      <c r="I788">
        <v>1</v>
      </c>
      <c r="J788" t="s">
        <v>18</v>
      </c>
      <c r="K788" t="s">
        <v>35</v>
      </c>
      <c r="L788">
        <v>35</v>
      </c>
      <c r="M788" t="str" cm="1">
        <f t="array" ref="M788">_xlfn.IFS(
L788&lt;=12,"Children",
L788&lt;=19,"Teens",
L788&lt;=29,"Young Adults",
L788&lt;=39,"Adults",
L788&lt;=59,"Middle-Aged",
L788&gt;=60,"Seniors"
)</f>
        <v>Adults</v>
      </c>
      <c r="N788" t="s">
        <v>20</v>
      </c>
    </row>
    <row r="789" spans="1:14" x14ac:dyDescent="0.3">
      <c r="A789">
        <v>28031</v>
      </c>
      <c r="B789" t="s">
        <v>40</v>
      </c>
      <c r="C789" t="s">
        <v>38</v>
      </c>
      <c r="D789" s="3">
        <v>70000</v>
      </c>
      <c r="E789">
        <v>2</v>
      </c>
      <c r="F789" t="s">
        <v>15</v>
      </c>
      <c r="G789" t="s">
        <v>31</v>
      </c>
      <c r="H789" t="s">
        <v>20</v>
      </c>
      <c r="I789">
        <v>1</v>
      </c>
      <c r="J789" t="s">
        <v>24</v>
      </c>
      <c r="K789" t="s">
        <v>35</v>
      </c>
      <c r="L789">
        <v>59</v>
      </c>
      <c r="M789" t="str" cm="1">
        <f t="array" ref="M789">_xlfn.IFS(
L789&lt;=12,"Children",
L789&lt;=19,"Teens",
L789&lt;=29,"Young Adults",
L789&lt;=39,"Adults",
L789&lt;=59,"Middle-Aged",
L789&gt;=60,"Seniors"
)</f>
        <v>Middle-Aged</v>
      </c>
      <c r="N789" t="s">
        <v>17</v>
      </c>
    </row>
    <row r="790" spans="1:14" x14ac:dyDescent="0.3">
      <c r="A790">
        <v>26270</v>
      </c>
      <c r="B790" t="s">
        <v>40</v>
      </c>
      <c r="C790" t="s">
        <v>38</v>
      </c>
      <c r="D790" s="3">
        <v>20000</v>
      </c>
      <c r="E790">
        <v>2</v>
      </c>
      <c r="F790" t="s">
        <v>32</v>
      </c>
      <c r="G790" t="s">
        <v>22</v>
      </c>
      <c r="H790" t="s">
        <v>17</v>
      </c>
      <c r="I790">
        <v>2</v>
      </c>
      <c r="J790" t="s">
        <v>29</v>
      </c>
      <c r="K790" t="s">
        <v>35</v>
      </c>
      <c r="L790">
        <v>49</v>
      </c>
      <c r="M790" t="str" cm="1">
        <f t="array" ref="M790">_xlfn.IFS(
L790&lt;=12,"Children",
L790&lt;=19,"Teens",
L790&lt;=29,"Young Adults",
L790&lt;=39,"Adults",
L790&lt;=59,"Middle-Aged",
L790&gt;=60,"Seniors"
)</f>
        <v>Middle-Aged</v>
      </c>
      <c r="N790" t="s">
        <v>20</v>
      </c>
    </row>
    <row r="791" spans="1:14" x14ac:dyDescent="0.3">
      <c r="A791">
        <v>22221</v>
      </c>
      <c r="B791" t="s">
        <v>37</v>
      </c>
      <c r="C791" t="s">
        <v>39</v>
      </c>
      <c r="D791" s="3">
        <v>60000</v>
      </c>
      <c r="E791">
        <v>2</v>
      </c>
      <c r="F791" t="s">
        <v>30</v>
      </c>
      <c r="G791" t="s">
        <v>23</v>
      </c>
      <c r="H791" t="s">
        <v>20</v>
      </c>
      <c r="I791">
        <v>2</v>
      </c>
      <c r="J791" t="s">
        <v>29</v>
      </c>
      <c r="K791" t="s">
        <v>35</v>
      </c>
      <c r="L791">
        <v>48</v>
      </c>
      <c r="M791" t="str" cm="1">
        <f t="array" ref="M791">_xlfn.IFS(
L791&lt;=12,"Children",
L791&lt;=19,"Teens",
L791&lt;=29,"Young Adults",
L791&lt;=39,"Adults",
L791&lt;=59,"Middle-Aged",
L791&gt;=60,"Seniors"
)</f>
        <v>Middle-Aged</v>
      </c>
      <c r="N791" t="s">
        <v>17</v>
      </c>
    </row>
    <row r="792" spans="1:14" x14ac:dyDescent="0.3">
      <c r="A792">
        <v>28228</v>
      </c>
      <c r="B792" t="s">
        <v>40</v>
      </c>
      <c r="C792" t="s">
        <v>38</v>
      </c>
      <c r="D792" s="3">
        <v>80000</v>
      </c>
      <c r="E792">
        <v>2</v>
      </c>
      <c r="F792" t="s">
        <v>32</v>
      </c>
      <c r="G792" t="s">
        <v>16</v>
      </c>
      <c r="H792" t="s">
        <v>20</v>
      </c>
      <c r="I792">
        <v>2</v>
      </c>
      <c r="J792" t="s">
        <v>29</v>
      </c>
      <c r="K792" t="s">
        <v>35</v>
      </c>
      <c r="L792">
        <v>50</v>
      </c>
      <c r="M792" t="str" cm="1">
        <f t="array" ref="M792">_xlfn.IFS(
L792&lt;=12,"Children",
L792&lt;=19,"Teens",
L792&lt;=29,"Young Adults",
L792&lt;=39,"Adults",
L792&lt;=59,"Middle-Aged",
L792&gt;=60,"Seniors"
)</f>
        <v>Middle-Aged</v>
      </c>
      <c r="N792" t="s">
        <v>20</v>
      </c>
    </row>
    <row r="793" spans="1:14" x14ac:dyDescent="0.3">
      <c r="A793">
        <v>18363</v>
      </c>
      <c r="B793" t="s">
        <v>37</v>
      </c>
      <c r="C793" t="s">
        <v>39</v>
      </c>
      <c r="D793" s="3">
        <v>40000</v>
      </c>
      <c r="E793">
        <v>0</v>
      </c>
      <c r="F793" t="s">
        <v>30</v>
      </c>
      <c r="G793" t="s">
        <v>16</v>
      </c>
      <c r="H793" t="s">
        <v>17</v>
      </c>
      <c r="I793">
        <v>2</v>
      </c>
      <c r="J793" t="s">
        <v>26</v>
      </c>
      <c r="K793" t="s">
        <v>35</v>
      </c>
      <c r="L793">
        <v>28</v>
      </c>
      <c r="M793" t="str" cm="1">
        <f t="array" ref="M793">_xlfn.IFS(
L793&lt;=12,"Children",
L793&lt;=19,"Teens",
L793&lt;=29,"Young Adults",
L793&lt;=39,"Adults",
L793&lt;=59,"Middle-Aged",
L793&gt;=60,"Seniors"
)</f>
        <v>Young Adults</v>
      </c>
      <c r="N793" t="s">
        <v>17</v>
      </c>
    </row>
    <row r="794" spans="1:14" x14ac:dyDescent="0.3">
      <c r="A794">
        <v>23256</v>
      </c>
      <c r="B794" t="s">
        <v>40</v>
      </c>
      <c r="C794" t="s">
        <v>39</v>
      </c>
      <c r="D794" s="3">
        <v>30000</v>
      </c>
      <c r="E794">
        <v>1</v>
      </c>
      <c r="F794" t="s">
        <v>30</v>
      </c>
      <c r="G794" t="s">
        <v>22</v>
      </c>
      <c r="H794" t="s">
        <v>20</v>
      </c>
      <c r="I794">
        <v>1</v>
      </c>
      <c r="J794" t="s">
        <v>26</v>
      </c>
      <c r="K794" t="s">
        <v>35</v>
      </c>
      <c r="L794">
        <v>52</v>
      </c>
      <c r="M794" t="str" cm="1">
        <f t="array" ref="M794">_xlfn.IFS(
L794&lt;=12,"Children",
L794&lt;=19,"Teens",
L794&lt;=29,"Young Adults",
L794&lt;=39,"Adults",
L794&lt;=59,"Middle-Aged",
L794&gt;=60,"Seniors"
)</f>
        <v>Middle-Aged</v>
      </c>
      <c r="N794" t="s">
        <v>20</v>
      </c>
    </row>
    <row r="795" spans="1:14" x14ac:dyDescent="0.3">
      <c r="A795">
        <v>12768</v>
      </c>
      <c r="B795" t="s">
        <v>37</v>
      </c>
      <c r="C795" t="s">
        <v>39</v>
      </c>
      <c r="D795" s="3">
        <v>30000</v>
      </c>
      <c r="E795">
        <v>1</v>
      </c>
      <c r="F795" t="s">
        <v>30</v>
      </c>
      <c r="G795" t="s">
        <v>22</v>
      </c>
      <c r="H795" t="s">
        <v>17</v>
      </c>
      <c r="I795">
        <v>1</v>
      </c>
      <c r="J795" t="s">
        <v>24</v>
      </c>
      <c r="K795" t="s">
        <v>35</v>
      </c>
      <c r="L795">
        <v>52</v>
      </c>
      <c r="M795" t="str" cm="1">
        <f t="array" ref="M795">_xlfn.IFS(
L795&lt;=12,"Children",
L795&lt;=19,"Teens",
L795&lt;=29,"Young Adults",
L795&lt;=39,"Adults",
L795&lt;=59,"Middle-Aged",
L795&gt;=60,"Seniors"
)</f>
        <v>Middle-Aged</v>
      </c>
      <c r="N795" t="s">
        <v>17</v>
      </c>
    </row>
    <row r="796" spans="1:14" x14ac:dyDescent="0.3">
      <c r="A796">
        <v>20361</v>
      </c>
      <c r="B796" t="s">
        <v>37</v>
      </c>
      <c r="C796" t="s">
        <v>39</v>
      </c>
      <c r="D796" s="3">
        <v>50000</v>
      </c>
      <c r="E796">
        <v>2</v>
      </c>
      <c r="F796" t="s">
        <v>34</v>
      </c>
      <c r="G796" t="s">
        <v>31</v>
      </c>
      <c r="H796" t="s">
        <v>17</v>
      </c>
      <c r="I796">
        <v>2</v>
      </c>
      <c r="J796" t="s">
        <v>26</v>
      </c>
      <c r="K796" t="s">
        <v>35</v>
      </c>
      <c r="L796">
        <v>69</v>
      </c>
      <c r="M796" t="str" cm="1">
        <f t="array" ref="M796">_xlfn.IFS(
L796&lt;=12,"Children",
L796&lt;=19,"Teens",
L796&lt;=29,"Young Adults",
L796&lt;=39,"Adults",
L796&lt;=59,"Middle-Aged",
L796&gt;=60,"Seniors"
)</f>
        <v>Seniors</v>
      </c>
      <c r="N796" t="s">
        <v>20</v>
      </c>
    </row>
    <row r="797" spans="1:14" x14ac:dyDescent="0.3">
      <c r="A797">
        <v>21306</v>
      </c>
      <c r="B797" t="s">
        <v>40</v>
      </c>
      <c r="C797" t="s">
        <v>39</v>
      </c>
      <c r="D797" s="3">
        <v>60000</v>
      </c>
      <c r="E797">
        <v>2</v>
      </c>
      <c r="F797" t="s">
        <v>30</v>
      </c>
      <c r="G797" t="s">
        <v>23</v>
      </c>
      <c r="H797" t="s">
        <v>17</v>
      </c>
      <c r="I797">
        <v>2</v>
      </c>
      <c r="J797" t="s">
        <v>26</v>
      </c>
      <c r="K797" t="s">
        <v>35</v>
      </c>
      <c r="L797">
        <v>51</v>
      </c>
      <c r="M797" t="str" cm="1">
        <f t="array" ref="M797">_xlfn.IFS(
L797&lt;=12,"Children",
L797&lt;=19,"Teens",
L797&lt;=29,"Young Adults",
L797&lt;=39,"Adults",
L797&lt;=59,"Middle-Aged",
L797&gt;=60,"Seniors"
)</f>
        <v>Middle-Aged</v>
      </c>
      <c r="N797" t="s">
        <v>20</v>
      </c>
    </row>
    <row r="798" spans="1:14" x14ac:dyDescent="0.3">
      <c r="A798">
        <v>13382</v>
      </c>
      <c r="B798" t="s">
        <v>37</v>
      </c>
      <c r="C798" t="s">
        <v>39</v>
      </c>
      <c r="D798" s="3">
        <v>70000</v>
      </c>
      <c r="E798">
        <v>5</v>
      </c>
      <c r="F798" t="s">
        <v>21</v>
      </c>
      <c r="G798" t="s">
        <v>23</v>
      </c>
      <c r="H798" t="s">
        <v>17</v>
      </c>
      <c r="I798">
        <v>2</v>
      </c>
      <c r="J798" t="s">
        <v>29</v>
      </c>
      <c r="K798" t="s">
        <v>35</v>
      </c>
      <c r="L798">
        <v>57</v>
      </c>
      <c r="M798" t="str" cm="1">
        <f t="array" ref="M798">_xlfn.IFS(
L798&lt;=12,"Children",
L798&lt;=19,"Teens",
L798&lt;=29,"Young Adults",
L798&lt;=39,"Adults",
L798&lt;=59,"Middle-Aged",
L798&gt;=60,"Seniors"
)</f>
        <v>Middle-Aged</v>
      </c>
      <c r="N798" t="s">
        <v>17</v>
      </c>
    </row>
    <row r="799" spans="1:14" x14ac:dyDescent="0.3">
      <c r="A799">
        <v>20310</v>
      </c>
      <c r="B799" t="s">
        <v>40</v>
      </c>
      <c r="C799" t="s">
        <v>39</v>
      </c>
      <c r="D799" s="3">
        <v>60000</v>
      </c>
      <c r="E799">
        <v>0</v>
      </c>
      <c r="F799" t="s">
        <v>21</v>
      </c>
      <c r="G799" t="s">
        <v>16</v>
      </c>
      <c r="H799" t="s">
        <v>17</v>
      </c>
      <c r="I799">
        <v>1</v>
      </c>
      <c r="J799" t="s">
        <v>26</v>
      </c>
      <c r="K799" t="s">
        <v>35</v>
      </c>
      <c r="L799">
        <v>27</v>
      </c>
      <c r="M799" t="str" cm="1">
        <f t="array" ref="M799">_xlfn.IFS(
L799&lt;=12,"Children",
L799&lt;=19,"Teens",
L799&lt;=29,"Young Adults",
L799&lt;=39,"Adults",
L799&lt;=59,"Middle-Aged",
L799&gt;=60,"Seniors"
)</f>
        <v>Young Adults</v>
      </c>
      <c r="N799" t="s">
        <v>17</v>
      </c>
    </row>
    <row r="800" spans="1:14" x14ac:dyDescent="0.3">
      <c r="A800">
        <v>22971</v>
      </c>
      <c r="B800" t="s">
        <v>40</v>
      </c>
      <c r="C800" t="s">
        <v>38</v>
      </c>
      <c r="D800" s="3">
        <v>30000</v>
      </c>
      <c r="E800">
        <v>0</v>
      </c>
      <c r="F800" t="s">
        <v>30</v>
      </c>
      <c r="G800" t="s">
        <v>16</v>
      </c>
      <c r="H800" t="s">
        <v>20</v>
      </c>
      <c r="I800">
        <v>2</v>
      </c>
      <c r="J800" t="s">
        <v>18</v>
      </c>
      <c r="K800" t="s">
        <v>35</v>
      </c>
      <c r="L800">
        <v>25</v>
      </c>
      <c r="M800" t="str" cm="1">
        <f t="array" ref="M800">_xlfn.IFS(
L800&lt;=12,"Children",
L800&lt;=19,"Teens",
L800&lt;=29,"Young Adults",
L800&lt;=39,"Adults",
L800&lt;=59,"Middle-Aged",
L800&gt;=60,"Seniors"
)</f>
        <v>Young Adults</v>
      </c>
      <c r="N800" t="s">
        <v>17</v>
      </c>
    </row>
    <row r="801" spans="1:14" x14ac:dyDescent="0.3">
      <c r="A801">
        <v>15287</v>
      </c>
      <c r="B801" t="s">
        <v>40</v>
      </c>
      <c r="C801" t="s">
        <v>38</v>
      </c>
      <c r="D801" s="3">
        <v>50000</v>
      </c>
      <c r="E801">
        <v>1</v>
      </c>
      <c r="F801" t="s">
        <v>34</v>
      </c>
      <c r="G801" t="s">
        <v>16</v>
      </c>
      <c r="H801" t="s">
        <v>17</v>
      </c>
      <c r="I801">
        <v>0</v>
      </c>
      <c r="J801" t="s">
        <v>29</v>
      </c>
      <c r="K801" t="s">
        <v>35</v>
      </c>
      <c r="L801">
        <v>33</v>
      </c>
      <c r="M801" t="str" cm="1">
        <f t="array" ref="M801">_xlfn.IFS(
L801&lt;=12,"Children",
L801&lt;=19,"Teens",
L801&lt;=29,"Young Adults",
L801&lt;=39,"Adults",
L801&lt;=59,"Middle-Aged",
L801&gt;=60,"Seniors"
)</f>
        <v>Adults</v>
      </c>
      <c r="N801" t="s">
        <v>17</v>
      </c>
    </row>
    <row r="802" spans="1:14" x14ac:dyDescent="0.3">
      <c r="A802">
        <v>15532</v>
      </c>
      <c r="B802" t="s">
        <v>40</v>
      </c>
      <c r="C802" t="s">
        <v>39</v>
      </c>
      <c r="D802" s="3">
        <v>60000</v>
      </c>
      <c r="E802">
        <v>4</v>
      </c>
      <c r="F802" t="s">
        <v>15</v>
      </c>
      <c r="G802" t="s">
        <v>23</v>
      </c>
      <c r="H802" t="s">
        <v>17</v>
      </c>
      <c r="I802">
        <v>2</v>
      </c>
      <c r="J802" t="s">
        <v>24</v>
      </c>
      <c r="K802" t="s">
        <v>35</v>
      </c>
      <c r="L802">
        <v>43</v>
      </c>
      <c r="M802" t="str" cm="1">
        <f t="array" ref="M802">_xlfn.IFS(
L802&lt;=12,"Children",
L802&lt;=19,"Teens",
L802&lt;=29,"Young Adults",
L802&lt;=39,"Adults",
L802&lt;=59,"Middle-Aged",
L802&gt;=60,"Seniors"
)</f>
        <v>Middle-Aged</v>
      </c>
      <c r="N802" t="s">
        <v>17</v>
      </c>
    </row>
    <row r="803" spans="1:14" x14ac:dyDescent="0.3">
      <c r="A803">
        <v>11255</v>
      </c>
      <c r="B803" t="s">
        <v>37</v>
      </c>
      <c r="C803" t="s">
        <v>39</v>
      </c>
      <c r="D803" s="3">
        <v>70000</v>
      </c>
      <c r="E803">
        <v>4</v>
      </c>
      <c r="F803" t="s">
        <v>34</v>
      </c>
      <c r="G803" t="s">
        <v>31</v>
      </c>
      <c r="H803" t="s">
        <v>17</v>
      </c>
      <c r="I803">
        <v>2</v>
      </c>
      <c r="J803" t="s">
        <v>26</v>
      </c>
      <c r="K803" t="s">
        <v>35</v>
      </c>
      <c r="L803">
        <v>73</v>
      </c>
      <c r="M803" t="str" cm="1">
        <f t="array" ref="M803">_xlfn.IFS(
L803&lt;=12,"Children",
L803&lt;=19,"Teens",
L803&lt;=29,"Young Adults",
L803&lt;=39,"Adults",
L803&lt;=59,"Middle-Aged",
L803&gt;=60,"Seniors"
)</f>
        <v>Seniors</v>
      </c>
      <c r="N803" t="s">
        <v>20</v>
      </c>
    </row>
    <row r="804" spans="1:14" x14ac:dyDescent="0.3">
      <c r="A804">
        <v>28090</v>
      </c>
      <c r="B804" t="s">
        <v>37</v>
      </c>
      <c r="C804" t="s">
        <v>39</v>
      </c>
      <c r="D804" s="3">
        <v>40000</v>
      </c>
      <c r="E804">
        <v>0</v>
      </c>
      <c r="F804" t="s">
        <v>21</v>
      </c>
      <c r="G804" t="s">
        <v>16</v>
      </c>
      <c r="H804" t="s">
        <v>17</v>
      </c>
      <c r="I804">
        <v>1</v>
      </c>
      <c r="J804" t="s">
        <v>26</v>
      </c>
      <c r="K804" t="s">
        <v>35</v>
      </c>
      <c r="L804">
        <v>27</v>
      </c>
      <c r="M804" t="str" cm="1">
        <f t="array" ref="M804">_xlfn.IFS(
L804&lt;=12,"Children",
L804&lt;=19,"Teens",
L804&lt;=29,"Young Adults",
L804&lt;=39,"Adults",
L804&lt;=59,"Middle-Aged",
L804&gt;=60,"Seniors"
)</f>
        <v>Young Adults</v>
      </c>
      <c r="N804" t="s">
        <v>20</v>
      </c>
    </row>
    <row r="805" spans="1:14" x14ac:dyDescent="0.3">
      <c r="A805">
        <v>15255</v>
      </c>
      <c r="B805" t="s">
        <v>37</v>
      </c>
      <c r="C805" t="s">
        <v>39</v>
      </c>
      <c r="D805" s="3">
        <v>40000</v>
      </c>
      <c r="E805">
        <v>0</v>
      </c>
      <c r="F805" t="s">
        <v>30</v>
      </c>
      <c r="G805" t="s">
        <v>16</v>
      </c>
      <c r="H805" t="s">
        <v>17</v>
      </c>
      <c r="I805">
        <v>2</v>
      </c>
      <c r="J805" t="s">
        <v>26</v>
      </c>
      <c r="K805" t="s">
        <v>35</v>
      </c>
      <c r="L805">
        <v>28</v>
      </c>
      <c r="M805" t="str" cm="1">
        <f t="array" ref="M805">_xlfn.IFS(
L805&lt;=12,"Children",
L805&lt;=19,"Teens",
L805&lt;=29,"Young Adults",
L805&lt;=39,"Adults",
L805&lt;=59,"Middle-Aged",
L805&gt;=60,"Seniors"
)</f>
        <v>Young Adults</v>
      </c>
      <c r="N805" t="s">
        <v>17</v>
      </c>
    </row>
    <row r="806" spans="1:14" x14ac:dyDescent="0.3">
      <c r="A806">
        <v>13154</v>
      </c>
      <c r="B806" t="s">
        <v>37</v>
      </c>
      <c r="C806" t="s">
        <v>39</v>
      </c>
      <c r="D806" s="3">
        <v>40000</v>
      </c>
      <c r="E806">
        <v>0</v>
      </c>
      <c r="F806" t="s">
        <v>30</v>
      </c>
      <c r="G806" t="s">
        <v>16</v>
      </c>
      <c r="H806" t="s">
        <v>20</v>
      </c>
      <c r="I806">
        <v>2</v>
      </c>
      <c r="J806" t="s">
        <v>18</v>
      </c>
      <c r="K806" t="s">
        <v>35</v>
      </c>
      <c r="L806">
        <v>27</v>
      </c>
      <c r="M806" t="str" cm="1">
        <f t="array" ref="M806">_xlfn.IFS(
L806&lt;=12,"Children",
L806&lt;=19,"Teens",
L806&lt;=29,"Young Adults",
L806&lt;=39,"Adults",
L806&lt;=59,"Middle-Aged",
L806&gt;=60,"Seniors"
)</f>
        <v>Young Adults</v>
      </c>
      <c r="N806" t="s">
        <v>17</v>
      </c>
    </row>
    <row r="807" spans="1:14" x14ac:dyDescent="0.3">
      <c r="A807">
        <v>26778</v>
      </c>
      <c r="B807" t="s">
        <v>40</v>
      </c>
      <c r="C807" t="s">
        <v>38</v>
      </c>
      <c r="D807" s="3">
        <v>40000</v>
      </c>
      <c r="E807">
        <v>0</v>
      </c>
      <c r="F807" t="s">
        <v>30</v>
      </c>
      <c r="G807" t="s">
        <v>16</v>
      </c>
      <c r="H807" t="s">
        <v>17</v>
      </c>
      <c r="I807">
        <v>2</v>
      </c>
      <c r="J807" t="s">
        <v>26</v>
      </c>
      <c r="K807" t="s">
        <v>35</v>
      </c>
      <c r="L807">
        <v>31</v>
      </c>
      <c r="M807" t="str" cm="1">
        <f t="array" ref="M807">_xlfn.IFS(
L807&lt;=12,"Children",
L807&lt;=19,"Teens",
L807&lt;=29,"Young Adults",
L807&lt;=39,"Adults",
L807&lt;=59,"Middle-Aged",
L807&gt;=60,"Seniors"
)</f>
        <v>Adults</v>
      </c>
      <c r="N807" t="s">
        <v>20</v>
      </c>
    </row>
    <row r="808" spans="1:14" x14ac:dyDescent="0.3">
      <c r="A808">
        <v>23248</v>
      </c>
      <c r="B808" t="s">
        <v>37</v>
      </c>
      <c r="C808" t="s">
        <v>38</v>
      </c>
      <c r="D808" s="3">
        <v>10000</v>
      </c>
      <c r="E808">
        <v>2</v>
      </c>
      <c r="F808" t="s">
        <v>30</v>
      </c>
      <c r="G808" t="s">
        <v>28</v>
      </c>
      <c r="H808" t="s">
        <v>17</v>
      </c>
      <c r="I808">
        <v>2</v>
      </c>
      <c r="J808" t="s">
        <v>29</v>
      </c>
      <c r="K808" t="s">
        <v>35</v>
      </c>
      <c r="L808">
        <v>53</v>
      </c>
      <c r="M808" t="str" cm="1">
        <f t="array" ref="M808">_xlfn.IFS(
L808&lt;=12,"Children",
L808&lt;=19,"Teens",
L808&lt;=29,"Young Adults",
L808&lt;=39,"Adults",
L808&lt;=59,"Middle-Aged",
L808&gt;=60,"Seniors"
)</f>
        <v>Middle-Aged</v>
      </c>
      <c r="N808" t="s">
        <v>20</v>
      </c>
    </row>
    <row r="809" spans="1:14" x14ac:dyDescent="0.3">
      <c r="A809">
        <v>21417</v>
      </c>
      <c r="B809" t="s">
        <v>40</v>
      </c>
      <c r="C809" t="s">
        <v>38</v>
      </c>
      <c r="D809" s="3">
        <v>60000</v>
      </c>
      <c r="E809">
        <v>0</v>
      </c>
      <c r="F809" t="s">
        <v>21</v>
      </c>
      <c r="G809" t="s">
        <v>23</v>
      </c>
      <c r="H809" t="s">
        <v>20</v>
      </c>
      <c r="I809">
        <v>2</v>
      </c>
      <c r="J809" t="s">
        <v>29</v>
      </c>
      <c r="K809" t="s">
        <v>35</v>
      </c>
      <c r="L809">
        <v>32</v>
      </c>
      <c r="M809" t="str" cm="1">
        <f t="array" ref="M809">_xlfn.IFS(
L809&lt;=12,"Children",
L809&lt;=19,"Teens",
L809&lt;=29,"Young Adults",
L809&lt;=39,"Adults",
L809&lt;=59,"Middle-Aged",
L809&gt;=60,"Seniors"
)</f>
        <v>Adults</v>
      </c>
      <c r="N809" t="s">
        <v>17</v>
      </c>
    </row>
    <row r="810" spans="1:14" x14ac:dyDescent="0.3">
      <c r="A810">
        <v>17668</v>
      </c>
      <c r="B810" t="s">
        <v>40</v>
      </c>
      <c r="C810" t="s">
        <v>39</v>
      </c>
      <c r="D810" s="3">
        <v>30000</v>
      </c>
      <c r="E810">
        <v>2</v>
      </c>
      <c r="F810" t="s">
        <v>30</v>
      </c>
      <c r="G810" t="s">
        <v>16</v>
      </c>
      <c r="H810" t="s">
        <v>17</v>
      </c>
      <c r="I810">
        <v>2</v>
      </c>
      <c r="J810" t="s">
        <v>29</v>
      </c>
      <c r="K810" t="s">
        <v>35</v>
      </c>
      <c r="L810">
        <v>50</v>
      </c>
      <c r="M810" t="str" cm="1">
        <f t="array" ref="M810">_xlfn.IFS(
L810&lt;=12,"Children",
L810&lt;=19,"Teens",
L810&lt;=29,"Young Adults",
L810&lt;=39,"Adults",
L810&lt;=59,"Middle-Aged",
L810&gt;=60,"Seniors"
)</f>
        <v>Middle-Aged</v>
      </c>
      <c r="N810" t="s">
        <v>17</v>
      </c>
    </row>
    <row r="811" spans="1:14" x14ac:dyDescent="0.3">
      <c r="A811">
        <v>27994</v>
      </c>
      <c r="B811" t="s">
        <v>37</v>
      </c>
      <c r="C811" t="s">
        <v>38</v>
      </c>
      <c r="D811" s="3">
        <v>40000</v>
      </c>
      <c r="E811">
        <v>4</v>
      </c>
      <c r="F811" t="s">
        <v>30</v>
      </c>
      <c r="G811" t="s">
        <v>23</v>
      </c>
      <c r="H811" t="s">
        <v>17</v>
      </c>
      <c r="I811">
        <v>2</v>
      </c>
      <c r="J811" t="s">
        <v>26</v>
      </c>
      <c r="K811" t="s">
        <v>35</v>
      </c>
      <c r="L811">
        <v>69</v>
      </c>
      <c r="M811" t="str" cm="1">
        <f t="array" ref="M811">_xlfn.IFS(
L811&lt;=12,"Children",
L811&lt;=19,"Teens",
L811&lt;=29,"Young Adults",
L811&lt;=39,"Adults",
L811&lt;=59,"Middle-Aged",
L811&gt;=60,"Seniors"
)</f>
        <v>Seniors</v>
      </c>
      <c r="N811" t="s">
        <v>20</v>
      </c>
    </row>
    <row r="812" spans="1:14" x14ac:dyDescent="0.3">
      <c r="A812">
        <v>20376</v>
      </c>
      <c r="B812" t="s">
        <v>40</v>
      </c>
      <c r="C812" t="s">
        <v>38</v>
      </c>
      <c r="D812" s="3">
        <v>70000</v>
      </c>
      <c r="E812">
        <v>3</v>
      </c>
      <c r="F812" t="s">
        <v>34</v>
      </c>
      <c r="G812" t="s">
        <v>31</v>
      </c>
      <c r="H812" t="s">
        <v>17</v>
      </c>
      <c r="I812">
        <v>2</v>
      </c>
      <c r="J812" t="s">
        <v>26</v>
      </c>
      <c r="K812" t="s">
        <v>35</v>
      </c>
      <c r="L812">
        <v>52</v>
      </c>
      <c r="M812" t="str" cm="1">
        <f t="array" ref="M812">_xlfn.IFS(
L812&lt;=12,"Children",
L812&lt;=19,"Teens",
L812&lt;=29,"Young Adults",
L812&lt;=39,"Adults",
L812&lt;=59,"Middle-Aged",
L812&gt;=60,"Seniors"
)</f>
        <v>Middle-Aged</v>
      </c>
      <c r="N812" t="s">
        <v>17</v>
      </c>
    </row>
    <row r="813" spans="1:14" x14ac:dyDescent="0.3">
      <c r="A813">
        <v>25954</v>
      </c>
      <c r="B813" t="s">
        <v>37</v>
      </c>
      <c r="C813" t="s">
        <v>39</v>
      </c>
      <c r="D813" s="3">
        <v>60000</v>
      </c>
      <c r="E813">
        <v>0</v>
      </c>
      <c r="F813" t="s">
        <v>21</v>
      </c>
      <c r="G813" t="s">
        <v>16</v>
      </c>
      <c r="H813" t="s">
        <v>20</v>
      </c>
      <c r="I813">
        <v>2</v>
      </c>
      <c r="J813" t="s">
        <v>29</v>
      </c>
      <c r="K813" t="s">
        <v>35</v>
      </c>
      <c r="L813">
        <v>31</v>
      </c>
      <c r="M813" t="str" cm="1">
        <f t="array" ref="M813">_xlfn.IFS(
L813&lt;=12,"Children",
L813&lt;=19,"Teens",
L813&lt;=29,"Young Adults",
L813&lt;=39,"Adults",
L813&lt;=59,"Middle-Aged",
L813&gt;=60,"Seniors"
)</f>
        <v>Adults</v>
      </c>
      <c r="N813" t="s">
        <v>20</v>
      </c>
    </row>
    <row r="814" spans="1:14" x14ac:dyDescent="0.3">
      <c r="A814">
        <v>15749</v>
      </c>
      <c r="B814" t="s">
        <v>40</v>
      </c>
      <c r="C814" t="s">
        <v>38</v>
      </c>
      <c r="D814" s="3">
        <v>70000</v>
      </c>
      <c r="E814">
        <v>4</v>
      </c>
      <c r="F814" t="s">
        <v>15</v>
      </c>
      <c r="G814" t="s">
        <v>31</v>
      </c>
      <c r="H814" t="s">
        <v>17</v>
      </c>
      <c r="I814">
        <v>2</v>
      </c>
      <c r="J814" t="s">
        <v>41</v>
      </c>
      <c r="K814" t="s">
        <v>35</v>
      </c>
      <c r="L814">
        <v>61</v>
      </c>
      <c r="M814" t="str" cm="1">
        <f t="array" ref="M814">_xlfn.IFS(
L814&lt;=12,"Children",
L814&lt;=19,"Teens",
L814&lt;=29,"Young Adults",
L814&lt;=39,"Adults",
L814&lt;=59,"Middle-Aged",
L814&gt;=60,"Seniors"
)</f>
        <v>Seniors</v>
      </c>
      <c r="N814" t="s">
        <v>20</v>
      </c>
    </row>
    <row r="815" spans="1:14" x14ac:dyDescent="0.3">
      <c r="A815">
        <v>25899</v>
      </c>
      <c r="B815" t="s">
        <v>37</v>
      </c>
      <c r="C815" t="s">
        <v>38</v>
      </c>
      <c r="D815" s="3">
        <v>70000</v>
      </c>
      <c r="E815">
        <v>2</v>
      </c>
      <c r="F815" t="s">
        <v>30</v>
      </c>
      <c r="G815" t="s">
        <v>23</v>
      </c>
      <c r="H815" t="s">
        <v>17</v>
      </c>
      <c r="I815">
        <v>2</v>
      </c>
      <c r="J815" t="s">
        <v>41</v>
      </c>
      <c r="K815" t="s">
        <v>35</v>
      </c>
      <c r="L815">
        <v>53</v>
      </c>
      <c r="M815" t="str" cm="1">
        <f t="array" ref="M815">_xlfn.IFS(
L815&lt;=12,"Children",
L815&lt;=19,"Teens",
L815&lt;=29,"Young Adults",
L815&lt;=39,"Adults",
L815&lt;=59,"Middle-Aged",
L815&gt;=60,"Seniors"
)</f>
        <v>Middle-Aged</v>
      </c>
      <c r="N815" t="s">
        <v>20</v>
      </c>
    </row>
    <row r="816" spans="1:14" x14ac:dyDescent="0.3">
      <c r="A816">
        <v>13351</v>
      </c>
      <c r="B816" t="s">
        <v>40</v>
      </c>
      <c r="C816" t="s">
        <v>38</v>
      </c>
      <c r="D816" s="3">
        <v>70000</v>
      </c>
      <c r="E816">
        <v>4</v>
      </c>
      <c r="F816" t="s">
        <v>15</v>
      </c>
      <c r="G816" t="s">
        <v>31</v>
      </c>
      <c r="H816" t="s">
        <v>17</v>
      </c>
      <c r="I816">
        <v>2</v>
      </c>
      <c r="J816" t="s">
        <v>29</v>
      </c>
      <c r="K816" t="s">
        <v>35</v>
      </c>
      <c r="L816">
        <v>62</v>
      </c>
      <c r="M816" t="str" cm="1">
        <f t="array" ref="M816">_xlfn.IFS(
L816&lt;=12,"Children",
L816&lt;=19,"Teens",
L816&lt;=29,"Young Adults",
L816&lt;=39,"Adults",
L816&lt;=59,"Middle-Aged",
L816&gt;=60,"Seniors"
)</f>
        <v>Seniors</v>
      </c>
      <c r="N816" t="s">
        <v>17</v>
      </c>
    </row>
    <row r="817" spans="1:14" x14ac:dyDescent="0.3">
      <c r="A817">
        <v>23333</v>
      </c>
      <c r="B817" t="s">
        <v>37</v>
      </c>
      <c r="C817" t="s">
        <v>39</v>
      </c>
      <c r="D817" s="3">
        <v>40000</v>
      </c>
      <c r="E817">
        <v>0</v>
      </c>
      <c r="F817" t="s">
        <v>21</v>
      </c>
      <c r="G817" t="s">
        <v>16</v>
      </c>
      <c r="H817" t="s">
        <v>20</v>
      </c>
      <c r="I817">
        <v>2</v>
      </c>
      <c r="J817" t="s">
        <v>29</v>
      </c>
      <c r="K817" t="s">
        <v>35</v>
      </c>
      <c r="L817">
        <v>30</v>
      </c>
      <c r="M817" t="str" cm="1">
        <f t="array" ref="M817">_xlfn.IFS(
L817&lt;=12,"Children",
L817&lt;=19,"Teens",
L817&lt;=29,"Young Adults",
L817&lt;=39,"Adults",
L817&lt;=59,"Middle-Aged",
L817&gt;=60,"Seniors"
)</f>
        <v>Adults</v>
      </c>
      <c r="N817" t="s">
        <v>20</v>
      </c>
    </row>
    <row r="818" spans="1:14" x14ac:dyDescent="0.3">
      <c r="A818">
        <v>21660</v>
      </c>
      <c r="B818" t="s">
        <v>37</v>
      </c>
      <c r="C818" t="s">
        <v>38</v>
      </c>
      <c r="D818" s="3">
        <v>60000</v>
      </c>
      <c r="E818">
        <v>3</v>
      </c>
      <c r="F818" t="s">
        <v>34</v>
      </c>
      <c r="G818" t="s">
        <v>23</v>
      </c>
      <c r="H818" t="s">
        <v>17</v>
      </c>
      <c r="I818">
        <v>0</v>
      </c>
      <c r="J818" t="s">
        <v>24</v>
      </c>
      <c r="K818" t="s">
        <v>35</v>
      </c>
      <c r="L818">
        <v>43</v>
      </c>
      <c r="M818" t="str" cm="1">
        <f t="array" ref="M818">_xlfn.IFS(
L818&lt;=12,"Children",
L818&lt;=19,"Teens",
L818&lt;=29,"Young Adults",
L818&lt;=39,"Adults",
L818&lt;=59,"Middle-Aged",
L818&gt;=60,"Seniors"
)</f>
        <v>Middle-Aged</v>
      </c>
      <c r="N818" t="s">
        <v>17</v>
      </c>
    </row>
    <row r="819" spans="1:14" x14ac:dyDescent="0.3">
      <c r="A819">
        <v>17012</v>
      </c>
      <c r="B819" t="s">
        <v>37</v>
      </c>
      <c r="C819" t="s">
        <v>38</v>
      </c>
      <c r="D819" s="3">
        <v>60000</v>
      </c>
      <c r="E819">
        <v>3</v>
      </c>
      <c r="F819" t="s">
        <v>34</v>
      </c>
      <c r="G819" t="s">
        <v>23</v>
      </c>
      <c r="H819" t="s">
        <v>17</v>
      </c>
      <c r="I819">
        <v>0</v>
      </c>
      <c r="J819" t="s">
        <v>24</v>
      </c>
      <c r="K819" t="s">
        <v>35</v>
      </c>
      <c r="L819">
        <v>42</v>
      </c>
      <c r="M819" t="str" cm="1">
        <f t="array" ref="M819">_xlfn.IFS(
L819&lt;=12,"Children",
L819&lt;=19,"Teens",
L819&lt;=29,"Young Adults",
L819&lt;=39,"Adults",
L819&lt;=59,"Middle-Aged",
L819&gt;=60,"Seniors"
)</f>
        <v>Middle-Aged</v>
      </c>
      <c r="N819" t="s">
        <v>17</v>
      </c>
    </row>
    <row r="820" spans="1:14" x14ac:dyDescent="0.3">
      <c r="A820">
        <v>24514</v>
      </c>
      <c r="B820" t="s">
        <v>37</v>
      </c>
      <c r="C820" t="s">
        <v>39</v>
      </c>
      <c r="D820" s="3">
        <v>40000</v>
      </c>
      <c r="E820">
        <v>0</v>
      </c>
      <c r="F820" t="s">
        <v>21</v>
      </c>
      <c r="G820" t="s">
        <v>16</v>
      </c>
      <c r="H820" t="s">
        <v>17</v>
      </c>
      <c r="I820">
        <v>1</v>
      </c>
      <c r="J820" t="s">
        <v>26</v>
      </c>
      <c r="K820" t="s">
        <v>35</v>
      </c>
      <c r="L820">
        <v>30</v>
      </c>
      <c r="M820" t="str" cm="1">
        <f t="array" ref="M820">_xlfn.IFS(
L820&lt;=12,"Children",
L820&lt;=19,"Teens",
L820&lt;=29,"Young Adults",
L820&lt;=39,"Adults",
L820&lt;=59,"Middle-Aged",
L820&gt;=60,"Seniors"
)</f>
        <v>Adults</v>
      </c>
      <c r="N820" t="s">
        <v>20</v>
      </c>
    </row>
    <row r="821" spans="1:14" x14ac:dyDescent="0.3">
      <c r="A821">
        <v>27505</v>
      </c>
      <c r="B821" t="s">
        <v>40</v>
      </c>
      <c r="C821" t="s">
        <v>38</v>
      </c>
      <c r="D821" s="3">
        <v>40000</v>
      </c>
      <c r="E821">
        <v>0</v>
      </c>
      <c r="F821" t="s">
        <v>30</v>
      </c>
      <c r="G821" t="s">
        <v>16</v>
      </c>
      <c r="H821" t="s">
        <v>17</v>
      </c>
      <c r="I821">
        <v>2</v>
      </c>
      <c r="J821" t="s">
        <v>26</v>
      </c>
      <c r="K821" t="s">
        <v>35</v>
      </c>
      <c r="L821">
        <v>30</v>
      </c>
      <c r="M821" t="str" cm="1">
        <f t="array" ref="M821">_xlfn.IFS(
L821&lt;=12,"Children",
L821&lt;=19,"Teens",
L821&lt;=29,"Young Adults",
L821&lt;=39,"Adults",
L821&lt;=59,"Middle-Aged",
L821&gt;=60,"Seniors"
)</f>
        <v>Adults</v>
      </c>
      <c r="N821" t="s">
        <v>20</v>
      </c>
    </row>
    <row r="822" spans="1:14" x14ac:dyDescent="0.3">
      <c r="A822">
        <v>29243</v>
      </c>
      <c r="B822" t="s">
        <v>40</v>
      </c>
      <c r="C822" t="s">
        <v>39</v>
      </c>
      <c r="D822" s="3">
        <v>110000</v>
      </c>
      <c r="E822">
        <v>1</v>
      </c>
      <c r="F822" t="s">
        <v>15</v>
      </c>
      <c r="G822" t="s">
        <v>31</v>
      </c>
      <c r="H822" t="s">
        <v>17</v>
      </c>
      <c r="I822">
        <v>1</v>
      </c>
      <c r="J822" t="s">
        <v>26</v>
      </c>
      <c r="K822" t="s">
        <v>35</v>
      </c>
      <c r="L822">
        <v>43</v>
      </c>
      <c r="M822" t="str" cm="1">
        <f t="array" ref="M822">_xlfn.IFS(
L822&lt;=12,"Children",
L822&lt;=19,"Teens",
L822&lt;=29,"Young Adults",
L822&lt;=39,"Adults",
L822&lt;=59,"Middle-Aged",
L822&gt;=60,"Seniors"
)</f>
        <v>Middle-Aged</v>
      </c>
      <c r="N822" t="s">
        <v>20</v>
      </c>
    </row>
    <row r="823" spans="1:14" x14ac:dyDescent="0.3">
      <c r="A823">
        <v>26582</v>
      </c>
      <c r="B823" t="s">
        <v>37</v>
      </c>
      <c r="C823" t="s">
        <v>39</v>
      </c>
      <c r="D823" s="3">
        <v>60000</v>
      </c>
      <c r="E823">
        <v>0</v>
      </c>
      <c r="F823" t="s">
        <v>21</v>
      </c>
      <c r="G823" t="s">
        <v>16</v>
      </c>
      <c r="H823" t="s">
        <v>17</v>
      </c>
      <c r="I823">
        <v>2</v>
      </c>
      <c r="J823" t="s">
        <v>26</v>
      </c>
      <c r="K823" t="s">
        <v>35</v>
      </c>
      <c r="L823">
        <v>33</v>
      </c>
      <c r="M823" t="str" cm="1">
        <f t="array" ref="M823">_xlfn.IFS(
L823&lt;=12,"Children",
L823&lt;=19,"Teens",
L823&lt;=29,"Young Adults",
L823&lt;=39,"Adults",
L823&lt;=59,"Middle-Aged",
L823&gt;=60,"Seniors"
)</f>
        <v>Adults</v>
      </c>
      <c r="N823" t="s">
        <v>17</v>
      </c>
    </row>
    <row r="824" spans="1:14" x14ac:dyDescent="0.3">
      <c r="A824">
        <v>14271</v>
      </c>
      <c r="B824" t="s">
        <v>37</v>
      </c>
      <c r="C824" t="s">
        <v>39</v>
      </c>
      <c r="D824" s="3">
        <v>30000</v>
      </c>
      <c r="E824">
        <v>0</v>
      </c>
      <c r="F824" t="s">
        <v>30</v>
      </c>
      <c r="G824" t="s">
        <v>16</v>
      </c>
      <c r="H824" t="s">
        <v>17</v>
      </c>
      <c r="I824">
        <v>2</v>
      </c>
      <c r="J824" t="s">
        <v>26</v>
      </c>
      <c r="K824" t="s">
        <v>35</v>
      </c>
      <c r="L824">
        <v>32</v>
      </c>
      <c r="M824" t="str" cm="1">
        <f t="array" ref="M824">_xlfn.IFS(
L824&lt;=12,"Children",
L824&lt;=19,"Teens",
L824&lt;=29,"Young Adults",
L824&lt;=39,"Adults",
L824&lt;=59,"Middle-Aged",
L824&gt;=60,"Seniors"
)</f>
        <v>Adults</v>
      </c>
      <c r="N824" t="s">
        <v>20</v>
      </c>
    </row>
    <row r="825" spans="1:14" x14ac:dyDescent="0.3">
      <c r="A825">
        <v>23041</v>
      </c>
      <c r="B825" t="s">
        <v>40</v>
      </c>
      <c r="C825" t="s">
        <v>38</v>
      </c>
      <c r="D825" s="3">
        <v>70000</v>
      </c>
      <c r="E825">
        <v>4</v>
      </c>
      <c r="F825" t="s">
        <v>30</v>
      </c>
      <c r="G825" t="s">
        <v>23</v>
      </c>
      <c r="H825" t="s">
        <v>17</v>
      </c>
      <c r="I825">
        <v>0</v>
      </c>
      <c r="J825" t="s">
        <v>26</v>
      </c>
      <c r="K825" t="s">
        <v>35</v>
      </c>
      <c r="L825">
        <v>50</v>
      </c>
      <c r="M825" t="str" cm="1">
        <f t="array" ref="M825">_xlfn.IFS(
L825&lt;=12,"Children",
L825&lt;=19,"Teens",
L825&lt;=29,"Young Adults",
L825&lt;=39,"Adults",
L825&lt;=59,"Middle-Aged",
L825&gt;=60,"Seniors"
)</f>
        <v>Middle-Aged</v>
      </c>
      <c r="N825" t="s">
        <v>17</v>
      </c>
    </row>
    <row r="826" spans="1:14" x14ac:dyDescent="0.3">
      <c r="A826">
        <v>29048</v>
      </c>
      <c r="B826" t="s">
        <v>40</v>
      </c>
      <c r="C826" t="s">
        <v>39</v>
      </c>
      <c r="D826" s="3">
        <v>110000</v>
      </c>
      <c r="E826">
        <v>2</v>
      </c>
      <c r="F826" t="s">
        <v>15</v>
      </c>
      <c r="G826" t="s">
        <v>31</v>
      </c>
      <c r="H826" t="s">
        <v>20</v>
      </c>
      <c r="I826">
        <v>3</v>
      </c>
      <c r="J826" t="s">
        <v>18</v>
      </c>
      <c r="K826" t="s">
        <v>35</v>
      </c>
      <c r="L826">
        <v>37</v>
      </c>
      <c r="M826" t="str" cm="1">
        <f t="array" ref="M826">_xlfn.IFS(
L826&lt;=12,"Children",
L826&lt;=19,"Teens",
L826&lt;=29,"Young Adults",
L826&lt;=39,"Adults",
L826&lt;=59,"Middle-Aged",
L826&gt;=60,"Seniors"
)</f>
        <v>Adults</v>
      </c>
      <c r="N826" t="s">
        <v>17</v>
      </c>
    </row>
    <row r="827" spans="1:14" x14ac:dyDescent="0.3">
      <c r="A827">
        <v>24433</v>
      </c>
      <c r="B827" t="s">
        <v>37</v>
      </c>
      <c r="C827" t="s">
        <v>39</v>
      </c>
      <c r="D827" s="3">
        <v>70000</v>
      </c>
      <c r="E827">
        <v>3</v>
      </c>
      <c r="F827" t="s">
        <v>30</v>
      </c>
      <c r="G827" t="s">
        <v>23</v>
      </c>
      <c r="H827" t="s">
        <v>20</v>
      </c>
      <c r="I827">
        <v>1</v>
      </c>
      <c r="J827" t="s">
        <v>29</v>
      </c>
      <c r="K827" t="s">
        <v>35</v>
      </c>
      <c r="L827">
        <v>52</v>
      </c>
      <c r="M827" t="str" cm="1">
        <f t="array" ref="M827">_xlfn.IFS(
L827&lt;=12,"Children",
L827&lt;=19,"Teens",
L827&lt;=29,"Young Adults",
L827&lt;=39,"Adults",
L827&lt;=59,"Middle-Aged",
L827&gt;=60,"Seniors"
)</f>
        <v>Middle-Aged</v>
      </c>
      <c r="N827" t="s">
        <v>17</v>
      </c>
    </row>
    <row r="828" spans="1:14" x14ac:dyDescent="0.3">
      <c r="A828">
        <v>15501</v>
      </c>
      <c r="B828" t="s">
        <v>37</v>
      </c>
      <c r="C828" t="s">
        <v>39</v>
      </c>
      <c r="D828" s="3">
        <v>70000</v>
      </c>
      <c r="E828">
        <v>4</v>
      </c>
      <c r="F828" t="s">
        <v>34</v>
      </c>
      <c r="G828" t="s">
        <v>23</v>
      </c>
      <c r="H828" t="s">
        <v>17</v>
      </c>
      <c r="I828">
        <v>0</v>
      </c>
      <c r="J828" t="s">
        <v>24</v>
      </c>
      <c r="K828" t="s">
        <v>35</v>
      </c>
      <c r="L828">
        <v>36</v>
      </c>
      <c r="M828" t="str" cm="1">
        <f t="array" ref="M828">_xlfn.IFS(
L828&lt;=12,"Children",
L828&lt;=19,"Teens",
L828&lt;=29,"Young Adults",
L828&lt;=39,"Adults",
L828&lt;=59,"Middle-Aged",
L828&gt;=60,"Seniors"
)</f>
        <v>Adults</v>
      </c>
      <c r="N828" t="s">
        <v>17</v>
      </c>
    </row>
    <row r="829" spans="1:14" x14ac:dyDescent="0.3">
      <c r="A829">
        <v>13911</v>
      </c>
      <c r="B829" t="s">
        <v>40</v>
      </c>
      <c r="C829" t="s">
        <v>38</v>
      </c>
      <c r="D829" s="3">
        <v>80000</v>
      </c>
      <c r="E829">
        <v>3</v>
      </c>
      <c r="F829" t="s">
        <v>15</v>
      </c>
      <c r="G829" t="s">
        <v>16</v>
      </c>
      <c r="H829" t="s">
        <v>17</v>
      </c>
      <c r="I829">
        <v>2</v>
      </c>
      <c r="J829" t="s">
        <v>24</v>
      </c>
      <c r="K829" t="s">
        <v>35</v>
      </c>
      <c r="L829">
        <v>41</v>
      </c>
      <c r="M829" t="str" cm="1">
        <f t="array" ref="M829">_xlfn.IFS(
L829&lt;=12,"Children",
L829&lt;=19,"Teens",
L829&lt;=29,"Young Adults",
L829&lt;=39,"Adults",
L829&lt;=59,"Middle-Aged",
L829&gt;=60,"Seniors"
)</f>
        <v>Middle-Aged</v>
      </c>
      <c r="N829" t="s">
        <v>17</v>
      </c>
    </row>
    <row r="830" spans="1:14" x14ac:dyDescent="0.3">
      <c r="A830">
        <v>20421</v>
      </c>
      <c r="B830" t="s">
        <v>40</v>
      </c>
      <c r="C830" t="s">
        <v>38</v>
      </c>
      <c r="D830" s="3">
        <v>40000</v>
      </c>
      <c r="E830">
        <v>0</v>
      </c>
      <c r="F830" t="s">
        <v>32</v>
      </c>
      <c r="G830" t="s">
        <v>22</v>
      </c>
      <c r="H830" t="s">
        <v>17</v>
      </c>
      <c r="I830">
        <v>2</v>
      </c>
      <c r="J830" t="s">
        <v>26</v>
      </c>
      <c r="K830" t="s">
        <v>35</v>
      </c>
      <c r="L830">
        <v>26</v>
      </c>
      <c r="M830" t="str" cm="1">
        <f t="array" ref="M830">_xlfn.IFS(
L830&lt;=12,"Children",
L830&lt;=19,"Teens",
L830&lt;=29,"Young Adults",
L830&lt;=39,"Adults",
L830&lt;=59,"Middle-Aged",
L830&gt;=60,"Seniors"
)</f>
        <v>Young Adults</v>
      </c>
      <c r="N830" t="s">
        <v>20</v>
      </c>
    </row>
    <row r="831" spans="1:14" x14ac:dyDescent="0.3">
      <c r="A831">
        <v>16009</v>
      </c>
      <c r="B831" t="s">
        <v>40</v>
      </c>
      <c r="C831" t="s">
        <v>39</v>
      </c>
      <c r="D831" s="3">
        <v>170000</v>
      </c>
      <c r="E831">
        <v>1</v>
      </c>
      <c r="F831" t="s">
        <v>34</v>
      </c>
      <c r="G831" t="s">
        <v>31</v>
      </c>
      <c r="H831" t="s">
        <v>20</v>
      </c>
      <c r="I831">
        <v>4</v>
      </c>
      <c r="J831" t="s">
        <v>18</v>
      </c>
      <c r="K831" t="s">
        <v>35</v>
      </c>
      <c r="L831">
        <v>66</v>
      </c>
      <c r="M831" t="str" cm="1">
        <f t="array" ref="M831">_xlfn.IFS(
L831&lt;=12,"Children",
L831&lt;=19,"Teens",
L831&lt;=29,"Young Adults",
L831&lt;=39,"Adults",
L831&lt;=59,"Middle-Aged",
L831&gt;=60,"Seniors"
)</f>
        <v>Seniors</v>
      </c>
      <c r="N831" t="s">
        <v>20</v>
      </c>
    </row>
    <row r="832" spans="1:14" x14ac:dyDescent="0.3">
      <c r="A832">
        <v>18411</v>
      </c>
      <c r="B832" t="s">
        <v>37</v>
      </c>
      <c r="C832" t="s">
        <v>39</v>
      </c>
      <c r="D832" s="3">
        <v>60000</v>
      </c>
      <c r="E832">
        <v>2</v>
      </c>
      <c r="F832" t="s">
        <v>30</v>
      </c>
      <c r="G832" t="s">
        <v>23</v>
      </c>
      <c r="H832" t="s">
        <v>20</v>
      </c>
      <c r="I832">
        <v>2</v>
      </c>
      <c r="J832" t="s">
        <v>26</v>
      </c>
      <c r="K832" t="s">
        <v>35</v>
      </c>
      <c r="L832">
        <v>51</v>
      </c>
      <c r="M832" t="str" cm="1">
        <f t="array" ref="M832">_xlfn.IFS(
L832&lt;=12,"Children",
L832&lt;=19,"Teens",
L832&lt;=29,"Young Adults",
L832&lt;=39,"Adults",
L832&lt;=59,"Middle-Aged",
L832&gt;=60,"Seniors"
)</f>
        <v>Middle-Aged</v>
      </c>
      <c r="N832" t="s">
        <v>20</v>
      </c>
    </row>
    <row r="833" spans="1:14" x14ac:dyDescent="0.3">
      <c r="A833">
        <v>19163</v>
      </c>
      <c r="B833" t="s">
        <v>37</v>
      </c>
      <c r="C833" t="s">
        <v>38</v>
      </c>
      <c r="D833" s="3">
        <v>70000</v>
      </c>
      <c r="E833">
        <v>4</v>
      </c>
      <c r="F833" t="s">
        <v>15</v>
      </c>
      <c r="G833" t="s">
        <v>23</v>
      </c>
      <c r="H833" t="s">
        <v>17</v>
      </c>
      <c r="I833">
        <v>2</v>
      </c>
      <c r="J833" t="s">
        <v>18</v>
      </c>
      <c r="K833" t="s">
        <v>35</v>
      </c>
      <c r="L833">
        <v>43</v>
      </c>
      <c r="M833" t="str" cm="1">
        <f t="array" ref="M833">_xlfn.IFS(
L833&lt;=12,"Children",
L833&lt;=19,"Teens",
L833&lt;=29,"Young Adults",
L833&lt;=39,"Adults",
L833&lt;=59,"Middle-Aged",
L833&gt;=60,"Seniors"
)</f>
        <v>Middle-Aged</v>
      </c>
      <c r="N833" t="s">
        <v>17</v>
      </c>
    </row>
    <row r="834" spans="1:14" x14ac:dyDescent="0.3">
      <c r="A834">
        <v>18572</v>
      </c>
      <c r="B834" t="s">
        <v>37</v>
      </c>
      <c r="C834" t="s">
        <v>38</v>
      </c>
      <c r="D834" s="3">
        <v>60000</v>
      </c>
      <c r="E834">
        <v>0</v>
      </c>
      <c r="F834" t="s">
        <v>34</v>
      </c>
      <c r="G834" t="s">
        <v>23</v>
      </c>
      <c r="H834" t="s">
        <v>17</v>
      </c>
      <c r="I834">
        <v>0</v>
      </c>
      <c r="J834" t="s">
        <v>18</v>
      </c>
      <c r="K834" t="s">
        <v>35</v>
      </c>
      <c r="L834">
        <v>39</v>
      </c>
      <c r="M834" t="str" cm="1">
        <f t="array" ref="M834">_xlfn.IFS(
L834&lt;=12,"Children",
L834&lt;=19,"Teens",
L834&lt;=29,"Young Adults",
L834&lt;=39,"Adults",
L834&lt;=59,"Middle-Aged",
L834&gt;=60,"Seniors"
)</f>
        <v>Adults</v>
      </c>
      <c r="N834" t="s">
        <v>20</v>
      </c>
    </row>
    <row r="835" spans="1:14" x14ac:dyDescent="0.3">
      <c r="A835">
        <v>27540</v>
      </c>
      <c r="B835" t="s">
        <v>40</v>
      </c>
      <c r="C835" t="s">
        <v>38</v>
      </c>
      <c r="D835" s="3">
        <v>70000</v>
      </c>
      <c r="E835">
        <v>0</v>
      </c>
      <c r="F835" t="s">
        <v>15</v>
      </c>
      <c r="G835" t="s">
        <v>23</v>
      </c>
      <c r="H835" t="s">
        <v>20</v>
      </c>
      <c r="I835">
        <v>1</v>
      </c>
      <c r="J835" t="s">
        <v>18</v>
      </c>
      <c r="K835" t="s">
        <v>35</v>
      </c>
      <c r="L835">
        <v>37</v>
      </c>
      <c r="M835" t="str" cm="1">
        <f t="array" ref="M835">_xlfn.IFS(
L835&lt;=12,"Children",
L835&lt;=19,"Teens",
L835&lt;=29,"Young Adults",
L835&lt;=39,"Adults",
L835&lt;=59,"Middle-Aged",
L835&gt;=60,"Seniors"
)</f>
        <v>Adults</v>
      </c>
      <c r="N835" t="s">
        <v>17</v>
      </c>
    </row>
    <row r="836" spans="1:14" x14ac:dyDescent="0.3">
      <c r="A836">
        <v>19889</v>
      </c>
      <c r="B836" t="s">
        <v>40</v>
      </c>
      <c r="C836" t="s">
        <v>38</v>
      </c>
      <c r="D836" s="3">
        <v>70000</v>
      </c>
      <c r="E836">
        <v>2</v>
      </c>
      <c r="F836" t="s">
        <v>32</v>
      </c>
      <c r="G836" t="s">
        <v>16</v>
      </c>
      <c r="H836" t="s">
        <v>20</v>
      </c>
      <c r="I836">
        <v>2</v>
      </c>
      <c r="J836" t="s">
        <v>24</v>
      </c>
      <c r="K836" t="s">
        <v>35</v>
      </c>
      <c r="L836">
        <v>54</v>
      </c>
      <c r="M836" t="str" cm="1">
        <f t="array" ref="M836">_xlfn.IFS(
L836&lt;=12,"Children",
L836&lt;=19,"Teens",
L836&lt;=29,"Young Adults",
L836&lt;=39,"Adults",
L836&lt;=59,"Middle-Aged",
L836&gt;=60,"Seniors"
)</f>
        <v>Middle-Aged</v>
      </c>
      <c r="N836" t="s">
        <v>17</v>
      </c>
    </row>
    <row r="837" spans="1:14" x14ac:dyDescent="0.3">
      <c r="A837">
        <v>12922</v>
      </c>
      <c r="B837" t="s">
        <v>40</v>
      </c>
      <c r="C837" t="s">
        <v>38</v>
      </c>
      <c r="D837" s="3">
        <v>60000</v>
      </c>
      <c r="E837">
        <v>3</v>
      </c>
      <c r="F837" t="s">
        <v>15</v>
      </c>
      <c r="G837" t="s">
        <v>16</v>
      </c>
      <c r="H837" t="s">
        <v>17</v>
      </c>
      <c r="I837">
        <v>0</v>
      </c>
      <c r="J837" t="s">
        <v>24</v>
      </c>
      <c r="K837" t="s">
        <v>35</v>
      </c>
      <c r="L837">
        <v>40</v>
      </c>
      <c r="M837" t="str" cm="1">
        <f t="array" ref="M837">_xlfn.IFS(
L837&lt;=12,"Children",
L837&lt;=19,"Teens",
L837&lt;=29,"Young Adults",
L837&lt;=39,"Adults",
L837&lt;=59,"Middle-Aged",
L837&gt;=60,"Seniors"
)</f>
        <v>Middle-Aged</v>
      </c>
      <c r="N837" t="s">
        <v>17</v>
      </c>
    </row>
    <row r="838" spans="1:14" x14ac:dyDescent="0.3">
      <c r="A838">
        <v>18891</v>
      </c>
      <c r="B838" t="s">
        <v>37</v>
      </c>
      <c r="C838" t="s">
        <v>38</v>
      </c>
      <c r="D838" s="3">
        <v>40000</v>
      </c>
      <c r="E838">
        <v>0</v>
      </c>
      <c r="F838" t="s">
        <v>21</v>
      </c>
      <c r="G838" t="s">
        <v>16</v>
      </c>
      <c r="H838" t="s">
        <v>17</v>
      </c>
      <c r="I838">
        <v>2</v>
      </c>
      <c r="J838" t="s">
        <v>26</v>
      </c>
      <c r="K838" t="s">
        <v>35</v>
      </c>
      <c r="L838">
        <v>28</v>
      </c>
      <c r="M838" t="str" cm="1">
        <f t="array" ref="M838">_xlfn.IFS(
L838&lt;=12,"Children",
L838&lt;=19,"Teens",
L838&lt;=29,"Young Adults",
L838&lt;=39,"Adults",
L838&lt;=59,"Middle-Aged",
L838&gt;=60,"Seniors"
)</f>
        <v>Young Adults</v>
      </c>
      <c r="N838" t="s">
        <v>20</v>
      </c>
    </row>
    <row r="839" spans="1:14" x14ac:dyDescent="0.3">
      <c r="A839">
        <v>16773</v>
      </c>
      <c r="B839" t="s">
        <v>37</v>
      </c>
      <c r="C839" t="s">
        <v>39</v>
      </c>
      <c r="D839" s="3">
        <v>60000</v>
      </c>
      <c r="E839">
        <v>1</v>
      </c>
      <c r="F839" t="s">
        <v>34</v>
      </c>
      <c r="G839" t="s">
        <v>16</v>
      </c>
      <c r="H839" t="s">
        <v>17</v>
      </c>
      <c r="I839">
        <v>0</v>
      </c>
      <c r="J839" t="s">
        <v>18</v>
      </c>
      <c r="K839" t="s">
        <v>35</v>
      </c>
      <c r="L839">
        <v>33</v>
      </c>
      <c r="M839" t="str" cm="1">
        <f t="array" ref="M839">_xlfn.IFS(
L839&lt;=12,"Children",
L839&lt;=19,"Teens",
L839&lt;=29,"Young Adults",
L839&lt;=39,"Adults",
L839&lt;=59,"Middle-Aged",
L839&gt;=60,"Seniors"
)</f>
        <v>Adults</v>
      </c>
      <c r="N839" t="s">
        <v>20</v>
      </c>
    </row>
    <row r="840" spans="1:14" x14ac:dyDescent="0.3">
      <c r="A840">
        <v>19143</v>
      </c>
      <c r="B840" t="s">
        <v>40</v>
      </c>
      <c r="C840" t="s">
        <v>38</v>
      </c>
      <c r="D840" s="3">
        <v>80000</v>
      </c>
      <c r="E840">
        <v>3</v>
      </c>
      <c r="F840" t="s">
        <v>15</v>
      </c>
      <c r="G840" t="s">
        <v>16</v>
      </c>
      <c r="H840" t="s">
        <v>17</v>
      </c>
      <c r="I840">
        <v>2</v>
      </c>
      <c r="J840" t="s">
        <v>24</v>
      </c>
      <c r="K840" t="s">
        <v>35</v>
      </c>
      <c r="L840">
        <v>41</v>
      </c>
      <c r="M840" t="str" cm="1">
        <f t="array" ref="M840">_xlfn.IFS(
L840&lt;=12,"Children",
L840&lt;=19,"Teens",
L840&lt;=29,"Young Adults",
L840&lt;=39,"Adults",
L840&lt;=59,"Middle-Aged",
L840&gt;=60,"Seniors"
)</f>
        <v>Middle-Aged</v>
      </c>
      <c r="N840" t="s">
        <v>17</v>
      </c>
    </row>
    <row r="841" spans="1:14" x14ac:dyDescent="0.3">
      <c r="A841">
        <v>23882</v>
      </c>
      <c r="B841" t="s">
        <v>40</v>
      </c>
      <c r="C841" t="s">
        <v>38</v>
      </c>
      <c r="D841" s="3">
        <v>80000</v>
      </c>
      <c r="E841">
        <v>3</v>
      </c>
      <c r="F841" t="s">
        <v>34</v>
      </c>
      <c r="G841" t="s">
        <v>23</v>
      </c>
      <c r="H841" t="s">
        <v>17</v>
      </c>
      <c r="I841">
        <v>0</v>
      </c>
      <c r="J841" t="s">
        <v>18</v>
      </c>
      <c r="K841" t="s">
        <v>35</v>
      </c>
      <c r="L841">
        <v>37</v>
      </c>
      <c r="M841" t="str" cm="1">
        <f t="array" ref="M841">_xlfn.IFS(
L841&lt;=12,"Children",
L841&lt;=19,"Teens",
L841&lt;=29,"Young Adults",
L841&lt;=39,"Adults",
L841&lt;=59,"Middle-Aged",
L841&gt;=60,"Seniors"
)</f>
        <v>Adults</v>
      </c>
      <c r="N841" t="s">
        <v>17</v>
      </c>
    </row>
    <row r="842" spans="1:14" x14ac:dyDescent="0.3">
      <c r="A842">
        <v>11233</v>
      </c>
      <c r="B842" t="s">
        <v>37</v>
      </c>
      <c r="C842" t="s">
        <v>39</v>
      </c>
      <c r="D842" s="3">
        <v>70000</v>
      </c>
      <c r="E842">
        <v>4</v>
      </c>
      <c r="F842" t="s">
        <v>21</v>
      </c>
      <c r="G842" t="s">
        <v>23</v>
      </c>
      <c r="H842" t="s">
        <v>17</v>
      </c>
      <c r="I842">
        <v>2</v>
      </c>
      <c r="J842" t="s">
        <v>41</v>
      </c>
      <c r="K842" t="s">
        <v>35</v>
      </c>
      <c r="L842">
        <v>53</v>
      </c>
      <c r="M842" t="str" cm="1">
        <f t="array" ref="M842">_xlfn.IFS(
L842&lt;=12,"Children",
L842&lt;=19,"Teens",
L842&lt;=29,"Young Adults",
L842&lt;=39,"Adults",
L842&lt;=59,"Middle-Aged",
L842&gt;=60,"Seniors"
)</f>
        <v>Middle-Aged</v>
      </c>
      <c r="N842" t="s">
        <v>20</v>
      </c>
    </row>
    <row r="843" spans="1:14" x14ac:dyDescent="0.3">
      <c r="A843">
        <v>12056</v>
      </c>
      <c r="B843" t="s">
        <v>37</v>
      </c>
      <c r="C843" t="s">
        <v>39</v>
      </c>
      <c r="D843" s="3">
        <v>120000</v>
      </c>
      <c r="E843">
        <v>2</v>
      </c>
      <c r="F843" t="s">
        <v>34</v>
      </c>
      <c r="G843" t="s">
        <v>31</v>
      </c>
      <c r="H843" t="s">
        <v>17</v>
      </c>
      <c r="I843">
        <v>3</v>
      </c>
      <c r="J843" t="s">
        <v>26</v>
      </c>
      <c r="K843" t="s">
        <v>35</v>
      </c>
      <c r="L843">
        <v>64</v>
      </c>
      <c r="M843" t="str" cm="1">
        <f t="array" ref="M843">_xlfn.IFS(
L843&lt;=12,"Children",
L843&lt;=19,"Teens",
L843&lt;=29,"Young Adults",
L843&lt;=39,"Adults",
L843&lt;=59,"Middle-Aged",
L843&gt;=60,"Seniors"
)</f>
        <v>Seniors</v>
      </c>
      <c r="N843" t="s">
        <v>20</v>
      </c>
    </row>
    <row r="844" spans="1:14" x14ac:dyDescent="0.3">
      <c r="A844">
        <v>15555</v>
      </c>
      <c r="B844" t="s">
        <v>37</v>
      </c>
      <c r="C844" t="s">
        <v>38</v>
      </c>
      <c r="D844" s="3">
        <v>60000</v>
      </c>
      <c r="E844">
        <v>1</v>
      </c>
      <c r="F844" t="s">
        <v>21</v>
      </c>
      <c r="G844" t="s">
        <v>16</v>
      </c>
      <c r="H844" t="s">
        <v>17</v>
      </c>
      <c r="I844">
        <v>1</v>
      </c>
      <c r="J844" t="s">
        <v>24</v>
      </c>
      <c r="K844" t="s">
        <v>35</v>
      </c>
      <c r="L844">
        <v>45</v>
      </c>
      <c r="M844" t="str" cm="1">
        <f t="array" ref="M844">_xlfn.IFS(
L844&lt;=12,"Children",
L844&lt;=19,"Teens",
L844&lt;=29,"Young Adults",
L844&lt;=39,"Adults",
L844&lt;=59,"Middle-Aged",
L844&gt;=60,"Seniors"
)</f>
        <v>Middle-Aged</v>
      </c>
      <c r="N844" t="s">
        <v>17</v>
      </c>
    </row>
    <row r="845" spans="1:14" x14ac:dyDescent="0.3">
      <c r="A845">
        <v>18423</v>
      </c>
      <c r="B845" t="s">
        <v>40</v>
      </c>
      <c r="C845" t="s">
        <v>39</v>
      </c>
      <c r="D845" s="3">
        <v>80000</v>
      </c>
      <c r="E845">
        <v>2</v>
      </c>
      <c r="F845" t="s">
        <v>32</v>
      </c>
      <c r="G845" t="s">
        <v>16</v>
      </c>
      <c r="H845" t="s">
        <v>20</v>
      </c>
      <c r="I845">
        <v>2</v>
      </c>
      <c r="J845" t="s">
        <v>29</v>
      </c>
      <c r="K845" t="s">
        <v>35</v>
      </c>
      <c r="L845">
        <v>52</v>
      </c>
      <c r="M845" t="str" cm="1">
        <f t="array" ref="M845">_xlfn.IFS(
L845&lt;=12,"Children",
L845&lt;=19,"Teens",
L845&lt;=29,"Young Adults",
L845&lt;=39,"Adults",
L845&lt;=59,"Middle-Aged",
L845&gt;=60,"Seniors"
)</f>
        <v>Middle-Aged</v>
      </c>
      <c r="N845" t="s">
        <v>20</v>
      </c>
    </row>
    <row r="846" spans="1:14" x14ac:dyDescent="0.3">
      <c r="A846">
        <v>22743</v>
      </c>
      <c r="B846" t="s">
        <v>37</v>
      </c>
      <c r="C846" t="s">
        <v>38</v>
      </c>
      <c r="D846" s="3">
        <v>40000</v>
      </c>
      <c r="E846">
        <v>5</v>
      </c>
      <c r="F846" t="s">
        <v>30</v>
      </c>
      <c r="G846" t="s">
        <v>23</v>
      </c>
      <c r="H846" t="s">
        <v>17</v>
      </c>
      <c r="I846">
        <v>2</v>
      </c>
      <c r="J846" t="s">
        <v>41</v>
      </c>
      <c r="K846" t="s">
        <v>35</v>
      </c>
      <c r="L846">
        <v>60</v>
      </c>
      <c r="M846" t="str" cm="1">
        <f t="array" ref="M846">_xlfn.IFS(
L846&lt;=12,"Children",
L846&lt;=19,"Teens",
L846&lt;=29,"Young Adults",
L846&lt;=39,"Adults",
L846&lt;=59,"Middle-Aged",
L846&gt;=60,"Seniors"
)</f>
        <v>Seniors</v>
      </c>
      <c r="N846" t="s">
        <v>20</v>
      </c>
    </row>
    <row r="847" spans="1:14" x14ac:dyDescent="0.3">
      <c r="A847">
        <v>25343</v>
      </c>
      <c r="B847" t="s">
        <v>40</v>
      </c>
      <c r="C847" t="s">
        <v>38</v>
      </c>
      <c r="D847" s="3">
        <v>20000</v>
      </c>
      <c r="E847">
        <v>3</v>
      </c>
      <c r="F847" t="s">
        <v>32</v>
      </c>
      <c r="G847" t="s">
        <v>22</v>
      </c>
      <c r="H847" t="s">
        <v>17</v>
      </c>
      <c r="I847">
        <v>2</v>
      </c>
      <c r="J847" t="s">
        <v>29</v>
      </c>
      <c r="K847" t="s">
        <v>35</v>
      </c>
      <c r="L847">
        <v>50</v>
      </c>
      <c r="M847" t="str" cm="1">
        <f t="array" ref="M847">_xlfn.IFS(
L847&lt;=12,"Children",
L847&lt;=19,"Teens",
L847&lt;=29,"Young Adults",
L847&lt;=39,"Adults",
L847&lt;=59,"Middle-Aged",
L847&gt;=60,"Seniors"
)</f>
        <v>Middle-Aged</v>
      </c>
      <c r="N847" t="s">
        <v>20</v>
      </c>
    </row>
    <row r="848" spans="1:14" x14ac:dyDescent="0.3">
      <c r="A848">
        <v>13390</v>
      </c>
      <c r="B848" t="s">
        <v>37</v>
      </c>
      <c r="C848" t="s">
        <v>38</v>
      </c>
      <c r="D848" s="3">
        <v>70000</v>
      </c>
      <c r="E848">
        <v>4</v>
      </c>
      <c r="F848" t="s">
        <v>21</v>
      </c>
      <c r="G848" t="s">
        <v>23</v>
      </c>
      <c r="H848" t="s">
        <v>20</v>
      </c>
      <c r="I848">
        <v>1</v>
      </c>
      <c r="J848" t="s">
        <v>29</v>
      </c>
      <c r="K848" t="s">
        <v>35</v>
      </c>
      <c r="L848">
        <v>56</v>
      </c>
      <c r="M848" t="str" cm="1">
        <f t="array" ref="M848">_xlfn.IFS(
L848&lt;=12,"Children",
L848&lt;=19,"Teens",
L848&lt;=29,"Young Adults",
L848&lt;=39,"Adults",
L848&lt;=59,"Middle-Aged",
L848&gt;=60,"Seniors"
)</f>
        <v>Middle-Aged</v>
      </c>
      <c r="N848" t="s">
        <v>20</v>
      </c>
    </row>
    <row r="849" spans="1:14" x14ac:dyDescent="0.3">
      <c r="A849">
        <v>17482</v>
      </c>
      <c r="B849" t="s">
        <v>40</v>
      </c>
      <c r="C849" t="s">
        <v>38</v>
      </c>
      <c r="D849" s="3">
        <v>40000</v>
      </c>
      <c r="E849">
        <v>0</v>
      </c>
      <c r="F849" t="s">
        <v>32</v>
      </c>
      <c r="G849" t="s">
        <v>22</v>
      </c>
      <c r="H849" t="s">
        <v>17</v>
      </c>
      <c r="I849">
        <v>2</v>
      </c>
      <c r="J849" t="s">
        <v>26</v>
      </c>
      <c r="K849" t="s">
        <v>35</v>
      </c>
      <c r="L849">
        <v>29</v>
      </c>
      <c r="M849" t="str" cm="1">
        <f t="array" ref="M849">_xlfn.IFS(
L849&lt;=12,"Children",
L849&lt;=19,"Teens",
L849&lt;=29,"Young Adults",
L849&lt;=39,"Adults",
L849&lt;=59,"Middle-Aged",
L849&gt;=60,"Seniors"
)</f>
        <v>Young Adults</v>
      </c>
      <c r="N849" t="s">
        <v>20</v>
      </c>
    </row>
    <row r="850" spans="1:14" x14ac:dyDescent="0.3">
      <c r="A850">
        <v>13176</v>
      </c>
      <c r="B850" t="s">
        <v>40</v>
      </c>
      <c r="C850" t="s">
        <v>39</v>
      </c>
      <c r="D850" s="3">
        <v>130000</v>
      </c>
      <c r="E850">
        <v>0</v>
      </c>
      <c r="F850" t="s">
        <v>34</v>
      </c>
      <c r="G850" t="s">
        <v>31</v>
      </c>
      <c r="H850" t="s">
        <v>20</v>
      </c>
      <c r="I850">
        <v>2</v>
      </c>
      <c r="J850" t="s">
        <v>18</v>
      </c>
      <c r="K850" t="s">
        <v>35</v>
      </c>
      <c r="L850">
        <v>38</v>
      </c>
      <c r="M850" t="str" cm="1">
        <f t="array" ref="M850">_xlfn.IFS(
L850&lt;=12,"Children",
L850&lt;=19,"Teens",
L850&lt;=29,"Young Adults",
L850&lt;=39,"Adults",
L850&lt;=59,"Middle-Aged",
L850&gt;=60,"Seniors"
)</f>
        <v>Adults</v>
      </c>
      <c r="N850" t="s">
        <v>17</v>
      </c>
    </row>
    <row r="851" spans="1:14" x14ac:dyDescent="0.3">
      <c r="A851">
        <v>20504</v>
      </c>
      <c r="B851" t="s">
        <v>37</v>
      </c>
      <c r="C851" t="s">
        <v>38</v>
      </c>
      <c r="D851" s="3">
        <v>40000</v>
      </c>
      <c r="E851">
        <v>5</v>
      </c>
      <c r="F851" t="s">
        <v>30</v>
      </c>
      <c r="G851" t="s">
        <v>23</v>
      </c>
      <c r="H851" t="s">
        <v>20</v>
      </c>
      <c r="I851">
        <v>2</v>
      </c>
      <c r="J851" t="s">
        <v>24</v>
      </c>
      <c r="K851" t="s">
        <v>35</v>
      </c>
      <c r="L851">
        <v>60</v>
      </c>
      <c r="M851" t="str" cm="1">
        <f t="array" ref="M851">_xlfn.IFS(
L851&lt;=12,"Children",
L851&lt;=19,"Teens",
L851&lt;=29,"Young Adults",
L851&lt;=39,"Adults",
L851&lt;=59,"Middle-Aged",
L851&gt;=60,"Seniors"
)</f>
        <v>Seniors</v>
      </c>
      <c r="N851" t="s">
        <v>20</v>
      </c>
    </row>
    <row r="852" spans="1:14" x14ac:dyDescent="0.3">
      <c r="A852">
        <v>12205</v>
      </c>
      <c r="B852" t="s">
        <v>40</v>
      </c>
      <c r="C852" t="s">
        <v>38</v>
      </c>
      <c r="D852" s="3">
        <v>130000</v>
      </c>
      <c r="E852">
        <v>2</v>
      </c>
      <c r="F852" t="s">
        <v>15</v>
      </c>
      <c r="G852" t="s">
        <v>31</v>
      </c>
      <c r="H852" t="s">
        <v>20</v>
      </c>
      <c r="I852">
        <v>4</v>
      </c>
      <c r="J852" t="s">
        <v>18</v>
      </c>
      <c r="K852" t="s">
        <v>35</v>
      </c>
      <c r="L852">
        <v>67</v>
      </c>
      <c r="M852" t="str" cm="1">
        <f t="array" ref="M852">_xlfn.IFS(
L852&lt;=12,"Children",
L852&lt;=19,"Teens",
L852&lt;=29,"Young Adults",
L852&lt;=39,"Adults",
L852&lt;=59,"Middle-Aged",
L852&gt;=60,"Seniors"
)</f>
        <v>Seniors</v>
      </c>
      <c r="N852" t="s">
        <v>20</v>
      </c>
    </row>
    <row r="853" spans="1:14" x14ac:dyDescent="0.3">
      <c r="A853">
        <v>16751</v>
      </c>
      <c r="B853" t="s">
        <v>37</v>
      </c>
      <c r="C853" t="s">
        <v>39</v>
      </c>
      <c r="D853" s="3">
        <v>60000</v>
      </c>
      <c r="E853">
        <v>0</v>
      </c>
      <c r="F853" t="s">
        <v>21</v>
      </c>
      <c r="G853" t="s">
        <v>16</v>
      </c>
      <c r="H853" t="s">
        <v>17</v>
      </c>
      <c r="I853">
        <v>1</v>
      </c>
      <c r="J853" t="s">
        <v>26</v>
      </c>
      <c r="K853" t="s">
        <v>35</v>
      </c>
      <c r="L853">
        <v>32</v>
      </c>
      <c r="M853" t="str" cm="1">
        <f t="array" ref="M853">_xlfn.IFS(
L853&lt;=12,"Children",
L853&lt;=19,"Teens",
L853&lt;=29,"Young Adults",
L853&lt;=39,"Adults",
L853&lt;=59,"Middle-Aged",
L853&gt;=60,"Seniors"
)</f>
        <v>Adults</v>
      </c>
      <c r="N853" t="s">
        <v>17</v>
      </c>
    </row>
    <row r="854" spans="1:14" x14ac:dyDescent="0.3">
      <c r="A854">
        <v>21613</v>
      </c>
      <c r="B854" t="s">
        <v>40</v>
      </c>
      <c r="C854" t="s">
        <v>39</v>
      </c>
      <c r="D854" s="3">
        <v>50000</v>
      </c>
      <c r="E854">
        <v>2</v>
      </c>
      <c r="F854" t="s">
        <v>15</v>
      </c>
      <c r="G854" t="s">
        <v>16</v>
      </c>
      <c r="H854" t="s">
        <v>20</v>
      </c>
      <c r="I854">
        <v>1</v>
      </c>
      <c r="J854" t="s">
        <v>18</v>
      </c>
      <c r="K854" t="s">
        <v>35</v>
      </c>
      <c r="L854">
        <v>39</v>
      </c>
      <c r="M854" t="str" cm="1">
        <f t="array" ref="M854">_xlfn.IFS(
L854&lt;=12,"Children",
L854&lt;=19,"Teens",
L854&lt;=29,"Young Adults",
L854&lt;=39,"Adults",
L854&lt;=59,"Middle-Aged",
L854&gt;=60,"Seniors"
)</f>
        <v>Adults</v>
      </c>
      <c r="N854" t="s">
        <v>17</v>
      </c>
    </row>
    <row r="855" spans="1:14" x14ac:dyDescent="0.3">
      <c r="A855">
        <v>24801</v>
      </c>
      <c r="B855" t="s">
        <v>40</v>
      </c>
      <c r="C855" t="s">
        <v>39</v>
      </c>
      <c r="D855" s="3">
        <v>60000</v>
      </c>
      <c r="E855">
        <v>1</v>
      </c>
      <c r="F855" t="s">
        <v>34</v>
      </c>
      <c r="G855" t="s">
        <v>23</v>
      </c>
      <c r="H855" t="s">
        <v>17</v>
      </c>
      <c r="I855">
        <v>0</v>
      </c>
      <c r="J855" t="s">
        <v>24</v>
      </c>
      <c r="K855" t="s">
        <v>35</v>
      </c>
      <c r="L855">
        <v>35</v>
      </c>
      <c r="M855" t="str" cm="1">
        <f t="array" ref="M855">_xlfn.IFS(
L855&lt;=12,"Children",
L855&lt;=19,"Teens",
L855&lt;=29,"Young Adults",
L855&lt;=39,"Adults",
L855&lt;=59,"Middle-Aged",
L855&gt;=60,"Seniors"
)</f>
        <v>Adults</v>
      </c>
      <c r="N855" t="s">
        <v>17</v>
      </c>
    </row>
    <row r="856" spans="1:14" x14ac:dyDescent="0.3">
      <c r="A856">
        <v>17519</v>
      </c>
      <c r="B856" t="s">
        <v>37</v>
      </c>
      <c r="C856" t="s">
        <v>38</v>
      </c>
      <c r="D856" s="3">
        <v>60000</v>
      </c>
      <c r="E856">
        <v>0</v>
      </c>
      <c r="F856" t="s">
        <v>21</v>
      </c>
      <c r="G856" t="s">
        <v>23</v>
      </c>
      <c r="H856" t="s">
        <v>17</v>
      </c>
      <c r="I856">
        <v>2</v>
      </c>
      <c r="J856" t="s">
        <v>26</v>
      </c>
      <c r="K856" t="s">
        <v>35</v>
      </c>
      <c r="L856">
        <v>32</v>
      </c>
      <c r="M856" t="str" cm="1">
        <f t="array" ref="M856">_xlfn.IFS(
L856&lt;=12,"Children",
L856&lt;=19,"Teens",
L856&lt;=29,"Young Adults",
L856&lt;=39,"Adults",
L856&lt;=59,"Middle-Aged",
L856&gt;=60,"Seniors"
)</f>
        <v>Adults</v>
      </c>
      <c r="N856" t="s">
        <v>20</v>
      </c>
    </row>
    <row r="857" spans="1:14" x14ac:dyDescent="0.3">
      <c r="A857">
        <v>18347</v>
      </c>
      <c r="B857" t="s">
        <v>40</v>
      </c>
      <c r="C857" t="s">
        <v>38</v>
      </c>
      <c r="D857" s="3">
        <v>30000</v>
      </c>
      <c r="E857">
        <v>0</v>
      </c>
      <c r="F857" t="s">
        <v>21</v>
      </c>
      <c r="G857" t="s">
        <v>16</v>
      </c>
      <c r="H857" t="s">
        <v>20</v>
      </c>
      <c r="I857">
        <v>1</v>
      </c>
      <c r="J857" t="s">
        <v>29</v>
      </c>
      <c r="K857" t="s">
        <v>35</v>
      </c>
      <c r="L857">
        <v>31</v>
      </c>
      <c r="M857" t="str" cm="1">
        <f t="array" ref="M857">_xlfn.IFS(
L857&lt;=12,"Children",
L857&lt;=19,"Teens",
L857&lt;=29,"Young Adults",
L857&lt;=39,"Adults",
L857&lt;=59,"Middle-Aged",
L857&gt;=60,"Seniors"
)</f>
        <v>Adults</v>
      </c>
      <c r="N857" t="s">
        <v>20</v>
      </c>
    </row>
    <row r="858" spans="1:14" x14ac:dyDescent="0.3">
      <c r="A858">
        <v>29052</v>
      </c>
      <c r="B858" t="s">
        <v>40</v>
      </c>
      <c r="C858" t="s">
        <v>39</v>
      </c>
      <c r="D858" s="3">
        <v>40000</v>
      </c>
      <c r="E858">
        <v>0</v>
      </c>
      <c r="F858" t="s">
        <v>21</v>
      </c>
      <c r="G858" t="s">
        <v>16</v>
      </c>
      <c r="H858" t="s">
        <v>17</v>
      </c>
      <c r="I858">
        <v>1</v>
      </c>
      <c r="J858" t="s">
        <v>26</v>
      </c>
      <c r="K858" t="s">
        <v>35</v>
      </c>
      <c r="L858">
        <v>27</v>
      </c>
      <c r="M858" t="str" cm="1">
        <f t="array" ref="M858">_xlfn.IFS(
L858&lt;=12,"Children",
L858&lt;=19,"Teens",
L858&lt;=29,"Young Adults",
L858&lt;=39,"Adults",
L858&lt;=59,"Middle-Aged",
L858&gt;=60,"Seniors"
)</f>
        <v>Young Adults</v>
      </c>
      <c r="N858" t="s">
        <v>20</v>
      </c>
    </row>
    <row r="859" spans="1:14" x14ac:dyDescent="0.3">
      <c r="A859">
        <v>11745</v>
      </c>
      <c r="B859" t="s">
        <v>37</v>
      </c>
      <c r="C859" t="s">
        <v>38</v>
      </c>
      <c r="D859" s="3">
        <v>60000</v>
      </c>
      <c r="E859">
        <v>1</v>
      </c>
      <c r="F859" t="s">
        <v>15</v>
      </c>
      <c r="G859" t="s">
        <v>23</v>
      </c>
      <c r="H859" t="s">
        <v>17</v>
      </c>
      <c r="I859">
        <v>1</v>
      </c>
      <c r="J859" t="s">
        <v>18</v>
      </c>
      <c r="K859" t="s">
        <v>35</v>
      </c>
      <c r="L859">
        <v>47</v>
      </c>
      <c r="M859" t="str" cm="1">
        <f t="array" ref="M859">_xlfn.IFS(
L859&lt;=12,"Children",
L859&lt;=19,"Teens",
L859&lt;=29,"Young Adults",
L859&lt;=39,"Adults",
L859&lt;=59,"Middle-Aged",
L859&gt;=60,"Seniors"
)</f>
        <v>Middle-Aged</v>
      </c>
      <c r="N859" t="s">
        <v>17</v>
      </c>
    </row>
    <row r="860" spans="1:14" x14ac:dyDescent="0.3">
      <c r="A860">
        <v>19147</v>
      </c>
      <c r="B860" t="s">
        <v>37</v>
      </c>
      <c r="C860" t="s">
        <v>39</v>
      </c>
      <c r="D860" s="3">
        <v>40000</v>
      </c>
      <c r="E860">
        <v>0</v>
      </c>
      <c r="F860" t="s">
        <v>15</v>
      </c>
      <c r="G860" t="s">
        <v>23</v>
      </c>
      <c r="H860" t="s">
        <v>20</v>
      </c>
      <c r="I860">
        <v>1</v>
      </c>
      <c r="J860" t="s">
        <v>18</v>
      </c>
      <c r="K860" t="s">
        <v>35</v>
      </c>
      <c r="L860">
        <v>42</v>
      </c>
      <c r="M860" t="str" cm="1">
        <f t="array" ref="M860">_xlfn.IFS(
L860&lt;=12,"Children",
L860&lt;=19,"Teens",
L860&lt;=29,"Young Adults",
L860&lt;=39,"Adults",
L860&lt;=59,"Middle-Aged",
L860&gt;=60,"Seniors"
)</f>
        <v>Middle-Aged</v>
      </c>
      <c r="N860" t="s">
        <v>20</v>
      </c>
    </row>
    <row r="861" spans="1:14" x14ac:dyDescent="0.3">
      <c r="A861">
        <v>19217</v>
      </c>
      <c r="B861" t="s">
        <v>37</v>
      </c>
      <c r="C861" t="s">
        <v>39</v>
      </c>
      <c r="D861" s="3">
        <v>30000</v>
      </c>
      <c r="E861">
        <v>2</v>
      </c>
      <c r="F861" t="s">
        <v>30</v>
      </c>
      <c r="G861" t="s">
        <v>16</v>
      </c>
      <c r="H861" t="s">
        <v>17</v>
      </c>
      <c r="I861">
        <v>2</v>
      </c>
      <c r="J861" t="s">
        <v>29</v>
      </c>
      <c r="K861" t="s">
        <v>35</v>
      </c>
      <c r="L861">
        <v>49</v>
      </c>
      <c r="M861" t="str" cm="1">
        <f t="array" ref="M861">_xlfn.IFS(
L861&lt;=12,"Children",
L861&lt;=19,"Teens",
L861&lt;=29,"Young Adults",
L861&lt;=39,"Adults",
L861&lt;=59,"Middle-Aged",
L861&gt;=60,"Seniors"
)</f>
        <v>Middle-Aged</v>
      </c>
      <c r="N861" t="s">
        <v>20</v>
      </c>
    </row>
    <row r="862" spans="1:14" x14ac:dyDescent="0.3">
      <c r="A862">
        <v>15839</v>
      </c>
      <c r="B862" t="s">
        <v>40</v>
      </c>
      <c r="C862" t="s">
        <v>39</v>
      </c>
      <c r="D862" s="3">
        <v>30000</v>
      </c>
      <c r="E862">
        <v>0</v>
      </c>
      <c r="F862" t="s">
        <v>21</v>
      </c>
      <c r="G862" t="s">
        <v>16</v>
      </c>
      <c r="H862" t="s">
        <v>17</v>
      </c>
      <c r="I862">
        <v>1</v>
      </c>
      <c r="J862" t="s">
        <v>26</v>
      </c>
      <c r="K862" t="s">
        <v>35</v>
      </c>
      <c r="L862">
        <v>32</v>
      </c>
      <c r="M862" t="str" cm="1">
        <f t="array" ref="M862">_xlfn.IFS(
L862&lt;=12,"Children",
L862&lt;=19,"Teens",
L862&lt;=29,"Young Adults",
L862&lt;=39,"Adults",
L862&lt;=59,"Middle-Aged",
L862&gt;=60,"Seniors"
)</f>
        <v>Adults</v>
      </c>
      <c r="N862" t="s">
        <v>20</v>
      </c>
    </row>
    <row r="863" spans="1:14" x14ac:dyDescent="0.3">
      <c r="A863">
        <v>13714</v>
      </c>
      <c r="B863" t="s">
        <v>37</v>
      </c>
      <c r="C863" t="s">
        <v>38</v>
      </c>
      <c r="D863" s="3">
        <v>20000</v>
      </c>
      <c r="E863">
        <v>2</v>
      </c>
      <c r="F863" t="s">
        <v>30</v>
      </c>
      <c r="G863" t="s">
        <v>28</v>
      </c>
      <c r="H863" t="s">
        <v>20</v>
      </c>
      <c r="I863">
        <v>2</v>
      </c>
      <c r="J863" t="s">
        <v>29</v>
      </c>
      <c r="K863" t="s">
        <v>35</v>
      </c>
      <c r="L863">
        <v>53</v>
      </c>
      <c r="M863" t="str" cm="1">
        <f t="array" ref="M863">_xlfn.IFS(
L863&lt;=12,"Children",
L863&lt;=19,"Teens",
L863&lt;=29,"Young Adults",
L863&lt;=39,"Adults",
L863&lt;=59,"Middle-Aged",
L863&gt;=60,"Seniors"
)</f>
        <v>Middle-Aged</v>
      </c>
      <c r="N863" t="s">
        <v>17</v>
      </c>
    </row>
    <row r="864" spans="1:14" x14ac:dyDescent="0.3">
      <c r="A864">
        <v>22330</v>
      </c>
      <c r="B864" t="s">
        <v>37</v>
      </c>
      <c r="C864" t="s">
        <v>39</v>
      </c>
      <c r="D864" s="3">
        <v>50000</v>
      </c>
      <c r="E864">
        <v>0</v>
      </c>
      <c r="F864" t="s">
        <v>34</v>
      </c>
      <c r="G864" t="s">
        <v>16</v>
      </c>
      <c r="H864" t="s">
        <v>17</v>
      </c>
      <c r="I864">
        <v>0</v>
      </c>
      <c r="J864" t="s">
        <v>29</v>
      </c>
      <c r="K864" t="s">
        <v>35</v>
      </c>
      <c r="L864">
        <v>32</v>
      </c>
      <c r="M864" t="str" cm="1">
        <f t="array" ref="M864">_xlfn.IFS(
L864&lt;=12,"Children",
L864&lt;=19,"Teens",
L864&lt;=29,"Young Adults",
L864&lt;=39,"Adults",
L864&lt;=59,"Middle-Aged",
L864&gt;=60,"Seniors"
)</f>
        <v>Adults</v>
      </c>
      <c r="N864" t="s">
        <v>17</v>
      </c>
    </row>
    <row r="865" spans="1:14" x14ac:dyDescent="0.3">
      <c r="A865">
        <v>18783</v>
      </c>
      <c r="B865" t="s">
        <v>40</v>
      </c>
      <c r="C865" t="s">
        <v>39</v>
      </c>
      <c r="D865" s="3">
        <v>80000</v>
      </c>
      <c r="E865">
        <v>0</v>
      </c>
      <c r="F865" t="s">
        <v>15</v>
      </c>
      <c r="G865" t="s">
        <v>31</v>
      </c>
      <c r="H865" t="s">
        <v>20</v>
      </c>
      <c r="I865">
        <v>1</v>
      </c>
      <c r="J865" t="s">
        <v>18</v>
      </c>
      <c r="K865" t="s">
        <v>35</v>
      </c>
      <c r="L865">
        <v>38</v>
      </c>
      <c r="M865" t="str" cm="1">
        <f t="array" ref="M865">_xlfn.IFS(
L865&lt;=12,"Children",
L865&lt;=19,"Teens",
L865&lt;=29,"Young Adults",
L865&lt;=39,"Adults",
L865&lt;=59,"Middle-Aged",
L865&gt;=60,"Seniors"
)</f>
        <v>Adults</v>
      </c>
      <c r="N865" t="s">
        <v>17</v>
      </c>
    </row>
    <row r="866" spans="1:14" x14ac:dyDescent="0.3">
      <c r="A866">
        <v>25041</v>
      </c>
      <c r="B866" t="s">
        <v>40</v>
      </c>
      <c r="C866" t="s">
        <v>39</v>
      </c>
      <c r="D866" s="3">
        <v>40000</v>
      </c>
      <c r="E866">
        <v>0</v>
      </c>
      <c r="F866" t="s">
        <v>30</v>
      </c>
      <c r="G866" t="s">
        <v>16</v>
      </c>
      <c r="H866" t="s">
        <v>17</v>
      </c>
      <c r="I866">
        <v>2</v>
      </c>
      <c r="J866" t="s">
        <v>26</v>
      </c>
      <c r="K866" t="s">
        <v>35</v>
      </c>
      <c r="L866">
        <v>31</v>
      </c>
      <c r="M866" t="str" cm="1">
        <f t="array" ref="M866">_xlfn.IFS(
L866&lt;=12,"Children",
L866&lt;=19,"Teens",
L866&lt;=29,"Young Adults",
L866&lt;=39,"Adults",
L866&lt;=59,"Middle-Aged",
L866&gt;=60,"Seniors"
)</f>
        <v>Adults</v>
      </c>
      <c r="N866" t="s">
        <v>20</v>
      </c>
    </row>
    <row r="867" spans="1:14" x14ac:dyDescent="0.3">
      <c r="A867">
        <v>22046</v>
      </c>
      <c r="B867" t="s">
        <v>40</v>
      </c>
      <c r="C867" t="s">
        <v>38</v>
      </c>
      <c r="D867" s="3">
        <v>80000</v>
      </c>
      <c r="E867">
        <v>0</v>
      </c>
      <c r="F867" t="s">
        <v>15</v>
      </c>
      <c r="G867" t="s">
        <v>31</v>
      </c>
      <c r="H867" t="s">
        <v>20</v>
      </c>
      <c r="I867">
        <v>1</v>
      </c>
      <c r="J867" t="s">
        <v>18</v>
      </c>
      <c r="K867" t="s">
        <v>35</v>
      </c>
      <c r="L867">
        <v>38</v>
      </c>
      <c r="M867" t="str" cm="1">
        <f t="array" ref="M867">_xlfn.IFS(
L867&lt;=12,"Children",
L867&lt;=19,"Teens",
L867&lt;=29,"Young Adults",
L867&lt;=39,"Adults",
L867&lt;=59,"Middle-Aged",
L867&gt;=60,"Seniors"
)</f>
        <v>Adults</v>
      </c>
      <c r="N867" t="s">
        <v>17</v>
      </c>
    </row>
    <row r="868" spans="1:14" x14ac:dyDescent="0.3">
      <c r="A868">
        <v>28052</v>
      </c>
      <c r="B868" t="s">
        <v>37</v>
      </c>
      <c r="C868" t="s">
        <v>39</v>
      </c>
      <c r="D868" s="3">
        <v>60000</v>
      </c>
      <c r="E868">
        <v>2</v>
      </c>
      <c r="F868" t="s">
        <v>30</v>
      </c>
      <c r="G868" t="s">
        <v>23</v>
      </c>
      <c r="H868" t="s">
        <v>17</v>
      </c>
      <c r="I868">
        <v>2</v>
      </c>
      <c r="J868" t="s">
        <v>41</v>
      </c>
      <c r="K868" t="s">
        <v>35</v>
      </c>
      <c r="L868">
        <v>55</v>
      </c>
      <c r="M868" t="str" cm="1">
        <f t="array" ref="M868">_xlfn.IFS(
L868&lt;=12,"Children",
L868&lt;=19,"Teens",
L868&lt;=29,"Young Adults",
L868&lt;=39,"Adults",
L868&lt;=59,"Middle-Aged",
L868&gt;=60,"Seniors"
)</f>
        <v>Middle-Aged</v>
      </c>
      <c r="N868" t="s">
        <v>20</v>
      </c>
    </row>
    <row r="869" spans="1:14" x14ac:dyDescent="0.3">
      <c r="A869">
        <v>26693</v>
      </c>
      <c r="B869" t="s">
        <v>37</v>
      </c>
      <c r="C869" t="s">
        <v>39</v>
      </c>
      <c r="D869" s="3">
        <v>70000</v>
      </c>
      <c r="E869">
        <v>3</v>
      </c>
      <c r="F869" t="s">
        <v>21</v>
      </c>
      <c r="G869" t="s">
        <v>23</v>
      </c>
      <c r="H869" t="s">
        <v>17</v>
      </c>
      <c r="I869">
        <v>1</v>
      </c>
      <c r="J869" t="s">
        <v>26</v>
      </c>
      <c r="K869" t="s">
        <v>35</v>
      </c>
      <c r="L869">
        <v>49</v>
      </c>
      <c r="M869" t="str" cm="1">
        <f t="array" ref="M869">_xlfn.IFS(
L869&lt;=12,"Children",
L869&lt;=19,"Teens",
L869&lt;=29,"Young Adults",
L869&lt;=39,"Adults",
L869&lt;=59,"Middle-Aged",
L869&gt;=60,"Seniors"
)</f>
        <v>Middle-Aged</v>
      </c>
      <c r="N869" t="s">
        <v>20</v>
      </c>
    </row>
    <row r="870" spans="1:14" x14ac:dyDescent="0.3">
      <c r="A870">
        <v>24955</v>
      </c>
      <c r="B870" t="s">
        <v>40</v>
      </c>
      <c r="C870" t="s">
        <v>39</v>
      </c>
      <c r="D870" s="3">
        <v>30000</v>
      </c>
      <c r="E870">
        <v>5</v>
      </c>
      <c r="F870" t="s">
        <v>32</v>
      </c>
      <c r="G870" t="s">
        <v>16</v>
      </c>
      <c r="H870" t="s">
        <v>17</v>
      </c>
      <c r="I870">
        <v>3</v>
      </c>
      <c r="J870" t="s">
        <v>41</v>
      </c>
      <c r="K870" t="s">
        <v>35</v>
      </c>
      <c r="L870">
        <v>60</v>
      </c>
      <c r="M870" t="str" cm="1">
        <f t="array" ref="M870">_xlfn.IFS(
L870&lt;=12,"Children",
L870&lt;=19,"Teens",
L870&lt;=29,"Young Adults",
L870&lt;=39,"Adults",
L870&lt;=59,"Middle-Aged",
L870&gt;=60,"Seniors"
)</f>
        <v>Seniors</v>
      </c>
      <c r="N870" t="s">
        <v>17</v>
      </c>
    </row>
    <row r="871" spans="1:14" x14ac:dyDescent="0.3">
      <c r="A871">
        <v>26065</v>
      </c>
      <c r="B871" t="s">
        <v>40</v>
      </c>
      <c r="C871" t="s">
        <v>38</v>
      </c>
      <c r="D871" s="3">
        <v>110000</v>
      </c>
      <c r="E871">
        <v>3</v>
      </c>
      <c r="F871" t="s">
        <v>15</v>
      </c>
      <c r="G871" t="s">
        <v>31</v>
      </c>
      <c r="H871" t="s">
        <v>20</v>
      </c>
      <c r="I871">
        <v>4</v>
      </c>
      <c r="J871" t="s">
        <v>29</v>
      </c>
      <c r="K871" t="s">
        <v>35</v>
      </c>
      <c r="L871">
        <v>42</v>
      </c>
      <c r="M871" t="str" cm="1">
        <f t="array" ref="M871">_xlfn.IFS(
L871&lt;=12,"Children",
L871&lt;=19,"Teens",
L871&lt;=29,"Young Adults",
L871&lt;=39,"Adults",
L871&lt;=59,"Middle-Aged",
L871&gt;=60,"Seniors"
)</f>
        <v>Middle-Aged</v>
      </c>
      <c r="N871" t="s">
        <v>20</v>
      </c>
    </row>
    <row r="872" spans="1:14" x14ac:dyDescent="0.3">
      <c r="A872">
        <v>13942</v>
      </c>
      <c r="B872" t="s">
        <v>37</v>
      </c>
      <c r="C872" t="s">
        <v>39</v>
      </c>
      <c r="D872" s="3">
        <v>60000</v>
      </c>
      <c r="E872">
        <v>1</v>
      </c>
      <c r="F872" t="s">
        <v>21</v>
      </c>
      <c r="G872" t="s">
        <v>16</v>
      </c>
      <c r="H872" t="s">
        <v>17</v>
      </c>
      <c r="I872">
        <v>1</v>
      </c>
      <c r="J872" t="s">
        <v>18</v>
      </c>
      <c r="K872" t="s">
        <v>35</v>
      </c>
      <c r="L872">
        <v>46</v>
      </c>
      <c r="M872" t="str" cm="1">
        <f t="array" ref="M872">_xlfn.IFS(
L872&lt;=12,"Children",
L872&lt;=19,"Teens",
L872&lt;=29,"Young Adults",
L872&lt;=39,"Adults",
L872&lt;=59,"Middle-Aged",
L872&gt;=60,"Seniors"
)</f>
        <v>Middle-Aged</v>
      </c>
      <c r="N872" t="s">
        <v>20</v>
      </c>
    </row>
    <row r="873" spans="1:14" x14ac:dyDescent="0.3">
      <c r="A873">
        <v>11219</v>
      </c>
      <c r="B873" t="s">
        <v>37</v>
      </c>
      <c r="C873" t="s">
        <v>39</v>
      </c>
      <c r="D873" s="3">
        <v>60000</v>
      </c>
      <c r="E873">
        <v>2</v>
      </c>
      <c r="F873" t="s">
        <v>30</v>
      </c>
      <c r="G873" t="s">
        <v>23</v>
      </c>
      <c r="H873" t="s">
        <v>17</v>
      </c>
      <c r="I873">
        <v>2</v>
      </c>
      <c r="J873" t="s">
        <v>41</v>
      </c>
      <c r="K873" t="s">
        <v>35</v>
      </c>
      <c r="L873">
        <v>55</v>
      </c>
      <c r="M873" t="str" cm="1">
        <f t="array" ref="M873">_xlfn.IFS(
L873&lt;=12,"Children",
L873&lt;=19,"Teens",
L873&lt;=29,"Young Adults",
L873&lt;=39,"Adults",
L873&lt;=59,"Middle-Aged",
L873&gt;=60,"Seniors"
)</f>
        <v>Middle-Aged</v>
      </c>
      <c r="N873" t="s">
        <v>20</v>
      </c>
    </row>
    <row r="874" spans="1:14" x14ac:dyDescent="0.3">
      <c r="A874">
        <v>22118</v>
      </c>
      <c r="B874" t="s">
        <v>40</v>
      </c>
      <c r="C874" t="s">
        <v>38</v>
      </c>
      <c r="D874" s="3">
        <v>70000</v>
      </c>
      <c r="E874">
        <v>3</v>
      </c>
      <c r="F874" t="s">
        <v>34</v>
      </c>
      <c r="G874" t="s">
        <v>31</v>
      </c>
      <c r="H874" t="s">
        <v>17</v>
      </c>
      <c r="I874">
        <v>2</v>
      </c>
      <c r="J874" t="s">
        <v>26</v>
      </c>
      <c r="K874" t="s">
        <v>35</v>
      </c>
      <c r="L874">
        <v>53</v>
      </c>
      <c r="M874" t="str" cm="1">
        <f t="array" ref="M874">_xlfn.IFS(
L874&lt;=12,"Children",
L874&lt;=19,"Teens",
L874&lt;=29,"Young Adults",
L874&lt;=39,"Adults",
L874&lt;=59,"Middle-Aged",
L874&gt;=60,"Seniors"
)</f>
        <v>Middle-Aged</v>
      </c>
      <c r="N874" t="s">
        <v>17</v>
      </c>
    </row>
    <row r="875" spans="1:14" x14ac:dyDescent="0.3">
      <c r="A875">
        <v>23197</v>
      </c>
      <c r="B875" t="s">
        <v>37</v>
      </c>
      <c r="C875" t="s">
        <v>39</v>
      </c>
      <c r="D875" s="3">
        <v>50000</v>
      </c>
      <c r="E875">
        <v>3</v>
      </c>
      <c r="F875" t="s">
        <v>15</v>
      </c>
      <c r="G875" t="s">
        <v>16</v>
      </c>
      <c r="H875" t="s">
        <v>17</v>
      </c>
      <c r="I875">
        <v>2</v>
      </c>
      <c r="J875" t="s">
        <v>24</v>
      </c>
      <c r="K875" t="s">
        <v>35</v>
      </c>
      <c r="L875">
        <v>40</v>
      </c>
      <c r="M875" t="str" cm="1">
        <f t="array" ref="M875">_xlfn.IFS(
L875&lt;=12,"Children",
L875&lt;=19,"Teens",
L875&lt;=29,"Young Adults",
L875&lt;=39,"Adults",
L875&lt;=59,"Middle-Aged",
L875&gt;=60,"Seniors"
)</f>
        <v>Middle-Aged</v>
      </c>
      <c r="N875" t="s">
        <v>20</v>
      </c>
    </row>
    <row r="876" spans="1:14" x14ac:dyDescent="0.3">
      <c r="A876">
        <v>14883</v>
      </c>
      <c r="B876" t="s">
        <v>37</v>
      </c>
      <c r="C876" t="s">
        <v>38</v>
      </c>
      <c r="D876" s="3">
        <v>30000</v>
      </c>
      <c r="E876">
        <v>1</v>
      </c>
      <c r="F876" t="s">
        <v>15</v>
      </c>
      <c r="G876" t="s">
        <v>16</v>
      </c>
      <c r="H876" t="s">
        <v>17</v>
      </c>
      <c r="I876">
        <v>1</v>
      </c>
      <c r="J876" t="s">
        <v>26</v>
      </c>
      <c r="K876" t="s">
        <v>35</v>
      </c>
      <c r="L876">
        <v>53</v>
      </c>
      <c r="M876" t="str" cm="1">
        <f t="array" ref="M876">_xlfn.IFS(
L876&lt;=12,"Children",
L876&lt;=19,"Teens",
L876&lt;=29,"Young Adults",
L876&lt;=39,"Adults",
L876&lt;=59,"Middle-Aged",
L876&gt;=60,"Seniors"
)</f>
        <v>Middle-Aged</v>
      </c>
      <c r="N876" t="s">
        <v>17</v>
      </c>
    </row>
    <row r="877" spans="1:14" x14ac:dyDescent="0.3">
      <c r="A877">
        <v>27279</v>
      </c>
      <c r="B877" t="s">
        <v>40</v>
      </c>
      <c r="C877" t="s">
        <v>38</v>
      </c>
      <c r="D877" s="3">
        <v>70000</v>
      </c>
      <c r="E877">
        <v>2</v>
      </c>
      <c r="F877" t="s">
        <v>15</v>
      </c>
      <c r="G877" t="s">
        <v>16</v>
      </c>
      <c r="H877" t="s">
        <v>17</v>
      </c>
      <c r="I877">
        <v>0</v>
      </c>
      <c r="J877" t="s">
        <v>24</v>
      </c>
      <c r="K877" t="s">
        <v>35</v>
      </c>
      <c r="L877">
        <v>38</v>
      </c>
      <c r="M877" t="str" cm="1">
        <f t="array" ref="M877">_xlfn.IFS(
L877&lt;=12,"Children",
L877&lt;=19,"Teens",
L877&lt;=29,"Young Adults",
L877&lt;=39,"Adults",
L877&lt;=59,"Middle-Aged",
L877&gt;=60,"Seniors"
)</f>
        <v>Adults</v>
      </c>
      <c r="N877" t="s">
        <v>17</v>
      </c>
    </row>
    <row r="878" spans="1:14" x14ac:dyDescent="0.3">
      <c r="A878">
        <v>18322</v>
      </c>
      <c r="B878" t="s">
        <v>40</v>
      </c>
      <c r="C878" t="s">
        <v>39</v>
      </c>
      <c r="D878" s="3">
        <v>30000</v>
      </c>
      <c r="E878">
        <v>0</v>
      </c>
      <c r="F878" t="s">
        <v>32</v>
      </c>
      <c r="G878" t="s">
        <v>22</v>
      </c>
      <c r="H878" t="s">
        <v>20</v>
      </c>
      <c r="I878">
        <v>2</v>
      </c>
      <c r="J878" t="s">
        <v>18</v>
      </c>
      <c r="K878" t="s">
        <v>35</v>
      </c>
      <c r="L878">
        <v>26</v>
      </c>
      <c r="M878" t="str" cm="1">
        <f t="array" ref="M878">_xlfn.IFS(
L878&lt;=12,"Children",
L878&lt;=19,"Teens",
L878&lt;=29,"Young Adults",
L878&lt;=39,"Adults",
L878&lt;=59,"Middle-Aged",
L878&gt;=60,"Seniors"
)</f>
        <v>Young Adults</v>
      </c>
      <c r="N878" t="s">
        <v>20</v>
      </c>
    </row>
    <row r="879" spans="1:14" x14ac:dyDescent="0.3">
      <c r="A879">
        <v>15879</v>
      </c>
      <c r="B879" t="s">
        <v>37</v>
      </c>
      <c r="C879" t="s">
        <v>39</v>
      </c>
      <c r="D879" s="3">
        <v>70000</v>
      </c>
      <c r="E879">
        <v>5</v>
      </c>
      <c r="F879" t="s">
        <v>15</v>
      </c>
      <c r="G879" t="s">
        <v>31</v>
      </c>
      <c r="H879" t="s">
        <v>17</v>
      </c>
      <c r="I879">
        <v>2</v>
      </c>
      <c r="J879" t="s">
        <v>24</v>
      </c>
      <c r="K879" t="s">
        <v>35</v>
      </c>
      <c r="L879">
        <v>61</v>
      </c>
      <c r="M879" t="str" cm="1">
        <f t="array" ref="M879">_xlfn.IFS(
L879&lt;=12,"Children",
L879&lt;=19,"Teens",
L879&lt;=29,"Young Adults",
L879&lt;=39,"Adults",
L879&lt;=59,"Middle-Aged",
L879&gt;=60,"Seniors"
)</f>
        <v>Seniors</v>
      </c>
      <c r="N879" t="s">
        <v>20</v>
      </c>
    </row>
    <row r="880" spans="1:14" x14ac:dyDescent="0.3">
      <c r="A880">
        <v>28278</v>
      </c>
      <c r="B880" t="s">
        <v>37</v>
      </c>
      <c r="C880" t="s">
        <v>39</v>
      </c>
      <c r="D880" s="3">
        <v>50000</v>
      </c>
      <c r="E880">
        <v>2</v>
      </c>
      <c r="F880" t="s">
        <v>34</v>
      </c>
      <c r="G880" t="s">
        <v>31</v>
      </c>
      <c r="H880" t="s">
        <v>17</v>
      </c>
      <c r="I880">
        <v>2</v>
      </c>
      <c r="J880" t="s">
        <v>26</v>
      </c>
      <c r="K880" t="s">
        <v>35</v>
      </c>
      <c r="L880">
        <v>71</v>
      </c>
      <c r="M880" t="str" cm="1">
        <f t="array" ref="M880">_xlfn.IFS(
L880&lt;=12,"Children",
L880&lt;=19,"Teens",
L880&lt;=29,"Young Adults",
L880&lt;=39,"Adults",
L880&lt;=59,"Middle-Aged",
L880&gt;=60,"Seniors"
)</f>
        <v>Seniors</v>
      </c>
      <c r="N880" t="s">
        <v>20</v>
      </c>
    </row>
    <row r="881" spans="1:14" x14ac:dyDescent="0.3">
      <c r="A881">
        <v>24416</v>
      </c>
      <c r="B881" t="s">
        <v>37</v>
      </c>
      <c r="C881" t="s">
        <v>39</v>
      </c>
      <c r="D881" s="3">
        <v>90000</v>
      </c>
      <c r="E881">
        <v>4</v>
      </c>
      <c r="F881" t="s">
        <v>30</v>
      </c>
      <c r="G881" t="s">
        <v>23</v>
      </c>
      <c r="H881" t="s">
        <v>17</v>
      </c>
      <c r="I881">
        <v>2</v>
      </c>
      <c r="J881" t="s">
        <v>29</v>
      </c>
      <c r="K881" t="s">
        <v>35</v>
      </c>
      <c r="L881">
        <v>45</v>
      </c>
      <c r="M881" t="str" cm="1">
        <f t="array" ref="M881">_xlfn.IFS(
L881&lt;=12,"Children",
L881&lt;=19,"Teens",
L881&lt;=29,"Young Adults",
L881&lt;=39,"Adults",
L881&lt;=59,"Middle-Aged",
L881&gt;=60,"Seniors"
)</f>
        <v>Middle-Aged</v>
      </c>
      <c r="N881" t="s">
        <v>20</v>
      </c>
    </row>
    <row r="882" spans="1:14" x14ac:dyDescent="0.3">
      <c r="A882">
        <v>28066</v>
      </c>
      <c r="B882" t="s">
        <v>37</v>
      </c>
      <c r="C882" t="s">
        <v>39</v>
      </c>
      <c r="D882" s="3">
        <v>80000</v>
      </c>
      <c r="E882">
        <v>2</v>
      </c>
      <c r="F882" t="s">
        <v>34</v>
      </c>
      <c r="G882" t="s">
        <v>23</v>
      </c>
      <c r="H882" t="s">
        <v>17</v>
      </c>
      <c r="I882">
        <v>0</v>
      </c>
      <c r="J882" t="s">
        <v>18</v>
      </c>
      <c r="K882" t="s">
        <v>35</v>
      </c>
      <c r="L882">
        <v>37</v>
      </c>
      <c r="M882" t="str" cm="1">
        <f t="array" ref="M882">_xlfn.IFS(
L882&lt;=12,"Children",
L882&lt;=19,"Teens",
L882&lt;=29,"Young Adults",
L882&lt;=39,"Adults",
L882&lt;=59,"Middle-Aged",
L882&gt;=60,"Seniors"
)</f>
        <v>Adults</v>
      </c>
      <c r="N882" t="s">
        <v>17</v>
      </c>
    </row>
    <row r="883" spans="1:14" x14ac:dyDescent="0.3">
      <c r="A883">
        <v>11275</v>
      </c>
      <c r="B883" t="s">
        <v>37</v>
      </c>
      <c r="C883" t="s">
        <v>38</v>
      </c>
      <c r="D883" s="3">
        <v>80000</v>
      </c>
      <c r="E883">
        <v>4</v>
      </c>
      <c r="F883" t="s">
        <v>34</v>
      </c>
      <c r="G883" t="s">
        <v>31</v>
      </c>
      <c r="H883" t="s">
        <v>17</v>
      </c>
      <c r="I883">
        <v>2</v>
      </c>
      <c r="J883" t="s">
        <v>18</v>
      </c>
      <c r="K883" t="s">
        <v>35</v>
      </c>
      <c r="L883">
        <v>72</v>
      </c>
      <c r="M883" t="str" cm="1">
        <f t="array" ref="M883">_xlfn.IFS(
L883&lt;=12,"Children",
L883&lt;=19,"Teens",
L883&lt;=29,"Young Adults",
L883&lt;=39,"Adults",
L883&lt;=59,"Middle-Aged",
L883&gt;=60,"Seniors"
)</f>
        <v>Seniors</v>
      </c>
      <c r="N883" t="s">
        <v>17</v>
      </c>
    </row>
    <row r="884" spans="1:14" x14ac:dyDescent="0.3">
      <c r="A884">
        <v>14872</v>
      </c>
      <c r="B884" t="s">
        <v>37</v>
      </c>
      <c r="C884" t="s">
        <v>39</v>
      </c>
      <c r="D884" s="3">
        <v>30000</v>
      </c>
      <c r="E884">
        <v>0</v>
      </c>
      <c r="F884" t="s">
        <v>34</v>
      </c>
      <c r="G884" t="s">
        <v>16</v>
      </c>
      <c r="H884" t="s">
        <v>17</v>
      </c>
      <c r="I884">
        <v>0</v>
      </c>
      <c r="J884" t="s">
        <v>18</v>
      </c>
      <c r="K884" t="s">
        <v>35</v>
      </c>
      <c r="L884">
        <v>32</v>
      </c>
      <c r="M884" t="str" cm="1">
        <f t="array" ref="M884">_xlfn.IFS(
L884&lt;=12,"Children",
L884&lt;=19,"Teens",
L884&lt;=29,"Young Adults",
L884&lt;=39,"Adults",
L884&lt;=59,"Middle-Aged",
L884&gt;=60,"Seniors"
)</f>
        <v>Adults</v>
      </c>
      <c r="N884" t="s">
        <v>20</v>
      </c>
    </row>
    <row r="885" spans="1:14" x14ac:dyDescent="0.3">
      <c r="A885">
        <v>16151</v>
      </c>
      <c r="B885" t="s">
        <v>37</v>
      </c>
      <c r="C885" t="s">
        <v>38</v>
      </c>
      <c r="D885" s="3">
        <v>60000</v>
      </c>
      <c r="E885">
        <v>1</v>
      </c>
      <c r="F885" t="s">
        <v>15</v>
      </c>
      <c r="G885" t="s">
        <v>23</v>
      </c>
      <c r="H885" t="s">
        <v>17</v>
      </c>
      <c r="I885">
        <v>1</v>
      </c>
      <c r="J885" t="s">
        <v>24</v>
      </c>
      <c r="K885" t="s">
        <v>35</v>
      </c>
      <c r="L885">
        <v>48</v>
      </c>
      <c r="M885" t="str" cm="1">
        <f t="array" ref="M885">_xlfn.IFS(
L885&lt;=12,"Children",
L885&lt;=19,"Teens",
L885&lt;=29,"Young Adults",
L885&lt;=39,"Adults",
L885&lt;=59,"Middle-Aged",
L885&gt;=60,"Seniors"
)</f>
        <v>Middle-Aged</v>
      </c>
      <c r="N885" t="s">
        <v>17</v>
      </c>
    </row>
    <row r="886" spans="1:14" x14ac:dyDescent="0.3">
      <c r="A886">
        <v>19731</v>
      </c>
      <c r="B886" t="s">
        <v>37</v>
      </c>
      <c r="C886" t="s">
        <v>39</v>
      </c>
      <c r="D886" s="3">
        <v>80000</v>
      </c>
      <c r="E886">
        <v>4</v>
      </c>
      <c r="F886" t="s">
        <v>34</v>
      </c>
      <c r="G886" t="s">
        <v>31</v>
      </c>
      <c r="H886" t="s">
        <v>17</v>
      </c>
      <c r="I886">
        <v>2</v>
      </c>
      <c r="J886" t="s">
        <v>26</v>
      </c>
      <c r="K886" t="s">
        <v>35</v>
      </c>
      <c r="L886">
        <v>68</v>
      </c>
      <c r="M886" t="str" cm="1">
        <f t="array" ref="M886">_xlfn.IFS(
L886&lt;=12,"Children",
L886&lt;=19,"Teens",
L886&lt;=29,"Young Adults",
L886&lt;=39,"Adults",
L886&lt;=59,"Middle-Aged",
L886&gt;=60,"Seniors"
)</f>
        <v>Seniors</v>
      </c>
      <c r="N886" t="s">
        <v>20</v>
      </c>
    </row>
    <row r="887" spans="1:14" x14ac:dyDescent="0.3">
      <c r="A887">
        <v>23801</v>
      </c>
      <c r="B887" t="s">
        <v>37</v>
      </c>
      <c r="C887" t="s">
        <v>38</v>
      </c>
      <c r="D887" s="3">
        <v>20000</v>
      </c>
      <c r="E887">
        <v>2</v>
      </c>
      <c r="F887" t="s">
        <v>32</v>
      </c>
      <c r="G887" t="s">
        <v>22</v>
      </c>
      <c r="H887" t="s">
        <v>17</v>
      </c>
      <c r="I887">
        <v>2</v>
      </c>
      <c r="J887" t="s">
        <v>18</v>
      </c>
      <c r="K887" t="s">
        <v>35</v>
      </c>
      <c r="L887">
        <v>49</v>
      </c>
      <c r="M887" t="str" cm="1">
        <f t="array" ref="M887">_xlfn.IFS(
L887&lt;=12,"Children",
L887&lt;=19,"Teens",
L887&lt;=29,"Young Adults",
L887&lt;=39,"Adults",
L887&lt;=59,"Middle-Aged",
L887&gt;=60,"Seniors"
)</f>
        <v>Middle-Aged</v>
      </c>
      <c r="N887" t="s">
        <v>20</v>
      </c>
    </row>
    <row r="888" spans="1:14" x14ac:dyDescent="0.3">
      <c r="A888">
        <v>11807</v>
      </c>
      <c r="B888" t="s">
        <v>37</v>
      </c>
      <c r="C888" t="s">
        <v>39</v>
      </c>
      <c r="D888" s="3">
        <v>70000</v>
      </c>
      <c r="E888">
        <v>3</v>
      </c>
      <c r="F888" t="s">
        <v>34</v>
      </c>
      <c r="G888" t="s">
        <v>23</v>
      </c>
      <c r="H888" t="s">
        <v>17</v>
      </c>
      <c r="I888">
        <v>0</v>
      </c>
      <c r="J888" t="s">
        <v>24</v>
      </c>
      <c r="K888" t="s">
        <v>35</v>
      </c>
      <c r="L888">
        <v>34</v>
      </c>
      <c r="M888" t="str" cm="1">
        <f t="array" ref="M888">_xlfn.IFS(
L888&lt;=12,"Children",
L888&lt;=19,"Teens",
L888&lt;=29,"Young Adults",
L888&lt;=39,"Adults",
L888&lt;=59,"Middle-Aged",
L888&gt;=60,"Seniors"
)</f>
        <v>Adults</v>
      </c>
      <c r="N888" t="s">
        <v>20</v>
      </c>
    </row>
    <row r="889" spans="1:14" x14ac:dyDescent="0.3">
      <c r="A889">
        <v>11622</v>
      </c>
      <c r="B889" t="s">
        <v>37</v>
      </c>
      <c r="C889" t="s">
        <v>39</v>
      </c>
      <c r="D889" s="3">
        <v>50000</v>
      </c>
      <c r="E889">
        <v>0</v>
      </c>
      <c r="F889" t="s">
        <v>34</v>
      </c>
      <c r="G889" t="s">
        <v>16</v>
      </c>
      <c r="H889" t="s">
        <v>17</v>
      </c>
      <c r="I889">
        <v>0</v>
      </c>
      <c r="J889" t="s">
        <v>18</v>
      </c>
      <c r="K889" t="s">
        <v>35</v>
      </c>
      <c r="L889">
        <v>32</v>
      </c>
      <c r="M889" t="str" cm="1">
        <f t="array" ref="M889">_xlfn.IFS(
L889&lt;=12,"Children",
L889&lt;=19,"Teens",
L889&lt;=29,"Young Adults",
L889&lt;=39,"Adults",
L889&lt;=59,"Middle-Aged",
L889&gt;=60,"Seniors"
)</f>
        <v>Adults</v>
      </c>
      <c r="N889" t="s">
        <v>20</v>
      </c>
    </row>
    <row r="890" spans="1:14" x14ac:dyDescent="0.3">
      <c r="A890">
        <v>26597</v>
      </c>
      <c r="B890" t="s">
        <v>40</v>
      </c>
      <c r="C890" t="s">
        <v>38</v>
      </c>
      <c r="D890" s="3">
        <v>60000</v>
      </c>
      <c r="E890">
        <v>4</v>
      </c>
      <c r="F890" t="s">
        <v>15</v>
      </c>
      <c r="G890" t="s">
        <v>16</v>
      </c>
      <c r="H890" t="s">
        <v>20</v>
      </c>
      <c r="I890">
        <v>2</v>
      </c>
      <c r="J890" t="s">
        <v>18</v>
      </c>
      <c r="K890" t="s">
        <v>35</v>
      </c>
      <c r="L890">
        <v>42</v>
      </c>
      <c r="M890" t="str" cm="1">
        <f t="array" ref="M890">_xlfn.IFS(
L890&lt;=12,"Children",
L890&lt;=19,"Teens",
L890&lt;=29,"Young Adults",
L890&lt;=39,"Adults",
L890&lt;=59,"Middle-Aged",
L890&gt;=60,"Seniors"
)</f>
        <v>Middle-Aged</v>
      </c>
      <c r="N890" t="s">
        <v>20</v>
      </c>
    </row>
    <row r="891" spans="1:14" x14ac:dyDescent="0.3">
      <c r="A891">
        <v>27074</v>
      </c>
      <c r="B891" t="s">
        <v>37</v>
      </c>
      <c r="C891" t="s">
        <v>38</v>
      </c>
      <c r="D891" s="3">
        <v>70000</v>
      </c>
      <c r="E891">
        <v>1</v>
      </c>
      <c r="F891" t="s">
        <v>34</v>
      </c>
      <c r="G891" t="s">
        <v>16</v>
      </c>
      <c r="H891" t="s">
        <v>17</v>
      </c>
      <c r="I891">
        <v>0</v>
      </c>
      <c r="J891" t="s">
        <v>18</v>
      </c>
      <c r="K891" t="s">
        <v>35</v>
      </c>
      <c r="L891">
        <v>35</v>
      </c>
      <c r="M891" t="str" cm="1">
        <f t="array" ref="M891">_xlfn.IFS(
L891&lt;=12,"Children",
L891&lt;=19,"Teens",
L891&lt;=29,"Young Adults",
L891&lt;=39,"Adults",
L891&lt;=59,"Middle-Aged",
L891&gt;=60,"Seniors"
)</f>
        <v>Adults</v>
      </c>
      <c r="N891" t="s">
        <v>17</v>
      </c>
    </row>
    <row r="892" spans="1:14" x14ac:dyDescent="0.3">
      <c r="A892">
        <v>19228</v>
      </c>
      <c r="B892" t="s">
        <v>37</v>
      </c>
      <c r="C892" t="s">
        <v>38</v>
      </c>
      <c r="D892" s="3">
        <v>40000</v>
      </c>
      <c r="E892">
        <v>2</v>
      </c>
      <c r="F892" t="s">
        <v>21</v>
      </c>
      <c r="G892" t="s">
        <v>22</v>
      </c>
      <c r="H892" t="s">
        <v>17</v>
      </c>
      <c r="I892">
        <v>1</v>
      </c>
      <c r="J892" t="s">
        <v>18</v>
      </c>
      <c r="K892" t="s">
        <v>35</v>
      </c>
      <c r="L892">
        <v>48</v>
      </c>
      <c r="M892" t="str" cm="1">
        <f t="array" ref="M892">_xlfn.IFS(
L892&lt;=12,"Children",
L892&lt;=19,"Teens",
L892&lt;=29,"Young Adults",
L892&lt;=39,"Adults",
L892&lt;=59,"Middle-Aged",
L892&gt;=60,"Seniors"
)</f>
        <v>Middle-Aged</v>
      </c>
      <c r="N892" t="s">
        <v>20</v>
      </c>
    </row>
    <row r="893" spans="1:14" x14ac:dyDescent="0.3">
      <c r="A893">
        <v>13415</v>
      </c>
      <c r="B893" t="s">
        <v>40</v>
      </c>
      <c r="C893" t="s">
        <v>39</v>
      </c>
      <c r="D893" s="3">
        <v>100000</v>
      </c>
      <c r="E893">
        <v>1</v>
      </c>
      <c r="F893" t="s">
        <v>34</v>
      </c>
      <c r="G893" t="s">
        <v>31</v>
      </c>
      <c r="H893" t="s">
        <v>17</v>
      </c>
      <c r="I893">
        <v>3</v>
      </c>
      <c r="J893" t="s">
        <v>24</v>
      </c>
      <c r="K893" t="s">
        <v>35</v>
      </c>
      <c r="L893">
        <v>73</v>
      </c>
      <c r="M893" t="str" cm="1">
        <f t="array" ref="M893">_xlfn.IFS(
L893&lt;=12,"Children",
L893&lt;=19,"Teens",
L893&lt;=29,"Young Adults",
L893&lt;=39,"Adults",
L893&lt;=59,"Middle-Aged",
L893&gt;=60,"Seniors"
)</f>
        <v>Seniors</v>
      </c>
      <c r="N893" t="s">
        <v>17</v>
      </c>
    </row>
    <row r="894" spans="1:14" x14ac:dyDescent="0.3">
      <c r="A894">
        <v>17000</v>
      </c>
      <c r="B894" t="s">
        <v>40</v>
      </c>
      <c r="C894" t="s">
        <v>38</v>
      </c>
      <c r="D894" s="3">
        <v>70000</v>
      </c>
      <c r="E894">
        <v>4</v>
      </c>
      <c r="F894" t="s">
        <v>15</v>
      </c>
      <c r="G894" t="s">
        <v>16</v>
      </c>
      <c r="H894" t="s">
        <v>17</v>
      </c>
      <c r="I894">
        <v>2</v>
      </c>
      <c r="J894" t="s">
        <v>24</v>
      </c>
      <c r="K894" t="s">
        <v>35</v>
      </c>
      <c r="L894">
        <v>43</v>
      </c>
      <c r="M894" t="str" cm="1">
        <f t="array" ref="M894">_xlfn.IFS(
L894&lt;=12,"Children",
L894&lt;=19,"Teens",
L894&lt;=29,"Young Adults",
L894&lt;=39,"Adults",
L894&lt;=59,"Middle-Aged",
L894&gt;=60,"Seniors"
)</f>
        <v>Middle-Aged</v>
      </c>
      <c r="N894" t="s">
        <v>17</v>
      </c>
    </row>
    <row r="895" spans="1:14" x14ac:dyDescent="0.3">
      <c r="A895">
        <v>14569</v>
      </c>
      <c r="B895" t="s">
        <v>37</v>
      </c>
      <c r="C895" t="s">
        <v>39</v>
      </c>
      <c r="D895" s="3">
        <v>60000</v>
      </c>
      <c r="E895">
        <v>1</v>
      </c>
      <c r="F895" t="s">
        <v>34</v>
      </c>
      <c r="G895" t="s">
        <v>23</v>
      </c>
      <c r="H895" t="s">
        <v>17</v>
      </c>
      <c r="I895">
        <v>0</v>
      </c>
      <c r="J895" t="s">
        <v>18</v>
      </c>
      <c r="K895" t="s">
        <v>35</v>
      </c>
      <c r="L895">
        <v>35</v>
      </c>
      <c r="M895" t="str" cm="1">
        <f t="array" ref="M895">_xlfn.IFS(
L895&lt;=12,"Children",
L895&lt;=19,"Teens",
L895&lt;=29,"Young Adults",
L895&lt;=39,"Adults",
L895&lt;=59,"Middle-Aged",
L895&gt;=60,"Seniors"
)</f>
        <v>Adults</v>
      </c>
      <c r="N895" t="s">
        <v>20</v>
      </c>
    </row>
    <row r="896" spans="1:14" x14ac:dyDescent="0.3">
      <c r="A896">
        <v>13873</v>
      </c>
      <c r="B896" t="s">
        <v>37</v>
      </c>
      <c r="C896" t="s">
        <v>39</v>
      </c>
      <c r="D896" s="3">
        <v>70000</v>
      </c>
      <c r="E896">
        <v>3</v>
      </c>
      <c r="F896" t="s">
        <v>34</v>
      </c>
      <c r="G896" t="s">
        <v>23</v>
      </c>
      <c r="H896" t="s">
        <v>17</v>
      </c>
      <c r="I896">
        <v>0</v>
      </c>
      <c r="J896" t="s">
        <v>18</v>
      </c>
      <c r="K896" t="s">
        <v>35</v>
      </c>
      <c r="L896">
        <v>35</v>
      </c>
      <c r="M896" t="str" cm="1">
        <f t="array" ref="M896">_xlfn.IFS(
L896&lt;=12,"Children",
L896&lt;=19,"Teens",
L896&lt;=29,"Young Adults",
L896&lt;=39,"Adults",
L896&lt;=59,"Middle-Aged",
L896&gt;=60,"Seniors"
)</f>
        <v>Adults</v>
      </c>
      <c r="N896" t="s">
        <v>17</v>
      </c>
    </row>
    <row r="897" spans="1:14" x14ac:dyDescent="0.3">
      <c r="A897">
        <v>20401</v>
      </c>
      <c r="B897" t="s">
        <v>37</v>
      </c>
      <c r="C897" t="s">
        <v>38</v>
      </c>
      <c r="D897" s="3">
        <v>50000</v>
      </c>
      <c r="E897">
        <v>4</v>
      </c>
      <c r="F897" t="s">
        <v>15</v>
      </c>
      <c r="G897" t="s">
        <v>31</v>
      </c>
      <c r="H897" t="s">
        <v>17</v>
      </c>
      <c r="I897">
        <v>2</v>
      </c>
      <c r="J897" t="s">
        <v>29</v>
      </c>
      <c r="K897" t="s">
        <v>35</v>
      </c>
      <c r="L897">
        <v>64</v>
      </c>
      <c r="M897" t="str" cm="1">
        <f t="array" ref="M897">_xlfn.IFS(
L897&lt;=12,"Children",
L897&lt;=19,"Teens",
L897&lt;=29,"Young Adults",
L897&lt;=39,"Adults",
L897&lt;=59,"Middle-Aged",
L897&gt;=60,"Seniors"
)</f>
        <v>Seniors</v>
      </c>
      <c r="N897" t="s">
        <v>17</v>
      </c>
    </row>
    <row r="898" spans="1:14" x14ac:dyDescent="0.3">
      <c r="A898">
        <v>21583</v>
      </c>
      <c r="B898" t="s">
        <v>37</v>
      </c>
      <c r="C898" t="s">
        <v>38</v>
      </c>
      <c r="D898" s="3">
        <v>50000</v>
      </c>
      <c r="E898">
        <v>1</v>
      </c>
      <c r="F898" t="s">
        <v>15</v>
      </c>
      <c r="G898" t="s">
        <v>16</v>
      </c>
      <c r="H898" t="s">
        <v>17</v>
      </c>
      <c r="I898">
        <v>0</v>
      </c>
      <c r="J898" t="s">
        <v>18</v>
      </c>
      <c r="K898" t="s">
        <v>35</v>
      </c>
      <c r="L898">
        <v>34</v>
      </c>
      <c r="M898" t="str" cm="1">
        <f t="array" ref="M898">_xlfn.IFS(
L898&lt;=12,"Children",
L898&lt;=19,"Teens",
L898&lt;=29,"Young Adults",
L898&lt;=39,"Adults",
L898&lt;=59,"Middle-Aged",
L898&gt;=60,"Seniors"
)</f>
        <v>Adults</v>
      </c>
      <c r="N898" t="s">
        <v>17</v>
      </c>
    </row>
    <row r="899" spans="1:14" x14ac:dyDescent="0.3">
      <c r="A899">
        <v>12029</v>
      </c>
      <c r="B899" t="s">
        <v>37</v>
      </c>
      <c r="C899" t="s">
        <v>39</v>
      </c>
      <c r="D899" s="3">
        <v>30000</v>
      </c>
      <c r="E899">
        <v>0</v>
      </c>
      <c r="F899" t="s">
        <v>32</v>
      </c>
      <c r="G899" t="s">
        <v>22</v>
      </c>
      <c r="H899" t="s">
        <v>20</v>
      </c>
      <c r="I899">
        <v>2</v>
      </c>
      <c r="J899" t="s">
        <v>18</v>
      </c>
      <c r="K899" t="s">
        <v>35</v>
      </c>
      <c r="L899">
        <v>28</v>
      </c>
      <c r="M899" t="str" cm="1">
        <f t="array" ref="M899">_xlfn.IFS(
L899&lt;=12,"Children",
L899&lt;=19,"Teens",
L899&lt;=29,"Young Adults",
L899&lt;=39,"Adults",
L899&lt;=59,"Middle-Aged",
L899&gt;=60,"Seniors"
)</f>
        <v>Young Adults</v>
      </c>
      <c r="N899" t="s">
        <v>20</v>
      </c>
    </row>
    <row r="900" spans="1:14" x14ac:dyDescent="0.3">
      <c r="A900">
        <v>18066</v>
      </c>
      <c r="B900" t="s">
        <v>40</v>
      </c>
      <c r="C900" t="s">
        <v>39</v>
      </c>
      <c r="D900" s="3">
        <v>70000</v>
      </c>
      <c r="E900">
        <v>5</v>
      </c>
      <c r="F900" t="s">
        <v>15</v>
      </c>
      <c r="G900" t="s">
        <v>31</v>
      </c>
      <c r="H900" t="s">
        <v>17</v>
      </c>
      <c r="I900">
        <v>3</v>
      </c>
      <c r="J900" t="s">
        <v>41</v>
      </c>
      <c r="K900" t="s">
        <v>35</v>
      </c>
      <c r="L900">
        <v>60</v>
      </c>
      <c r="M900" t="str" cm="1">
        <f t="array" ref="M900">_xlfn.IFS(
L900&lt;=12,"Children",
L900&lt;=19,"Teens",
L900&lt;=29,"Young Adults",
L900&lt;=39,"Adults",
L900&lt;=59,"Middle-Aged",
L900&gt;=60,"Seniors"
)</f>
        <v>Seniors</v>
      </c>
      <c r="N900" t="s">
        <v>17</v>
      </c>
    </row>
    <row r="901" spans="1:14" x14ac:dyDescent="0.3">
      <c r="A901">
        <v>28192</v>
      </c>
      <c r="B901" t="s">
        <v>37</v>
      </c>
      <c r="C901" t="s">
        <v>38</v>
      </c>
      <c r="D901" s="3">
        <v>70000</v>
      </c>
      <c r="E901">
        <v>5</v>
      </c>
      <c r="F901" t="s">
        <v>34</v>
      </c>
      <c r="G901" t="s">
        <v>23</v>
      </c>
      <c r="H901" t="s">
        <v>17</v>
      </c>
      <c r="I901">
        <v>3</v>
      </c>
      <c r="J901" t="s">
        <v>41</v>
      </c>
      <c r="K901" t="s">
        <v>35</v>
      </c>
      <c r="L901">
        <v>46</v>
      </c>
      <c r="M901" t="str" cm="1">
        <f t="array" ref="M901">_xlfn.IFS(
L901&lt;=12,"Children",
L901&lt;=19,"Teens",
L901&lt;=29,"Young Adults",
L901&lt;=39,"Adults",
L901&lt;=59,"Middle-Aged",
L901&gt;=60,"Seniors"
)</f>
        <v>Middle-Aged</v>
      </c>
      <c r="N901" t="s">
        <v>20</v>
      </c>
    </row>
    <row r="902" spans="1:14" x14ac:dyDescent="0.3">
      <c r="A902">
        <v>16122</v>
      </c>
      <c r="B902" t="s">
        <v>37</v>
      </c>
      <c r="C902" t="s">
        <v>39</v>
      </c>
      <c r="D902" s="3">
        <v>40000</v>
      </c>
      <c r="E902">
        <v>4</v>
      </c>
      <c r="F902" t="s">
        <v>30</v>
      </c>
      <c r="G902" t="s">
        <v>16</v>
      </c>
      <c r="H902" t="s">
        <v>17</v>
      </c>
      <c r="I902">
        <v>2</v>
      </c>
      <c r="J902" t="s">
        <v>18</v>
      </c>
      <c r="K902" t="s">
        <v>35</v>
      </c>
      <c r="L902">
        <v>44</v>
      </c>
      <c r="M902" t="str" cm="1">
        <f t="array" ref="M902">_xlfn.IFS(
L902&lt;=12,"Children",
L902&lt;=19,"Teens",
L902&lt;=29,"Young Adults",
L902&lt;=39,"Adults",
L902&lt;=59,"Middle-Aged",
L902&gt;=60,"Seniors"
)</f>
        <v>Middle-Aged</v>
      </c>
      <c r="N902" t="s">
        <v>17</v>
      </c>
    </row>
    <row r="903" spans="1:14" x14ac:dyDescent="0.3">
      <c r="A903">
        <v>18607</v>
      </c>
      <c r="B903" t="s">
        <v>40</v>
      </c>
      <c r="C903" t="s">
        <v>38</v>
      </c>
      <c r="D903" s="3">
        <v>60000</v>
      </c>
      <c r="E903">
        <v>4</v>
      </c>
      <c r="F903" t="s">
        <v>15</v>
      </c>
      <c r="G903" t="s">
        <v>16</v>
      </c>
      <c r="H903" t="s">
        <v>17</v>
      </c>
      <c r="I903">
        <v>2</v>
      </c>
      <c r="J903" t="s">
        <v>24</v>
      </c>
      <c r="K903" t="s">
        <v>35</v>
      </c>
      <c r="L903">
        <v>42</v>
      </c>
      <c r="M903" t="str" cm="1">
        <f t="array" ref="M903">_xlfn.IFS(
L903&lt;=12,"Children",
L903&lt;=19,"Teens",
L903&lt;=29,"Young Adults",
L903&lt;=39,"Adults",
L903&lt;=59,"Middle-Aged",
L903&gt;=60,"Seniors"
)</f>
        <v>Middle-Aged</v>
      </c>
      <c r="N903" t="s">
        <v>17</v>
      </c>
    </row>
    <row r="904" spans="1:14" x14ac:dyDescent="0.3">
      <c r="A904">
        <v>28858</v>
      </c>
      <c r="B904" t="s">
        <v>40</v>
      </c>
      <c r="C904" t="s">
        <v>39</v>
      </c>
      <c r="D904" s="3">
        <v>80000</v>
      </c>
      <c r="E904">
        <v>3</v>
      </c>
      <c r="F904" t="s">
        <v>15</v>
      </c>
      <c r="G904" t="s">
        <v>16</v>
      </c>
      <c r="H904" t="s">
        <v>17</v>
      </c>
      <c r="I904">
        <v>0</v>
      </c>
      <c r="J904" t="s">
        <v>24</v>
      </c>
      <c r="K904" t="s">
        <v>35</v>
      </c>
      <c r="L904">
        <v>40</v>
      </c>
      <c r="M904" t="str" cm="1">
        <f t="array" ref="M904">_xlfn.IFS(
L904&lt;=12,"Children",
L904&lt;=19,"Teens",
L904&lt;=29,"Young Adults",
L904&lt;=39,"Adults",
L904&lt;=59,"Middle-Aged",
L904&gt;=60,"Seniors"
)</f>
        <v>Middle-Aged</v>
      </c>
      <c r="N904" t="s">
        <v>20</v>
      </c>
    </row>
    <row r="905" spans="1:14" x14ac:dyDescent="0.3">
      <c r="A905">
        <v>14432</v>
      </c>
      <c r="B905" t="s">
        <v>40</v>
      </c>
      <c r="C905" t="s">
        <v>39</v>
      </c>
      <c r="D905" s="3">
        <v>90000</v>
      </c>
      <c r="E905">
        <v>4</v>
      </c>
      <c r="F905" t="s">
        <v>34</v>
      </c>
      <c r="G905" t="s">
        <v>31</v>
      </c>
      <c r="H905" t="s">
        <v>17</v>
      </c>
      <c r="I905">
        <v>1</v>
      </c>
      <c r="J905" t="s">
        <v>26</v>
      </c>
      <c r="K905" t="s">
        <v>35</v>
      </c>
      <c r="L905">
        <v>73</v>
      </c>
      <c r="M905" t="str" cm="1">
        <f t="array" ref="M905">_xlfn.IFS(
L905&lt;=12,"Children",
L905&lt;=19,"Teens",
L905&lt;=29,"Young Adults",
L905&lt;=39,"Adults",
L905&lt;=59,"Middle-Aged",
L905&gt;=60,"Seniors"
)</f>
        <v>Seniors</v>
      </c>
      <c r="N905" t="s">
        <v>20</v>
      </c>
    </row>
    <row r="906" spans="1:14" x14ac:dyDescent="0.3">
      <c r="A906">
        <v>26305</v>
      </c>
      <c r="B906" t="s">
        <v>40</v>
      </c>
      <c r="C906" t="s">
        <v>38</v>
      </c>
      <c r="D906" s="3">
        <v>60000</v>
      </c>
      <c r="E906">
        <v>2</v>
      </c>
      <c r="F906" t="s">
        <v>15</v>
      </c>
      <c r="G906" t="s">
        <v>16</v>
      </c>
      <c r="H906" t="s">
        <v>20</v>
      </c>
      <c r="I906">
        <v>0</v>
      </c>
      <c r="J906" t="s">
        <v>18</v>
      </c>
      <c r="K906" t="s">
        <v>35</v>
      </c>
      <c r="L906">
        <v>36</v>
      </c>
      <c r="M906" t="str" cm="1">
        <f t="array" ref="M906">_xlfn.IFS(
L906&lt;=12,"Children",
L906&lt;=19,"Teens",
L906&lt;=29,"Young Adults",
L906&lt;=39,"Adults",
L906&lt;=59,"Middle-Aged",
L906&gt;=60,"Seniors"
)</f>
        <v>Adults</v>
      </c>
      <c r="N906" t="s">
        <v>17</v>
      </c>
    </row>
    <row r="907" spans="1:14" x14ac:dyDescent="0.3">
      <c r="A907">
        <v>22050</v>
      </c>
      <c r="B907" t="s">
        <v>40</v>
      </c>
      <c r="C907" t="s">
        <v>39</v>
      </c>
      <c r="D907" s="3">
        <v>90000</v>
      </c>
      <c r="E907">
        <v>4</v>
      </c>
      <c r="F907" t="s">
        <v>15</v>
      </c>
      <c r="G907" t="s">
        <v>31</v>
      </c>
      <c r="H907" t="s">
        <v>17</v>
      </c>
      <c r="I907">
        <v>1</v>
      </c>
      <c r="J907" t="s">
        <v>29</v>
      </c>
      <c r="K907" t="s">
        <v>35</v>
      </c>
      <c r="L907">
        <v>38</v>
      </c>
      <c r="M907" t="str" cm="1">
        <f t="array" ref="M907">_xlfn.IFS(
L907&lt;=12,"Children",
L907&lt;=19,"Teens",
L907&lt;=29,"Young Adults",
L907&lt;=39,"Adults",
L907&lt;=59,"Middle-Aged",
L907&gt;=60,"Seniors"
)</f>
        <v>Adults</v>
      </c>
      <c r="N907" t="s">
        <v>17</v>
      </c>
    </row>
    <row r="908" spans="1:14" x14ac:dyDescent="0.3">
      <c r="A908">
        <v>25394</v>
      </c>
      <c r="B908" t="s">
        <v>37</v>
      </c>
      <c r="C908" t="s">
        <v>39</v>
      </c>
      <c r="D908" s="3">
        <v>60000</v>
      </c>
      <c r="E908">
        <v>1</v>
      </c>
      <c r="F908" t="s">
        <v>34</v>
      </c>
      <c r="G908" t="s">
        <v>23</v>
      </c>
      <c r="H908" t="s">
        <v>17</v>
      </c>
      <c r="I908">
        <v>0</v>
      </c>
      <c r="J908" t="s">
        <v>24</v>
      </c>
      <c r="K908" t="s">
        <v>35</v>
      </c>
      <c r="L908">
        <v>34</v>
      </c>
      <c r="M908" t="str" cm="1">
        <f t="array" ref="M908">_xlfn.IFS(
L908&lt;=12,"Children",
L908&lt;=19,"Teens",
L908&lt;=29,"Young Adults",
L908&lt;=39,"Adults",
L908&lt;=59,"Middle-Aged",
L908&gt;=60,"Seniors"
)</f>
        <v>Adults</v>
      </c>
      <c r="N908" t="s">
        <v>17</v>
      </c>
    </row>
    <row r="909" spans="1:14" x14ac:dyDescent="0.3">
      <c r="A909">
        <v>19747</v>
      </c>
      <c r="B909" t="s">
        <v>37</v>
      </c>
      <c r="C909" t="s">
        <v>39</v>
      </c>
      <c r="D909" s="3">
        <v>50000</v>
      </c>
      <c r="E909">
        <v>4</v>
      </c>
      <c r="F909" t="s">
        <v>15</v>
      </c>
      <c r="G909" t="s">
        <v>31</v>
      </c>
      <c r="H909" t="s">
        <v>17</v>
      </c>
      <c r="I909">
        <v>2</v>
      </c>
      <c r="J909" t="s">
        <v>41</v>
      </c>
      <c r="K909" t="s">
        <v>35</v>
      </c>
      <c r="L909">
        <v>63</v>
      </c>
      <c r="M909" t="str" cm="1">
        <f t="array" ref="M909">_xlfn.IFS(
L909&lt;=12,"Children",
L909&lt;=19,"Teens",
L909&lt;=29,"Young Adults",
L909&lt;=39,"Adults",
L909&lt;=59,"Middle-Aged",
L909&gt;=60,"Seniors"
)</f>
        <v>Seniors</v>
      </c>
      <c r="N909" t="s">
        <v>20</v>
      </c>
    </row>
    <row r="910" spans="1:14" x14ac:dyDescent="0.3">
      <c r="A910">
        <v>23195</v>
      </c>
      <c r="B910" t="s">
        <v>40</v>
      </c>
      <c r="C910" t="s">
        <v>39</v>
      </c>
      <c r="D910" s="3">
        <v>50000</v>
      </c>
      <c r="E910">
        <v>3</v>
      </c>
      <c r="F910" t="s">
        <v>15</v>
      </c>
      <c r="G910" t="s">
        <v>16</v>
      </c>
      <c r="H910" t="s">
        <v>17</v>
      </c>
      <c r="I910">
        <v>2</v>
      </c>
      <c r="J910" t="s">
        <v>24</v>
      </c>
      <c r="K910" t="s">
        <v>35</v>
      </c>
      <c r="L910">
        <v>41</v>
      </c>
      <c r="M910" t="str" cm="1">
        <f t="array" ref="M910">_xlfn.IFS(
L910&lt;=12,"Children",
L910&lt;=19,"Teens",
L910&lt;=29,"Young Adults",
L910&lt;=39,"Adults",
L910&lt;=59,"Middle-Aged",
L910&gt;=60,"Seniors"
)</f>
        <v>Middle-Aged</v>
      </c>
      <c r="N910" t="s">
        <v>17</v>
      </c>
    </row>
    <row r="911" spans="1:14" x14ac:dyDescent="0.3">
      <c r="A911">
        <v>21695</v>
      </c>
      <c r="B911" t="s">
        <v>37</v>
      </c>
      <c r="C911" t="s">
        <v>39</v>
      </c>
      <c r="D911" s="3">
        <v>60000</v>
      </c>
      <c r="E911">
        <v>0</v>
      </c>
      <c r="F911" t="s">
        <v>34</v>
      </c>
      <c r="G911" t="s">
        <v>16</v>
      </c>
      <c r="H911" t="s">
        <v>17</v>
      </c>
      <c r="I911">
        <v>0</v>
      </c>
      <c r="J911" t="s">
        <v>29</v>
      </c>
      <c r="K911" t="s">
        <v>35</v>
      </c>
      <c r="L911">
        <v>39</v>
      </c>
      <c r="M911" t="str" cm="1">
        <f t="array" ref="M911">_xlfn.IFS(
L911&lt;=12,"Children",
L911&lt;=19,"Teens",
L911&lt;=29,"Young Adults",
L911&lt;=39,"Adults",
L911&lt;=59,"Middle-Aged",
L911&gt;=60,"Seniors"
)</f>
        <v>Adults</v>
      </c>
      <c r="N911" t="s">
        <v>17</v>
      </c>
    </row>
    <row r="912" spans="1:14" x14ac:dyDescent="0.3">
      <c r="A912">
        <v>13934</v>
      </c>
      <c r="B912" t="s">
        <v>37</v>
      </c>
      <c r="C912" t="s">
        <v>39</v>
      </c>
      <c r="D912" s="3">
        <v>40000</v>
      </c>
      <c r="E912">
        <v>4</v>
      </c>
      <c r="F912" t="s">
        <v>30</v>
      </c>
      <c r="G912" t="s">
        <v>16</v>
      </c>
      <c r="H912" t="s">
        <v>17</v>
      </c>
      <c r="I912">
        <v>2</v>
      </c>
      <c r="J912" t="s">
        <v>24</v>
      </c>
      <c r="K912" t="s">
        <v>35</v>
      </c>
      <c r="L912">
        <v>46</v>
      </c>
      <c r="M912" t="str" cm="1">
        <f t="array" ref="M912">_xlfn.IFS(
L912&lt;=12,"Children",
L912&lt;=19,"Teens",
L912&lt;=29,"Young Adults",
L912&lt;=39,"Adults",
L912&lt;=59,"Middle-Aged",
L912&gt;=60,"Seniors"
)</f>
        <v>Middle-Aged</v>
      </c>
      <c r="N912" t="s">
        <v>20</v>
      </c>
    </row>
    <row r="913" spans="1:14" x14ac:dyDescent="0.3">
      <c r="A913">
        <v>13337</v>
      </c>
      <c r="B913" t="s">
        <v>37</v>
      </c>
      <c r="C913" t="s">
        <v>38</v>
      </c>
      <c r="D913" s="3">
        <v>80000</v>
      </c>
      <c r="E913">
        <v>5</v>
      </c>
      <c r="F913" t="s">
        <v>15</v>
      </c>
      <c r="G913" t="s">
        <v>31</v>
      </c>
      <c r="H913" t="s">
        <v>17</v>
      </c>
      <c r="I913">
        <v>2</v>
      </c>
      <c r="J913" t="s">
        <v>26</v>
      </c>
      <c r="K913" t="s">
        <v>35</v>
      </c>
      <c r="L913">
        <v>64</v>
      </c>
      <c r="M913" t="str" cm="1">
        <f t="array" ref="M913">_xlfn.IFS(
L913&lt;=12,"Children",
L913&lt;=19,"Teens",
L913&lt;=29,"Young Adults",
L913&lt;=39,"Adults",
L913&lt;=59,"Middle-Aged",
L913&gt;=60,"Seniors"
)</f>
        <v>Seniors</v>
      </c>
      <c r="N913" t="s">
        <v>20</v>
      </c>
    </row>
    <row r="914" spans="1:14" x14ac:dyDescent="0.3">
      <c r="A914">
        <v>27190</v>
      </c>
      <c r="B914" t="s">
        <v>37</v>
      </c>
      <c r="C914" t="s">
        <v>38</v>
      </c>
      <c r="D914" s="3">
        <v>40000</v>
      </c>
      <c r="E914">
        <v>3</v>
      </c>
      <c r="F914" t="s">
        <v>21</v>
      </c>
      <c r="G914" t="s">
        <v>22</v>
      </c>
      <c r="H914" t="s">
        <v>17</v>
      </c>
      <c r="I914">
        <v>1</v>
      </c>
      <c r="J914" t="s">
        <v>29</v>
      </c>
      <c r="K914" t="s">
        <v>35</v>
      </c>
      <c r="L914">
        <v>32</v>
      </c>
      <c r="M914" t="str" cm="1">
        <f t="array" ref="M914">_xlfn.IFS(
L914&lt;=12,"Children",
L914&lt;=19,"Teens",
L914&lt;=29,"Young Adults",
L914&lt;=39,"Adults",
L914&lt;=59,"Middle-Aged",
L914&gt;=60,"Seniors"
)</f>
        <v>Adults</v>
      </c>
      <c r="N914" t="s">
        <v>20</v>
      </c>
    </row>
    <row r="915" spans="1:14" x14ac:dyDescent="0.3">
      <c r="A915">
        <v>28657</v>
      </c>
      <c r="B915" t="s">
        <v>40</v>
      </c>
      <c r="C915" t="s">
        <v>39</v>
      </c>
      <c r="D915" s="3">
        <v>60000</v>
      </c>
      <c r="E915">
        <v>2</v>
      </c>
      <c r="F915" t="s">
        <v>15</v>
      </c>
      <c r="G915" t="s">
        <v>16</v>
      </c>
      <c r="H915" t="s">
        <v>17</v>
      </c>
      <c r="I915">
        <v>0</v>
      </c>
      <c r="J915" t="s">
        <v>24</v>
      </c>
      <c r="K915" t="s">
        <v>35</v>
      </c>
      <c r="L915">
        <v>36</v>
      </c>
      <c r="M915" t="str" cm="1">
        <f t="array" ref="M915">_xlfn.IFS(
L915&lt;=12,"Children",
L915&lt;=19,"Teens",
L915&lt;=29,"Young Adults",
L915&lt;=39,"Adults",
L915&lt;=59,"Middle-Aged",
L915&gt;=60,"Seniors"
)</f>
        <v>Adults</v>
      </c>
      <c r="N915" t="s">
        <v>17</v>
      </c>
    </row>
    <row r="916" spans="1:14" x14ac:dyDescent="0.3">
      <c r="A916">
        <v>21713</v>
      </c>
      <c r="B916" t="s">
        <v>40</v>
      </c>
      <c r="C916" t="s">
        <v>39</v>
      </c>
      <c r="D916" s="3">
        <v>80000</v>
      </c>
      <c r="E916">
        <v>5</v>
      </c>
      <c r="F916" t="s">
        <v>34</v>
      </c>
      <c r="G916" t="s">
        <v>16</v>
      </c>
      <c r="H916" t="s">
        <v>20</v>
      </c>
      <c r="I916">
        <v>0</v>
      </c>
      <c r="J916" t="s">
        <v>18</v>
      </c>
      <c r="K916" t="s">
        <v>35</v>
      </c>
      <c r="L916">
        <v>47</v>
      </c>
      <c r="M916" t="str" cm="1">
        <f t="array" ref="M916">_xlfn.IFS(
L916&lt;=12,"Children",
L916&lt;=19,"Teens",
L916&lt;=29,"Young Adults",
L916&lt;=39,"Adults",
L916&lt;=59,"Middle-Aged",
L916&gt;=60,"Seniors"
)</f>
        <v>Middle-Aged</v>
      </c>
      <c r="N916" t="s">
        <v>20</v>
      </c>
    </row>
    <row r="917" spans="1:14" x14ac:dyDescent="0.3">
      <c r="A917">
        <v>21752</v>
      </c>
      <c r="B917" t="s">
        <v>37</v>
      </c>
      <c r="C917" t="s">
        <v>39</v>
      </c>
      <c r="D917" s="3">
        <v>60000</v>
      </c>
      <c r="E917">
        <v>3</v>
      </c>
      <c r="F917" t="s">
        <v>34</v>
      </c>
      <c r="G917" t="s">
        <v>31</v>
      </c>
      <c r="H917" t="s">
        <v>17</v>
      </c>
      <c r="I917">
        <v>2</v>
      </c>
      <c r="J917" t="s">
        <v>41</v>
      </c>
      <c r="K917" t="s">
        <v>35</v>
      </c>
      <c r="L917">
        <v>64</v>
      </c>
      <c r="M917" t="str" cm="1">
        <f t="array" ref="M917">_xlfn.IFS(
L917&lt;=12,"Children",
L917&lt;=19,"Teens",
L917&lt;=29,"Young Adults",
L917&lt;=39,"Adults",
L917&lt;=59,"Middle-Aged",
L917&gt;=60,"Seniors"
)</f>
        <v>Seniors</v>
      </c>
      <c r="N917" t="s">
        <v>20</v>
      </c>
    </row>
    <row r="918" spans="1:14" x14ac:dyDescent="0.3">
      <c r="A918">
        <v>27273</v>
      </c>
      <c r="B918" t="s">
        <v>40</v>
      </c>
      <c r="C918" t="s">
        <v>39</v>
      </c>
      <c r="D918" s="3">
        <v>70000</v>
      </c>
      <c r="E918">
        <v>3</v>
      </c>
      <c r="F918" t="s">
        <v>34</v>
      </c>
      <c r="G918" t="s">
        <v>23</v>
      </c>
      <c r="H918" t="s">
        <v>20</v>
      </c>
      <c r="I918">
        <v>0</v>
      </c>
      <c r="J918" t="s">
        <v>18</v>
      </c>
      <c r="K918" t="s">
        <v>35</v>
      </c>
      <c r="L918">
        <v>35</v>
      </c>
      <c r="M918" t="str" cm="1">
        <f t="array" ref="M918">_xlfn.IFS(
L918&lt;=12,"Children",
L918&lt;=19,"Teens",
L918&lt;=29,"Young Adults",
L918&lt;=39,"Adults",
L918&lt;=59,"Middle-Aged",
L918&gt;=60,"Seniors"
)</f>
        <v>Adults</v>
      </c>
      <c r="N918" t="s">
        <v>17</v>
      </c>
    </row>
    <row r="919" spans="1:14" x14ac:dyDescent="0.3">
      <c r="A919">
        <v>22719</v>
      </c>
      <c r="B919" t="s">
        <v>40</v>
      </c>
      <c r="C919" t="s">
        <v>39</v>
      </c>
      <c r="D919" s="3">
        <v>110000</v>
      </c>
      <c r="E919">
        <v>3</v>
      </c>
      <c r="F919" t="s">
        <v>15</v>
      </c>
      <c r="G919" t="s">
        <v>31</v>
      </c>
      <c r="H919" t="s">
        <v>17</v>
      </c>
      <c r="I919">
        <v>4</v>
      </c>
      <c r="J919" t="s">
        <v>24</v>
      </c>
      <c r="K919" t="s">
        <v>35</v>
      </c>
      <c r="L919">
        <v>40</v>
      </c>
      <c r="M919" t="str" cm="1">
        <f t="array" ref="M919">_xlfn.IFS(
L919&lt;=12,"Children",
L919&lt;=19,"Teens",
L919&lt;=29,"Young Adults",
L919&lt;=39,"Adults",
L919&lt;=59,"Middle-Aged",
L919&gt;=60,"Seniors"
)</f>
        <v>Middle-Aged</v>
      </c>
      <c r="N919" t="s">
        <v>17</v>
      </c>
    </row>
    <row r="920" spans="1:14" x14ac:dyDescent="0.3">
      <c r="A920">
        <v>22042</v>
      </c>
      <c r="B920" t="s">
        <v>37</v>
      </c>
      <c r="C920" t="s">
        <v>38</v>
      </c>
      <c r="D920" s="3">
        <v>70000</v>
      </c>
      <c r="E920">
        <v>0</v>
      </c>
      <c r="F920" t="s">
        <v>21</v>
      </c>
      <c r="G920" t="s">
        <v>16</v>
      </c>
      <c r="H920" t="s">
        <v>17</v>
      </c>
      <c r="I920">
        <v>2</v>
      </c>
      <c r="J920" t="s">
        <v>26</v>
      </c>
      <c r="K920" t="s">
        <v>35</v>
      </c>
      <c r="L920">
        <v>34</v>
      </c>
      <c r="M920" t="str" cm="1">
        <f t="array" ref="M920">_xlfn.IFS(
L920&lt;=12,"Children",
L920&lt;=19,"Teens",
L920&lt;=29,"Young Adults",
L920&lt;=39,"Adults",
L920&lt;=59,"Middle-Aged",
L920&gt;=60,"Seniors"
)</f>
        <v>Adults</v>
      </c>
      <c r="N920" t="s">
        <v>17</v>
      </c>
    </row>
    <row r="921" spans="1:14" x14ac:dyDescent="0.3">
      <c r="A921">
        <v>21451</v>
      </c>
      <c r="B921" t="s">
        <v>37</v>
      </c>
      <c r="C921" t="s">
        <v>38</v>
      </c>
      <c r="D921" s="3">
        <v>40000</v>
      </c>
      <c r="E921">
        <v>4</v>
      </c>
      <c r="F921" t="s">
        <v>30</v>
      </c>
      <c r="G921" t="s">
        <v>23</v>
      </c>
      <c r="H921" t="s">
        <v>17</v>
      </c>
      <c r="I921">
        <v>2</v>
      </c>
      <c r="J921" t="s">
        <v>41</v>
      </c>
      <c r="K921" t="s">
        <v>35</v>
      </c>
      <c r="L921">
        <v>61</v>
      </c>
      <c r="M921" t="str" cm="1">
        <f t="array" ref="M921">_xlfn.IFS(
L921&lt;=12,"Children",
L921&lt;=19,"Teens",
L921&lt;=29,"Young Adults",
L921&lt;=39,"Adults",
L921&lt;=59,"Middle-Aged",
L921&gt;=60,"Seniors"
)</f>
        <v>Seniors</v>
      </c>
      <c r="N921" t="s">
        <v>20</v>
      </c>
    </row>
    <row r="922" spans="1:14" x14ac:dyDescent="0.3">
      <c r="A922">
        <v>20754</v>
      </c>
      <c r="B922" t="s">
        <v>37</v>
      </c>
      <c r="C922" t="s">
        <v>39</v>
      </c>
      <c r="D922" s="3">
        <v>30000</v>
      </c>
      <c r="E922">
        <v>2</v>
      </c>
      <c r="F922" t="s">
        <v>30</v>
      </c>
      <c r="G922" t="s">
        <v>16</v>
      </c>
      <c r="H922" t="s">
        <v>17</v>
      </c>
      <c r="I922">
        <v>2</v>
      </c>
      <c r="J922" t="s">
        <v>29</v>
      </c>
      <c r="K922" t="s">
        <v>35</v>
      </c>
      <c r="L922">
        <v>51</v>
      </c>
      <c r="M922" t="str" cm="1">
        <f t="array" ref="M922">_xlfn.IFS(
L922&lt;=12,"Children",
L922&lt;=19,"Teens",
L922&lt;=29,"Young Adults",
L922&lt;=39,"Adults",
L922&lt;=59,"Middle-Aged",
L922&gt;=60,"Seniors"
)</f>
        <v>Middle-Aged</v>
      </c>
      <c r="N922" t="s">
        <v>20</v>
      </c>
    </row>
    <row r="923" spans="1:14" x14ac:dyDescent="0.3">
      <c r="A923">
        <v>12153</v>
      </c>
      <c r="B923" t="s">
        <v>40</v>
      </c>
      <c r="C923" t="s">
        <v>38</v>
      </c>
      <c r="D923" s="3">
        <v>70000</v>
      </c>
      <c r="E923">
        <v>3</v>
      </c>
      <c r="F923" t="s">
        <v>21</v>
      </c>
      <c r="G923" t="s">
        <v>23</v>
      </c>
      <c r="H923" t="s">
        <v>17</v>
      </c>
      <c r="I923">
        <v>1</v>
      </c>
      <c r="J923" t="s">
        <v>26</v>
      </c>
      <c r="K923" t="s">
        <v>35</v>
      </c>
      <c r="L923">
        <v>49</v>
      </c>
      <c r="M923" t="str" cm="1">
        <f t="array" ref="M923">_xlfn.IFS(
L923&lt;=12,"Children",
L923&lt;=19,"Teens",
L923&lt;=29,"Young Adults",
L923&lt;=39,"Adults",
L923&lt;=59,"Middle-Aged",
L923&gt;=60,"Seniors"
)</f>
        <v>Middle-Aged</v>
      </c>
      <c r="N923" t="s">
        <v>17</v>
      </c>
    </row>
    <row r="924" spans="1:14" x14ac:dyDescent="0.3">
      <c r="A924">
        <v>16895</v>
      </c>
      <c r="B924" t="s">
        <v>37</v>
      </c>
      <c r="C924" t="s">
        <v>38</v>
      </c>
      <c r="D924" s="3">
        <v>40000</v>
      </c>
      <c r="E924">
        <v>3</v>
      </c>
      <c r="F924" t="s">
        <v>21</v>
      </c>
      <c r="G924" t="s">
        <v>23</v>
      </c>
      <c r="H924" t="s">
        <v>20</v>
      </c>
      <c r="I924">
        <v>2</v>
      </c>
      <c r="J924" t="s">
        <v>29</v>
      </c>
      <c r="K924" t="s">
        <v>35</v>
      </c>
      <c r="L924">
        <v>54</v>
      </c>
      <c r="M924" t="str" cm="1">
        <f t="array" ref="M924">_xlfn.IFS(
L924&lt;=12,"Children",
L924&lt;=19,"Teens",
L924&lt;=29,"Young Adults",
L924&lt;=39,"Adults",
L924&lt;=59,"Middle-Aged",
L924&gt;=60,"Seniors"
)</f>
        <v>Middle-Aged</v>
      </c>
      <c r="N924" t="s">
        <v>17</v>
      </c>
    </row>
    <row r="925" spans="1:14" x14ac:dyDescent="0.3">
      <c r="A925">
        <v>26728</v>
      </c>
      <c r="B925" t="s">
        <v>40</v>
      </c>
      <c r="C925" t="s">
        <v>39</v>
      </c>
      <c r="D925" s="3">
        <v>70000</v>
      </c>
      <c r="E925">
        <v>3</v>
      </c>
      <c r="F925" t="s">
        <v>34</v>
      </c>
      <c r="G925" t="s">
        <v>31</v>
      </c>
      <c r="H925" t="s">
        <v>20</v>
      </c>
      <c r="I925">
        <v>2</v>
      </c>
      <c r="J925" t="s">
        <v>29</v>
      </c>
      <c r="K925" t="s">
        <v>35</v>
      </c>
      <c r="L925">
        <v>53</v>
      </c>
      <c r="M925" t="str" cm="1">
        <f t="array" ref="M925">_xlfn.IFS(
L925&lt;=12,"Children",
L925&lt;=19,"Teens",
L925&lt;=29,"Young Adults",
L925&lt;=39,"Adults",
L925&lt;=59,"Middle-Aged",
L925&gt;=60,"Seniors"
)</f>
        <v>Middle-Aged</v>
      </c>
      <c r="N925" t="s">
        <v>17</v>
      </c>
    </row>
    <row r="926" spans="1:14" x14ac:dyDescent="0.3">
      <c r="A926">
        <v>11090</v>
      </c>
      <c r="B926" t="s">
        <v>40</v>
      </c>
      <c r="C926" t="s">
        <v>39</v>
      </c>
      <c r="D926" s="3">
        <v>90000</v>
      </c>
      <c r="E926">
        <v>2</v>
      </c>
      <c r="F926" t="s">
        <v>21</v>
      </c>
      <c r="G926" t="s">
        <v>23</v>
      </c>
      <c r="H926" t="s">
        <v>17</v>
      </c>
      <c r="I926">
        <v>1</v>
      </c>
      <c r="J926" t="s">
        <v>24</v>
      </c>
      <c r="K926" t="s">
        <v>35</v>
      </c>
      <c r="L926">
        <v>48</v>
      </c>
      <c r="M926" t="str" cm="1">
        <f t="array" ref="M926">_xlfn.IFS(
L926&lt;=12,"Children",
L926&lt;=19,"Teens",
L926&lt;=29,"Young Adults",
L926&lt;=39,"Adults",
L926&lt;=59,"Middle-Aged",
L926&gt;=60,"Seniors"
)</f>
        <v>Middle-Aged</v>
      </c>
      <c r="N926" t="s">
        <v>17</v>
      </c>
    </row>
    <row r="927" spans="1:14" x14ac:dyDescent="0.3">
      <c r="A927">
        <v>15862</v>
      </c>
      <c r="B927" t="s">
        <v>40</v>
      </c>
      <c r="C927" t="s">
        <v>38</v>
      </c>
      <c r="D927" s="3">
        <v>50000</v>
      </c>
      <c r="E927">
        <v>0</v>
      </c>
      <c r="F927" t="s">
        <v>34</v>
      </c>
      <c r="G927" t="s">
        <v>16</v>
      </c>
      <c r="H927" t="s">
        <v>17</v>
      </c>
      <c r="I927">
        <v>0</v>
      </c>
      <c r="J927" t="s">
        <v>29</v>
      </c>
      <c r="K927" t="s">
        <v>35</v>
      </c>
      <c r="L927">
        <v>33</v>
      </c>
      <c r="M927" t="str" cm="1">
        <f t="array" ref="M927">_xlfn.IFS(
L927&lt;=12,"Children",
L927&lt;=19,"Teens",
L927&lt;=29,"Young Adults",
L927&lt;=39,"Adults",
L927&lt;=59,"Middle-Aged",
L927&gt;=60,"Seniors"
)</f>
        <v>Adults</v>
      </c>
      <c r="N927" t="s">
        <v>17</v>
      </c>
    </row>
    <row r="928" spans="1:14" x14ac:dyDescent="0.3">
      <c r="A928">
        <v>26495</v>
      </c>
      <c r="B928" t="s">
        <v>40</v>
      </c>
      <c r="C928" t="s">
        <v>38</v>
      </c>
      <c r="D928" s="3">
        <v>40000</v>
      </c>
      <c r="E928">
        <v>2</v>
      </c>
      <c r="F928" t="s">
        <v>30</v>
      </c>
      <c r="G928" t="s">
        <v>23</v>
      </c>
      <c r="H928" t="s">
        <v>17</v>
      </c>
      <c r="I928">
        <v>2</v>
      </c>
      <c r="J928" t="s">
        <v>41</v>
      </c>
      <c r="K928" t="s">
        <v>35</v>
      </c>
      <c r="L928">
        <v>57</v>
      </c>
      <c r="M928" t="str" cm="1">
        <f t="array" ref="M928">_xlfn.IFS(
L928&lt;=12,"Children",
L928&lt;=19,"Teens",
L928&lt;=29,"Young Adults",
L928&lt;=39,"Adults",
L928&lt;=59,"Middle-Aged",
L928&gt;=60,"Seniors"
)</f>
        <v>Middle-Aged</v>
      </c>
      <c r="N928" t="s">
        <v>20</v>
      </c>
    </row>
    <row r="929" spans="1:14" x14ac:dyDescent="0.3">
      <c r="A929">
        <v>11823</v>
      </c>
      <c r="B929" t="s">
        <v>37</v>
      </c>
      <c r="C929" t="s">
        <v>38</v>
      </c>
      <c r="D929" s="3">
        <v>70000</v>
      </c>
      <c r="E929">
        <v>0</v>
      </c>
      <c r="F929" t="s">
        <v>34</v>
      </c>
      <c r="G929" t="s">
        <v>23</v>
      </c>
      <c r="H929" t="s">
        <v>17</v>
      </c>
      <c r="I929">
        <v>0</v>
      </c>
      <c r="J929" t="s">
        <v>24</v>
      </c>
      <c r="K929" t="s">
        <v>35</v>
      </c>
      <c r="L929">
        <v>39</v>
      </c>
      <c r="M929" t="str" cm="1">
        <f t="array" ref="M929">_xlfn.IFS(
L929&lt;=12,"Children",
L929&lt;=19,"Teens",
L929&lt;=29,"Young Adults",
L929&lt;=39,"Adults",
L929&lt;=59,"Middle-Aged",
L929&gt;=60,"Seniors"
)</f>
        <v>Adults</v>
      </c>
      <c r="N929" t="s">
        <v>20</v>
      </c>
    </row>
    <row r="930" spans="1:14" x14ac:dyDescent="0.3">
      <c r="A930">
        <v>23449</v>
      </c>
      <c r="B930" t="s">
        <v>37</v>
      </c>
      <c r="C930" t="s">
        <v>39</v>
      </c>
      <c r="D930" s="3">
        <v>60000</v>
      </c>
      <c r="E930">
        <v>2</v>
      </c>
      <c r="F930" t="s">
        <v>30</v>
      </c>
      <c r="G930" t="s">
        <v>23</v>
      </c>
      <c r="H930" t="s">
        <v>17</v>
      </c>
      <c r="I930">
        <v>2</v>
      </c>
      <c r="J930" t="s">
        <v>26</v>
      </c>
      <c r="K930" t="s">
        <v>35</v>
      </c>
      <c r="L930">
        <v>48</v>
      </c>
      <c r="M930" t="str" cm="1">
        <f t="array" ref="M930">_xlfn.IFS(
L930&lt;=12,"Children",
L930&lt;=19,"Teens",
L930&lt;=29,"Young Adults",
L930&lt;=39,"Adults",
L930&lt;=59,"Middle-Aged",
L930&gt;=60,"Seniors"
)</f>
        <v>Middle-Aged</v>
      </c>
      <c r="N930" t="s">
        <v>20</v>
      </c>
    </row>
    <row r="931" spans="1:14" x14ac:dyDescent="0.3">
      <c r="A931">
        <v>23459</v>
      </c>
      <c r="B931" t="s">
        <v>37</v>
      </c>
      <c r="C931" t="s">
        <v>39</v>
      </c>
      <c r="D931" s="3">
        <v>60000</v>
      </c>
      <c r="E931">
        <v>2</v>
      </c>
      <c r="F931" t="s">
        <v>30</v>
      </c>
      <c r="G931" t="s">
        <v>23</v>
      </c>
      <c r="H931" t="s">
        <v>17</v>
      </c>
      <c r="I931">
        <v>2</v>
      </c>
      <c r="J931" t="s">
        <v>26</v>
      </c>
      <c r="K931" t="s">
        <v>35</v>
      </c>
      <c r="L931">
        <v>50</v>
      </c>
      <c r="M931" t="str" cm="1">
        <f t="array" ref="M931">_xlfn.IFS(
L931&lt;=12,"Children",
L931&lt;=19,"Teens",
L931&lt;=29,"Young Adults",
L931&lt;=39,"Adults",
L931&lt;=59,"Middle-Aged",
L931&gt;=60,"Seniors"
)</f>
        <v>Middle-Aged</v>
      </c>
      <c r="N931" t="s">
        <v>20</v>
      </c>
    </row>
    <row r="932" spans="1:14" x14ac:dyDescent="0.3">
      <c r="A932">
        <v>19543</v>
      </c>
      <c r="B932" t="s">
        <v>37</v>
      </c>
      <c r="C932" t="s">
        <v>39</v>
      </c>
      <c r="D932" s="3">
        <v>70000</v>
      </c>
      <c r="E932">
        <v>5</v>
      </c>
      <c r="F932" t="s">
        <v>34</v>
      </c>
      <c r="G932" t="s">
        <v>23</v>
      </c>
      <c r="H932" t="s">
        <v>20</v>
      </c>
      <c r="I932">
        <v>3</v>
      </c>
      <c r="J932" t="s">
        <v>41</v>
      </c>
      <c r="K932" t="s">
        <v>35</v>
      </c>
      <c r="L932">
        <v>47</v>
      </c>
      <c r="M932" t="str" cm="1">
        <f t="array" ref="M932">_xlfn.IFS(
L932&lt;=12,"Children",
L932&lt;=19,"Teens",
L932&lt;=29,"Young Adults",
L932&lt;=39,"Adults",
L932&lt;=59,"Middle-Aged",
L932&gt;=60,"Seniors"
)</f>
        <v>Middle-Aged</v>
      </c>
      <c r="N932" t="s">
        <v>20</v>
      </c>
    </row>
    <row r="933" spans="1:14" x14ac:dyDescent="0.3">
      <c r="A933">
        <v>14914</v>
      </c>
      <c r="B933" t="s">
        <v>37</v>
      </c>
      <c r="C933" t="s">
        <v>38</v>
      </c>
      <c r="D933" s="3">
        <v>40000</v>
      </c>
      <c r="E933">
        <v>1</v>
      </c>
      <c r="F933" t="s">
        <v>21</v>
      </c>
      <c r="G933" t="s">
        <v>22</v>
      </c>
      <c r="H933" t="s">
        <v>17</v>
      </c>
      <c r="I933">
        <v>1</v>
      </c>
      <c r="J933" t="s">
        <v>29</v>
      </c>
      <c r="K933" t="s">
        <v>35</v>
      </c>
      <c r="L933">
        <v>49</v>
      </c>
      <c r="M933" t="str" cm="1">
        <f t="array" ref="M933">_xlfn.IFS(
L933&lt;=12,"Children",
L933&lt;=19,"Teens",
L933&lt;=29,"Young Adults",
L933&lt;=39,"Adults",
L933&lt;=59,"Middle-Aged",
L933&gt;=60,"Seniors"
)</f>
        <v>Middle-Aged</v>
      </c>
      <c r="N933" t="s">
        <v>17</v>
      </c>
    </row>
    <row r="934" spans="1:14" x14ac:dyDescent="0.3">
      <c r="A934">
        <v>12033</v>
      </c>
      <c r="B934" t="s">
        <v>40</v>
      </c>
      <c r="C934" t="s">
        <v>38</v>
      </c>
      <c r="D934" s="3">
        <v>40000</v>
      </c>
      <c r="E934">
        <v>0</v>
      </c>
      <c r="F934" t="s">
        <v>30</v>
      </c>
      <c r="G934" t="s">
        <v>16</v>
      </c>
      <c r="H934" t="s">
        <v>20</v>
      </c>
      <c r="I934">
        <v>2</v>
      </c>
      <c r="J934" t="s">
        <v>18</v>
      </c>
      <c r="K934" t="s">
        <v>35</v>
      </c>
      <c r="L934">
        <v>27</v>
      </c>
      <c r="M934" t="str" cm="1">
        <f t="array" ref="M934">_xlfn.IFS(
L934&lt;=12,"Children",
L934&lt;=19,"Teens",
L934&lt;=29,"Young Adults",
L934&lt;=39,"Adults",
L934&lt;=59,"Middle-Aged",
L934&gt;=60,"Seniors"
)</f>
        <v>Young Adults</v>
      </c>
      <c r="N934" t="s">
        <v>17</v>
      </c>
    </row>
    <row r="935" spans="1:14" x14ac:dyDescent="0.3">
      <c r="A935">
        <v>11941</v>
      </c>
      <c r="B935" t="s">
        <v>40</v>
      </c>
      <c r="C935" t="s">
        <v>39</v>
      </c>
      <c r="D935" s="3">
        <v>60000</v>
      </c>
      <c r="E935">
        <v>0</v>
      </c>
      <c r="F935" t="s">
        <v>21</v>
      </c>
      <c r="G935" t="s">
        <v>16</v>
      </c>
      <c r="H935" t="s">
        <v>17</v>
      </c>
      <c r="I935">
        <v>0</v>
      </c>
      <c r="J935" t="s">
        <v>26</v>
      </c>
      <c r="K935" t="s">
        <v>35</v>
      </c>
      <c r="L935">
        <v>29</v>
      </c>
      <c r="M935" t="str" cm="1">
        <f t="array" ref="M935">_xlfn.IFS(
L935&lt;=12,"Children",
L935&lt;=19,"Teens",
L935&lt;=29,"Young Adults",
L935&lt;=39,"Adults",
L935&lt;=59,"Middle-Aged",
L935&gt;=60,"Seniors"
)</f>
        <v>Young Adults</v>
      </c>
      <c r="N935" t="s">
        <v>20</v>
      </c>
    </row>
    <row r="936" spans="1:14" x14ac:dyDescent="0.3">
      <c r="A936">
        <v>14389</v>
      </c>
      <c r="B936" t="s">
        <v>37</v>
      </c>
      <c r="C936" t="s">
        <v>39</v>
      </c>
      <c r="D936" s="3">
        <v>60000</v>
      </c>
      <c r="E936">
        <v>2</v>
      </c>
      <c r="F936" t="s">
        <v>15</v>
      </c>
      <c r="G936" t="s">
        <v>31</v>
      </c>
      <c r="H936" t="s">
        <v>17</v>
      </c>
      <c r="I936">
        <v>0</v>
      </c>
      <c r="J936" t="s">
        <v>24</v>
      </c>
      <c r="K936" t="s">
        <v>35</v>
      </c>
      <c r="L936">
        <v>59</v>
      </c>
      <c r="M936" t="str" cm="1">
        <f t="array" ref="M936">_xlfn.IFS(
L936&lt;=12,"Children",
L936&lt;=19,"Teens",
L936&lt;=29,"Young Adults",
L936&lt;=39,"Adults",
L936&lt;=59,"Middle-Aged",
L936&gt;=60,"Seniors"
)</f>
        <v>Middle-Aged</v>
      </c>
      <c r="N936" t="s">
        <v>20</v>
      </c>
    </row>
    <row r="937" spans="1:14" x14ac:dyDescent="0.3">
      <c r="A937">
        <v>18050</v>
      </c>
      <c r="B937" t="s">
        <v>37</v>
      </c>
      <c r="C937" t="s">
        <v>38</v>
      </c>
      <c r="D937" s="3">
        <v>60000</v>
      </c>
      <c r="E937">
        <v>1</v>
      </c>
      <c r="F937" t="s">
        <v>21</v>
      </c>
      <c r="G937" t="s">
        <v>16</v>
      </c>
      <c r="H937" t="s">
        <v>17</v>
      </c>
      <c r="I937">
        <v>1</v>
      </c>
      <c r="J937" t="s">
        <v>18</v>
      </c>
      <c r="K937" t="s">
        <v>35</v>
      </c>
      <c r="L937">
        <v>45</v>
      </c>
      <c r="M937" t="str" cm="1">
        <f t="array" ref="M937">_xlfn.IFS(
L937&lt;=12,"Children",
L937&lt;=19,"Teens",
L937&lt;=29,"Young Adults",
L937&lt;=39,"Adults",
L937&lt;=59,"Middle-Aged",
L937&gt;=60,"Seniors"
)</f>
        <v>Middle-Aged</v>
      </c>
      <c r="N937" t="s">
        <v>17</v>
      </c>
    </row>
    <row r="938" spans="1:14" x14ac:dyDescent="0.3">
      <c r="A938">
        <v>19856</v>
      </c>
      <c r="B938" t="s">
        <v>37</v>
      </c>
      <c r="C938" t="s">
        <v>38</v>
      </c>
      <c r="D938" s="3">
        <v>60000</v>
      </c>
      <c r="E938">
        <v>4</v>
      </c>
      <c r="F938" t="s">
        <v>15</v>
      </c>
      <c r="G938" t="s">
        <v>31</v>
      </c>
      <c r="H938" t="s">
        <v>17</v>
      </c>
      <c r="I938">
        <v>2</v>
      </c>
      <c r="J938" t="s">
        <v>24</v>
      </c>
      <c r="K938" t="s">
        <v>35</v>
      </c>
      <c r="L938">
        <v>60</v>
      </c>
      <c r="M938" t="str" cm="1">
        <f t="array" ref="M938">_xlfn.IFS(
L938&lt;=12,"Children",
L938&lt;=19,"Teens",
L938&lt;=29,"Young Adults",
L938&lt;=39,"Adults",
L938&lt;=59,"Middle-Aged",
L938&gt;=60,"Seniors"
)</f>
        <v>Seniors</v>
      </c>
      <c r="N938" t="s">
        <v>20</v>
      </c>
    </row>
    <row r="939" spans="1:14" x14ac:dyDescent="0.3">
      <c r="A939">
        <v>11663</v>
      </c>
      <c r="B939" t="s">
        <v>37</v>
      </c>
      <c r="C939" t="s">
        <v>39</v>
      </c>
      <c r="D939" s="3">
        <v>70000</v>
      </c>
      <c r="E939">
        <v>4</v>
      </c>
      <c r="F939" t="s">
        <v>34</v>
      </c>
      <c r="G939" t="s">
        <v>23</v>
      </c>
      <c r="H939" t="s">
        <v>17</v>
      </c>
      <c r="I939">
        <v>0</v>
      </c>
      <c r="J939" t="s">
        <v>18</v>
      </c>
      <c r="K939" t="s">
        <v>35</v>
      </c>
      <c r="L939">
        <v>36</v>
      </c>
      <c r="M939" t="str" cm="1">
        <f t="array" ref="M939">_xlfn.IFS(
L939&lt;=12,"Children",
L939&lt;=19,"Teens",
L939&lt;=29,"Young Adults",
L939&lt;=39,"Adults",
L939&lt;=59,"Middle-Aged",
L939&gt;=60,"Seniors"
)</f>
        <v>Adults</v>
      </c>
      <c r="N939" t="s">
        <v>17</v>
      </c>
    </row>
    <row r="940" spans="1:14" x14ac:dyDescent="0.3">
      <c r="A940">
        <v>27740</v>
      </c>
      <c r="B940" t="s">
        <v>37</v>
      </c>
      <c r="C940" t="s">
        <v>38</v>
      </c>
      <c r="D940" s="3">
        <v>40000</v>
      </c>
      <c r="E940">
        <v>0</v>
      </c>
      <c r="F940" t="s">
        <v>30</v>
      </c>
      <c r="G940" t="s">
        <v>16</v>
      </c>
      <c r="H940" t="s">
        <v>17</v>
      </c>
      <c r="I940">
        <v>2</v>
      </c>
      <c r="J940" t="s">
        <v>26</v>
      </c>
      <c r="K940" t="s">
        <v>35</v>
      </c>
      <c r="L940">
        <v>27</v>
      </c>
      <c r="M940" t="str" cm="1">
        <f t="array" ref="M940">_xlfn.IFS(
L940&lt;=12,"Children",
L940&lt;=19,"Teens",
L940&lt;=29,"Young Adults",
L940&lt;=39,"Adults",
L940&lt;=59,"Middle-Aged",
L940&gt;=60,"Seniors"
)</f>
        <v>Young Adults</v>
      </c>
      <c r="N940" t="s">
        <v>20</v>
      </c>
    </row>
    <row r="941" spans="1:14" x14ac:dyDescent="0.3">
      <c r="A941">
        <v>23455</v>
      </c>
      <c r="B941" t="s">
        <v>40</v>
      </c>
      <c r="C941" t="s">
        <v>39</v>
      </c>
      <c r="D941" s="3">
        <v>80000</v>
      </c>
      <c r="E941">
        <v>2</v>
      </c>
      <c r="F941" t="s">
        <v>32</v>
      </c>
      <c r="G941" t="s">
        <v>16</v>
      </c>
      <c r="H941" t="s">
        <v>20</v>
      </c>
      <c r="I941">
        <v>2</v>
      </c>
      <c r="J941" t="s">
        <v>29</v>
      </c>
      <c r="K941" t="s">
        <v>35</v>
      </c>
      <c r="L941">
        <v>50</v>
      </c>
      <c r="M941" t="str" cm="1">
        <f t="array" ref="M941">_xlfn.IFS(
L941&lt;=12,"Children",
L941&lt;=19,"Teens",
L941&lt;=29,"Young Adults",
L941&lt;=39,"Adults",
L941&lt;=59,"Middle-Aged",
L941&gt;=60,"Seniors"
)</f>
        <v>Middle-Aged</v>
      </c>
      <c r="N941" t="s">
        <v>20</v>
      </c>
    </row>
    <row r="942" spans="1:14" x14ac:dyDescent="0.3">
      <c r="A942">
        <v>15292</v>
      </c>
      <c r="B942" t="s">
        <v>40</v>
      </c>
      <c r="C942" t="s">
        <v>38</v>
      </c>
      <c r="D942" s="3">
        <v>60000</v>
      </c>
      <c r="E942">
        <v>1</v>
      </c>
      <c r="F942" t="s">
        <v>34</v>
      </c>
      <c r="G942" t="s">
        <v>16</v>
      </c>
      <c r="H942" t="s">
        <v>17</v>
      </c>
      <c r="I942">
        <v>0</v>
      </c>
      <c r="J942" t="s">
        <v>29</v>
      </c>
      <c r="K942" t="s">
        <v>35</v>
      </c>
      <c r="L942">
        <v>35</v>
      </c>
      <c r="M942" t="str" cm="1">
        <f t="array" ref="M942">_xlfn.IFS(
L942&lt;=12,"Children",
L942&lt;=19,"Teens",
L942&lt;=29,"Young Adults",
L942&lt;=39,"Adults",
L942&lt;=59,"Middle-Aged",
L942&gt;=60,"Seniors"
)</f>
        <v>Adults</v>
      </c>
      <c r="N942" t="s">
        <v>20</v>
      </c>
    </row>
    <row r="943" spans="1:14" x14ac:dyDescent="0.3">
      <c r="A943">
        <v>21587</v>
      </c>
      <c r="B943" t="s">
        <v>37</v>
      </c>
      <c r="C943" t="s">
        <v>38</v>
      </c>
      <c r="D943" s="3">
        <v>60000</v>
      </c>
      <c r="E943">
        <v>1</v>
      </c>
      <c r="F943" t="s">
        <v>34</v>
      </c>
      <c r="G943" t="s">
        <v>16</v>
      </c>
      <c r="H943" t="s">
        <v>17</v>
      </c>
      <c r="I943">
        <v>0</v>
      </c>
      <c r="J943" t="s">
        <v>24</v>
      </c>
      <c r="K943" t="s">
        <v>35</v>
      </c>
      <c r="L943">
        <v>34</v>
      </c>
      <c r="M943" t="str" cm="1">
        <f t="array" ref="M943">_xlfn.IFS(
L943&lt;=12,"Children",
L943&lt;=19,"Teens",
L943&lt;=29,"Young Adults",
L943&lt;=39,"Adults",
L943&lt;=59,"Middle-Aged",
L943&gt;=60,"Seniors"
)</f>
        <v>Adults</v>
      </c>
      <c r="N943" t="s">
        <v>17</v>
      </c>
    </row>
    <row r="944" spans="1:14" x14ac:dyDescent="0.3">
      <c r="A944">
        <v>23513</v>
      </c>
      <c r="B944" t="s">
        <v>37</v>
      </c>
      <c r="C944" t="s">
        <v>38</v>
      </c>
      <c r="D944" s="3">
        <v>40000</v>
      </c>
      <c r="E944">
        <v>3</v>
      </c>
      <c r="F944" t="s">
        <v>21</v>
      </c>
      <c r="G944" t="s">
        <v>23</v>
      </c>
      <c r="H944" t="s">
        <v>17</v>
      </c>
      <c r="I944">
        <v>2</v>
      </c>
      <c r="J944" t="s">
        <v>26</v>
      </c>
      <c r="K944" t="s">
        <v>35</v>
      </c>
      <c r="L944">
        <v>54</v>
      </c>
      <c r="M944" t="str" cm="1">
        <f t="array" ref="M944">_xlfn.IFS(
L944&lt;=12,"Children",
L944&lt;=19,"Teens",
L944&lt;=29,"Young Adults",
L944&lt;=39,"Adults",
L944&lt;=59,"Middle-Aged",
L944&gt;=60,"Seniors"
)</f>
        <v>Middle-Aged</v>
      </c>
      <c r="N944" t="s">
        <v>20</v>
      </c>
    </row>
    <row r="945" spans="1:14" x14ac:dyDescent="0.3">
      <c r="A945">
        <v>24322</v>
      </c>
      <c r="B945" t="s">
        <v>37</v>
      </c>
      <c r="C945" t="s">
        <v>38</v>
      </c>
      <c r="D945" s="3">
        <v>60000</v>
      </c>
      <c r="E945">
        <v>4</v>
      </c>
      <c r="F945" t="s">
        <v>15</v>
      </c>
      <c r="G945" t="s">
        <v>16</v>
      </c>
      <c r="H945" t="s">
        <v>20</v>
      </c>
      <c r="I945">
        <v>2</v>
      </c>
      <c r="J945" t="s">
        <v>18</v>
      </c>
      <c r="K945" t="s">
        <v>35</v>
      </c>
      <c r="L945">
        <v>42</v>
      </c>
      <c r="M945" t="str" cm="1">
        <f t="array" ref="M945">_xlfn.IFS(
L945&lt;=12,"Children",
L945&lt;=19,"Teens",
L945&lt;=29,"Young Adults",
L945&lt;=39,"Adults",
L945&lt;=59,"Middle-Aged",
L945&gt;=60,"Seniors"
)</f>
        <v>Middle-Aged</v>
      </c>
      <c r="N945" t="s">
        <v>20</v>
      </c>
    </row>
    <row r="946" spans="1:14" x14ac:dyDescent="0.3">
      <c r="A946">
        <v>26298</v>
      </c>
      <c r="B946" t="s">
        <v>37</v>
      </c>
      <c r="C946" t="s">
        <v>38</v>
      </c>
      <c r="D946" s="3">
        <v>50000</v>
      </c>
      <c r="E946">
        <v>1</v>
      </c>
      <c r="F946" t="s">
        <v>15</v>
      </c>
      <c r="G946" t="s">
        <v>16</v>
      </c>
      <c r="H946" t="s">
        <v>17</v>
      </c>
      <c r="I946">
        <v>0</v>
      </c>
      <c r="J946" t="s">
        <v>24</v>
      </c>
      <c r="K946" t="s">
        <v>35</v>
      </c>
      <c r="L946">
        <v>34</v>
      </c>
      <c r="M946" t="str" cm="1">
        <f t="array" ref="M946">_xlfn.IFS(
L946&lt;=12,"Children",
L946&lt;=19,"Teens",
L946&lt;=29,"Young Adults",
L946&lt;=39,"Adults",
L946&lt;=59,"Middle-Aged",
L946&gt;=60,"Seniors"
)</f>
        <v>Adults</v>
      </c>
      <c r="N946" t="s">
        <v>17</v>
      </c>
    </row>
    <row r="947" spans="1:14" x14ac:dyDescent="0.3">
      <c r="A947">
        <v>25419</v>
      </c>
      <c r="B947" t="s">
        <v>40</v>
      </c>
      <c r="C947" t="s">
        <v>39</v>
      </c>
      <c r="D947" s="3">
        <v>50000</v>
      </c>
      <c r="E947">
        <v>2</v>
      </c>
      <c r="F947" t="s">
        <v>15</v>
      </c>
      <c r="G947" t="s">
        <v>16</v>
      </c>
      <c r="H947" t="s">
        <v>20</v>
      </c>
      <c r="I947">
        <v>1</v>
      </c>
      <c r="J947" t="s">
        <v>18</v>
      </c>
      <c r="K947" t="s">
        <v>35</v>
      </c>
      <c r="L947">
        <v>38</v>
      </c>
      <c r="M947" t="str" cm="1">
        <f t="array" ref="M947">_xlfn.IFS(
L947&lt;=12,"Children",
L947&lt;=19,"Teens",
L947&lt;=29,"Young Adults",
L947&lt;=39,"Adults",
L947&lt;=59,"Middle-Aged",
L947&gt;=60,"Seniors"
)</f>
        <v>Adults</v>
      </c>
      <c r="N947" t="s">
        <v>17</v>
      </c>
    </row>
    <row r="948" spans="1:14" x14ac:dyDescent="0.3">
      <c r="A948">
        <v>13343</v>
      </c>
      <c r="B948" t="s">
        <v>37</v>
      </c>
      <c r="C948" t="s">
        <v>38</v>
      </c>
      <c r="D948" s="3">
        <v>90000</v>
      </c>
      <c r="E948">
        <v>5</v>
      </c>
      <c r="F948" t="s">
        <v>15</v>
      </c>
      <c r="G948" t="s">
        <v>31</v>
      </c>
      <c r="H948" t="s">
        <v>17</v>
      </c>
      <c r="I948">
        <v>2</v>
      </c>
      <c r="J948" t="s">
        <v>29</v>
      </c>
      <c r="K948" t="s">
        <v>35</v>
      </c>
      <c r="L948">
        <v>63</v>
      </c>
      <c r="M948" t="str" cm="1">
        <f t="array" ref="M948">_xlfn.IFS(
L948&lt;=12,"Children",
L948&lt;=19,"Teens",
L948&lt;=29,"Young Adults",
L948&lt;=39,"Adults",
L948&lt;=59,"Middle-Aged",
L948&gt;=60,"Seniors"
)</f>
        <v>Seniors</v>
      </c>
      <c r="N948" t="s">
        <v>17</v>
      </c>
    </row>
    <row r="949" spans="1:14" x14ac:dyDescent="0.3">
      <c r="A949">
        <v>11303</v>
      </c>
      <c r="B949" t="s">
        <v>40</v>
      </c>
      <c r="C949" t="s">
        <v>38</v>
      </c>
      <c r="D949" s="3">
        <v>90000</v>
      </c>
      <c r="E949">
        <v>4</v>
      </c>
      <c r="F949" t="s">
        <v>30</v>
      </c>
      <c r="G949" t="s">
        <v>23</v>
      </c>
      <c r="H949" t="s">
        <v>20</v>
      </c>
      <c r="I949">
        <v>3</v>
      </c>
      <c r="J949" t="s">
        <v>29</v>
      </c>
      <c r="K949" t="s">
        <v>35</v>
      </c>
      <c r="L949">
        <v>45</v>
      </c>
      <c r="M949" t="str" cm="1">
        <f t="array" ref="M949">_xlfn.IFS(
L949&lt;=12,"Children",
L949&lt;=19,"Teens",
L949&lt;=29,"Young Adults",
L949&lt;=39,"Adults",
L949&lt;=59,"Middle-Aged",
L949&gt;=60,"Seniors"
)</f>
        <v>Middle-Aged</v>
      </c>
      <c r="N949" t="s">
        <v>17</v>
      </c>
    </row>
    <row r="950" spans="1:14" x14ac:dyDescent="0.3">
      <c r="A950">
        <v>21693</v>
      </c>
      <c r="B950" t="s">
        <v>40</v>
      </c>
      <c r="C950" t="s">
        <v>38</v>
      </c>
      <c r="D950" s="3">
        <v>60000</v>
      </c>
      <c r="E950">
        <v>0</v>
      </c>
      <c r="F950" t="s">
        <v>34</v>
      </c>
      <c r="G950" t="s">
        <v>16</v>
      </c>
      <c r="H950" t="s">
        <v>20</v>
      </c>
      <c r="I950">
        <v>0</v>
      </c>
      <c r="J950" t="s">
        <v>18</v>
      </c>
      <c r="K950" t="s">
        <v>35</v>
      </c>
      <c r="L950">
        <v>40</v>
      </c>
      <c r="M950" t="str" cm="1">
        <f t="array" ref="M950">_xlfn.IFS(
L950&lt;=12,"Children",
L950&lt;=19,"Teens",
L950&lt;=29,"Young Adults",
L950&lt;=39,"Adults",
L950&lt;=59,"Middle-Aged",
L950&gt;=60,"Seniors"
)</f>
        <v>Middle-Aged</v>
      </c>
      <c r="N950" t="s">
        <v>20</v>
      </c>
    </row>
    <row r="951" spans="1:14" x14ac:dyDescent="0.3">
      <c r="A951">
        <v>28056</v>
      </c>
      <c r="B951" t="s">
        <v>37</v>
      </c>
      <c r="C951" t="s">
        <v>39</v>
      </c>
      <c r="D951" s="3">
        <v>70000</v>
      </c>
      <c r="E951">
        <v>2</v>
      </c>
      <c r="F951" t="s">
        <v>32</v>
      </c>
      <c r="G951" t="s">
        <v>16</v>
      </c>
      <c r="H951" t="s">
        <v>17</v>
      </c>
      <c r="I951">
        <v>2</v>
      </c>
      <c r="J951" t="s">
        <v>41</v>
      </c>
      <c r="K951" t="s">
        <v>35</v>
      </c>
      <c r="L951">
        <v>53</v>
      </c>
      <c r="M951" t="str" cm="1">
        <f t="array" ref="M951">_xlfn.IFS(
L951&lt;=12,"Children",
L951&lt;=19,"Teens",
L951&lt;=29,"Young Adults",
L951&lt;=39,"Adults",
L951&lt;=59,"Middle-Aged",
L951&gt;=60,"Seniors"
)</f>
        <v>Middle-Aged</v>
      </c>
      <c r="N951" t="s">
        <v>20</v>
      </c>
    </row>
    <row r="952" spans="1:14" x14ac:dyDescent="0.3">
      <c r="A952">
        <v>11788</v>
      </c>
      <c r="B952" t="s">
        <v>40</v>
      </c>
      <c r="C952" t="s">
        <v>38</v>
      </c>
      <c r="D952" s="3">
        <v>70000</v>
      </c>
      <c r="E952">
        <v>1</v>
      </c>
      <c r="F952" t="s">
        <v>34</v>
      </c>
      <c r="G952" t="s">
        <v>23</v>
      </c>
      <c r="H952" t="s">
        <v>17</v>
      </c>
      <c r="I952">
        <v>0</v>
      </c>
      <c r="J952" t="s">
        <v>24</v>
      </c>
      <c r="K952" t="s">
        <v>35</v>
      </c>
      <c r="L952">
        <v>34</v>
      </c>
      <c r="M952" t="str" cm="1">
        <f t="array" ref="M952">_xlfn.IFS(
L952&lt;=12,"Children",
L952&lt;=19,"Teens",
L952&lt;=29,"Young Adults",
L952&lt;=39,"Adults",
L952&lt;=59,"Middle-Aged",
L952&gt;=60,"Seniors"
)</f>
        <v>Adults</v>
      </c>
      <c r="N952" t="s">
        <v>20</v>
      </c>
    </row>
    <row r="953" spans="1:14" x14ac:dyDescent="0.3">
      <c r="A953">
        <v>22296</v>
      </c>
      <c r="B953" t="s">
        <v>37</v>
      </c>
      <c r="C953" t="s">
        <v>39</v>
      </c>
      <c r="D953" s="3">
        <v>70000</v>
      </c>
      <c r="E953">
        <v>0</v>
      </c>
      <c r="F953" t="s">
        <v>15</v>
      </c>
      <c r="G953" t="s">
        <v>23</v>
      </c>
      <c r="H953" t="s">
        <v>20</v>
      </c>
      <c r="I953">
        <v>1</v>
      </c>
      <c r="J953" t="s">
        <v>18</v>
      </c>
      <c r="K953" t="s">
        <v>35</v>
      </c>
      <c r="L953">
        <v>38</v>
      </c>
      <c r="M953" t="str" cm="1">
        <f t="array" ref="M953">_xlfn.IFS(
L953&lt;=12,"Children",
L953&lt;=19,"Teens",
L953&lt;=29,"Young Adults",
L953&lt;=39,"Adults",
L953&lt;=59,"Middle-Aged",
L953&gt;=60,"Seniors"
)</f>
        <v>Adults</v>
      </c>
      <c r="N953" t="s">
        <v>20</v>
      </c>
    </row>
    <row r="954" spans="1:14" x14ac:dyDescent="0.3">
      <c r="A954">
        <v>15319</v>
      </c>
      <c r="B954" t="s">
        <v>37</v>
      </c>
      <c r="C954" t="s">
        <v>38</v>
      </c>
      <c r="D954" s="3">
        <v>70000</v>
      </c>
      <c r="E954">
        <v>4</v>
      </c>
      <c r="F954" t="s">
        <v>15</v>
      </c>
      <c r="G954" t="s">
        <v>31</v>
      </c>
      <c r="H954" t="s">
        <v>20</v>
      </c>
      <c r="I954">
        <v>1</v>
      </c>
      <c r="J954" t="s">
        <v>29</v>
      </c>
      <c r="K954" t="s">
        <v>35</v>
      </c>
      <c r="L954">
        <v>59</v>
      </c>
      <c r="M954" t="str" cm="1">
        <f t="array" ref="M954">_xlfn.IFS(
L954&lt;=12,"Children",
L954&lt;=19,"Teens",
L954&lt;=29,"Young Adults",
L954&lt;=39,"Adults",
L954&lt;=59,"Middle-Aged",
L954&gt;=60,"Seniors"
)</f>
        <v>Middle-Aged</v>
      </c>
      <c r="N954" t="s">
        <v>20</v>
      </c>
    </row>
    <row r="955" spans="1:14" x14ac:dyDescent="0.3">
      <c r="A955">
        <v>17654</v>
      </c>
      <c r="B955" t="s">
        <v>40</v>
      </c>
      <c r="C955" t="s">
        <v>38</v>
      </c>
      <c r="D955" s="3">
        <v>40000</v>
      </c>
      <c r="E955">
        <v>3</v>
      </c>
      <c r="F955" t="s">
        <v>21</v>
      </c>
      <c r="G955" t="s">
        <v>22</v>
      </c>
      <c r="H955" t="s">
        <v>17</v>
      </c>
      <c r="I955">
        <v>1</v>
      </c>
      <c r="J955" t="s">
        <v>29</v>
      </c>
      <c r="K955" t="s">
        <v>35</v>
      </c>
      <c r="L955">
        <v>30</v>
      </c>
      <c r="M955" t="str" cm="1">
        <f t="array" ref="M955">_xlfn.IFS(
L955&lt;=12,"Children",
L955&lt;=19,"Teens",
L955&lt;=29,"Young Adults",
L955&lt;=39,"Adults",
L955&lt;=59,"Middle-Aged",
L955&gt;=60,"Seniors"
)</f>
        <v>Adults</v>
      </c>
      <c r="N955" t="s">
        <v>17</v>
      </c>
    </row>
    <row r="956" spans="1:14" x14ac:dyDescent="0.3">
      <c r="A956">
        <v>14662</v>
      </c>
      <c r="B956" t="s">
        <v>37</v>
      </c>
      <c r="C956" t="s">
        <v>39</v>
      </c>
      <c r="D956" s="3">
        <v>60000</v>
      </c>
      <c r="E956">
        <v>1</v>
      </c>
      <c r="F956" t="s">
        <v>15</v>
      </c>
      <c r="G956" t="s">
        <v>23</v>
      </c>
      <c r="H956" t="s">
        <v>17</v>
      </c>
      <c r="I956">
        <v>1</v>
      </c>
      <c r="J956" t="s">
        <v>18</v>
      </c>
      <c r="K956" t="s">
        <v>35</v>
      </c>
      <c r="L956">
        <v>48</v>
      </c>
      <c r="M956" t="str" cm="1">
        <f t="array" ref="M956">_xlfn.IFS(
L956&lt;=12,"Children",
L956&lt;=19,"Teens",
L956&lt;=29,"Young Adults",
L956&lt;=39,"Adults",
L956&lt;=59,"Middle-Aged",
L956&gt;=60,"Seniors"
)</f>
        <v>Middle-Aged</v>
      </c>
      <c r="N956" t="s">
        <v>17</v>
      </c>
    </row>
    <row r="957" spans="1:14" x14ac:dyDescent="0.3">
      <c r="A957">
        <v>17541</v>
      </c>
      <c r="B957" t="s">
        <v>37</v>
      </c>
      <c r="C957" t="s">
        <v>38</v>
      </c>
      <c r="D957" s="3">
        <v>40000</v>
      </c>
      <c r="E957">
        <v>4</v>
      </c>
      <c r="F957" t="s">
        <v>30</v>
      </c>
      <c r="G957" t="s">
        <v>16</v>
      </c>
      <c r="H957" t="s">
        <v>17</v>
      </c>
      <c r="I957">
        <v>2</v>
      </c>
      <c r="J957" t="s">
        <v>24</v>
      </c>
      <c r="K957" t="s">
        <v>35</v>
      </c>
      <c r="L957">
        <v>43</v>
      </c>
      <c r="M957" t="str" cm="1">
        <f t="array" ref="M957">_xlfn.IFS(
L957&lt;=12,"Children",
L957&lt;=19,"Teens",
L957&lt;=29,"Young Adults",
L957&lt;=39,"Adults",
L957&lt;=59,"Middle-Aged",
L957&gt;=60,"Seniors"
)</f>
        <v>Middle-Aged</v>
      </c>
      <c r="N957" t="s">
        <v>20</v>
      </c>
    </row>
    <row r="958" spans="1:14" x14ac:dyDescent="0.3">
      <c r="A958">
        <v>13886</v>
      </c>
      <c r="B958" t="s">
        <v>37</v>
      </c>
      <c r="C958" t="s">
        <v>38</v>
      </c>
      <c r="D958" s="3">
        <v>70000</v>
      </c>
      <c r="E958">
        <v>4</v>
      </c>
      <c r="F958" t="s">
        <v>34</v>
      </c>
      <c r="G958" t="s">
        <v>23</v>
      </c>
      <c r="H958" t="s">
        <v>17</v>
      </c>
      <c r="I958">
        <v>0</v>
      </c>
      <c r="J958" t="s">
        <v>24</v>
      </c>
      <c r="K958" t="s">
        <v>35</v>
      </c>
      <c r="L958">
        <v>35</v>
      </c>
      <c r="M958" t="str" cm="1">
        <f t="array" ref="M958">_xlfn.IFS(
L958&lt;=12,"Children",
L958&lt;=19,"Teens",
L958&lt;=29,"Young Adults",
L958&lt;=39,"Adults",
L958&lt;=59,"Middle-Aged",
L958&gt;=60,"Seniors"
)</f>
        <v>Adults</v>
      </c>
      <c r="N958" t="s">
        <v>17</v>
      </c>
    </row>
    <row r="959" spans="1:14" x14ac:dyDescent="0.3">
      <c r="A959">
        <v>13073</v>
      </c>
      <c r="B959" t="s">
        <v>37</v>
      </c>
      <c r="C959" t="s">
        <v>38</v>
      </c>
      <c r="D959" s="3">
        <v>60000</v>
      </c>
      <c r="E959">
        <v>0</v>
      </c>
      <c r="F959" t="s">
        <v>21</v>
      </c>
      <c r="G959" t="s">
        <v>23</v>
      </c>
      <c r="H959" t="s">
        <v>17</v>
      </c>
      <c r="I959">
        <v>2</v>
      </c>
      <c r="J959" t="s">
        <v>26</v>
      </c>
      <c r="K959" t="s">
        <v>35</v>
      </c>
      <c r="L959">
        <v>30</v>
      </c>
      <c r="M959" t="str" cm="1">
        <f t="array" ref="M959">_xlfn.IFS(
L959&lt;=12,"Children",
L959&lt;=19,"Teens",
L959&lt;=29,"Young Adults",
L959&lt;=39,"Adults",
L959&lt;=59,"Middle-Aged",
L959&gt;=60,"Seniors"
)</f>
        <v>Adults</v>
      </c>
      <c r="N959" t="s">
        <v>20</v>
      </c>
    </row>
    <row r="960" spans="1:14" x14ac:dyDescent="0.3">
      <c r="A960">
        <v>21940</v>
      </c>
      <c r="B960" t="s">
        <v>37</v>
      </c>
      <c r="C960" t="s">
        <v>39</v>
      </c>
      <c r="D960" s="3">
        <v>90000</v>
      </c>
      <c r="E960">
        <v>5</v>
      </c>
      <c r="F960" t="s">
        <v>34</v>
      </c>
      <c r="G960" t="s">
        <v>23</v>
      </c>
      <c r="H960" t="s">
        <v>17</v>
      </c>
      <c r="I960">
        <v>0</v>
      </c>
      <c r="J960" t="s">
        <v>18</v>
      </c>
      <c r="K960" t="s">
        <v>35</v>
      </c>
      <c r="L960">
        <v>47</v>
      </c>
      <c r="M960" t="str" cm="1">
        <f t="array" ref="M960">_xlfn.IFS(
L960&lt;=12,"Children",
L960&lt;=19,"Teens",
L960&lt;=29,"Young Adults",
L960&lt;=39,"Adults",
L960&lt;=59,"Middle-Aged",
L960&gt;=60,"Seniors"
)</f>
        <v>Middle-Aged</v>
      </c>
      <c r="N960" t="s">
        <v>17</v>
      </c>
    </row>
    <row r="961" spans="1:14" x14ac:dyDescent="0.3">
      <c r="A961">
        <v>20196</v>
      </c>
      <c r="B961" t="s">
        <v>37</v>
      </c>
      <c r="C961" t="s">
        <v>39</v>
      </c>
      <c r="D961" s="3">
        <v>60000</v>
      </c>
      <c r="E961">
        <v>1</v>
      </c>
      <c r="F961" t="s">
        <v>21</v>
      </c>
      <c r="G961" t="s">
        <v>16</v>
      </c>
      <c r="H961" t="s">
        <v>17</v>
      </c>
      <c r="I961">
        <v>1</v>
      </c>
      <c r="J961" t="s">
        <v>24</v>
      </c>
      <c r="K961" t="s">
        <v>35</v>
      </c>
      <c r="L961">
        <v>45</v>
      </c>
      <c r="M961" t="str" cm="1">
        <f t="array" ref="M961">_xlfn.IFS(
L961&lt;=12,"Children",
L961&lt;=19,"Teens",
L961&lt;=29,"Young Adults",
L961&lt;=39,"Adults",
L961&lt;=59,"Middle-Aged",
L961&gt;=60,"Seniors"
)</f>
        <v>Middle-Aged</v>
      </c>
      <c r="N961" t="s">
        <v>17</v>
      </c>
    </row>
    <row r="962" spans="1:14" x14ac:dyDescent="0.3">
      <c r="A962">
        <v>23491</v>
      </c>
      <c r="B962" t="s">
        <v>40</v>
      </c>
      <c r="C962" t="s">
        <v>39</v>
      </c>
      <c r="D962" s="3">
        <v>100000</v>
      </c>
      <c r="E962">
        <v>0</v>
      </c>
      <c r="F962" t="s">
        <v>21</v>
      </c>
      <c r="G962" t="s">
        <v>23</v>
      </c>
      <c r="H962" t="s">
        <v>20</v>
      </c>
      <c r="I962">
        <v>4</v>
      </c>
      <c r="J962" t="s">
        <v>29</v>
      </c>
      <c r="K962" t="s">
        <v>35</v>
      </c>
      <c r="L962">
        <v>45</v>
      </c>
      <c r="M962" t="str" cm="1">
        <f t="array" ref="M962">_xlfn.IFS(
L962&lt;=12,"Children",
L962&lt;=19,"Teens",
L962&lt;=29,"Young Adults",
L962&lt;=39,"Adults",
L962&lt;=59,"Middle-Aged",
L962&gt;=60,"Seniors"
)</f>
        <v>Middle-Aged</v>
      </c>
      <c r="N962" t="s">
        <v>20</v>
      </c>
    </row>
    <row r="963" spans="1:14" x14ac:dyDescent="0.3">
      <c r="A963">
        <v>16651</v>
      </c>
      <c r="B963" t="s">
        <v>37</v>
      </c>
      <c r="C963" t="s">
        <v>38</v>
      </c>
      <c r="D963" s="3">
        <v>120000</v>
      </c>
      <c r="E963">
        <v>2</v>
      </c>
      <c r="F963" t="s">
        <v>15</v>
      </c>
      <c r="G963" t="s">
        <v>31</v>
      </c>
      <c r="H963" t="s">
        <v>17</v>
      </c>
      <c r="I963">
        <v>3</v>
      </c>
      <c r="J963" t="s">
        <v>26</v>
      </c>
      <c r="K963" t="s">
        <v>35</v>
      </c>
      <c r="L963">
        <v>62</v>
      </c>
      <c r="M963" t="str" cm="1">
        <f t="array" ref="M963">_xlfn.IFS(
L963&lt;=12,"Children",
L963&lt;=19,"Teens",
L963&lt;=29,"Young Adults",
L963&lt;=39,"Adults",
L963&lt;=59,"Middle-Aged",
L963&gt;=60,"Seniors"
)</f>
        <v>Seniors</v>
      </c>
      <c r="N963" t="s">
        <v>20</v>
      </c>
    </row>
    <row r="964" spans="1:14" x14ac:dyDescent="0.3">
      <c r="A964">
        <v>16813</v>
      </c>
      <c r="B964" t="s">
        <v>37</v>
      </c>
      <c r="C964" t="s">
        <v>39</v>
      </c>
      <c r="D964" s="3">
        <v>60000</v>
      </c>
      <c r="E964">
        <v>2</v>
      </c>
      <c r="F964" t="s">
        <v>21</v>
      </c>
      <c r="G964" t="s">
        <v>23</v>
      </c>
      <c r="H964" t="s">
        <v>17</v>
      </c>
      <c r="I964">
        <v>2</v>
      </c>
      <c r="J964" t="s">
        <v>41</v>
      </c>
      <c r="K964" t="s">
        <v>35</v>
      </c>
      <c r="L964">
        <v>55</v>
      </c>
      <c r="M964" t="str" cm="1">
        <f t="array" ref="M964">_xlfn.IFS(
L964&lt;=12,"Children",
L964&lt;=19,"Teens",
L964&lt;=29,"Young Adults",
L964&lt;=39,"Adults",
L964&lt;=59,"Middle-Aged",
L964&gt;=60,"Seniors"
)</f>
        <v>Middle-Aged</v>
      </c>
      <c r="N964" t="s">
        <v>20</v>
      </c>
    </row>
    <row r="965" spans="1:14" x14ac:dyDescent="0.3">
      <c r="A965">
        <v>16007</v>
      </c>
      <c r="B965" t="s">
        <v>37</v>
      </c>
      <c r="C965" t="s">
        <v>38</v>
      </c>
      <c r="D965" s="3">
        <v>90000</v>
      </c>
      <c r="E965">
        <v>5</v>
      </c>
      <c r="F965" t="s">
        <v>15</v>
      </c>
      <c r="G965" t="s">
        <v>31</v>
      </c>
      <c r="H965" t="s">
        <v>17</v>
      </c>
      <c r="I965">
        <v>2</v>
      </c>
      <c r="J965" t="s">
        <v>29</v>
      </c>
      <c r="K965" t="s">
        <v>35</v>
      </c>
      <c r="L965">
        <v>66</v>
      </c>
      <c r="M965" t="str" cm="1">
        <f t="array" ref="M965">_xlfn.IFS(
L965&lt;=12,"Children",
L965&lt;=19,"Teens",
L965&lt;=29,"Young Adults",
L965&lt;=39,"Adults",
L965&lt;=59,"Middle-Aged",
L965&gt;=60,"Seniors"
)</f>
        <v>Seniors</v>
      </c>
      <c r="N965" t="s">
        <v>17</v>
      </c>
    </row>
    <row r="966" spans="1:14" x14ac:dyDescent="0.3">
      <c r="A966">
        <v>27434</v>
      </c>
      <c r="B966" t="s">
        <v>40</v>
      </c>
      <c r="C966" t="s">
        <v>39</v>
      </c>
      <c r="D966" s="3">
        <v>70000</v>
      </c>
      <c r="E966">
        <v>4</v>
      </c>
      <c r="F966" t="s">
        <v>21</v>
      </c>
      <c r="G966" t="s">
        <v>23</v>
      </c>
      <c r="H966" t="s">
        <v>17</v>
      </c>
      <c r="I966">
        <v>1</v>
      </c>
      <c r="J966" t="s">
        <v>41</v>
      </c>
      <c r="K966" t="s">
        <v>35</v>
      </c>
      <c r="L966">
        <v>56</v>
      </c>
      <c r="M966" t="str" cm="1">
        <f t="array" ref="M966">_xlfn.IFS(
L966&lt;=12,"Children",
L966&lt;=19,"Teens",
L966&lt;=29,"Young Adults",
L966&lt;=39,"Adults",
L966&lt;=59,"Middle-Aged",
L966&gt;=60,"Seniors"
)</f>
        <v>Middle-Aged</v>
      </c>
      <c r="N966" t="s">
        <v>20</v>
      </c>
    </row>
    <row r="967" spans="1:14" x14ac:dyDescent="0.3">
      <c r="A967">
        <v>27756</v>
      </c>
      <c r="B967" t="s">
        <v>40</v>
      </c>
      <c r="C967" t="s">
        <v>38</v>
      </c>
      <c r="D967" s="3">
        <v>50000</v>
      </c>
      <c r="E967">
        <v>3</v>
      </c>
      <c r="F967" t="s">
        <v>15</v>
      </c>
      <c r="G967" t="s">
        <v>16</v>
      </c>
      <c r="H967" t="s">
        <v>20</v>
      </c>
      <c r="I967">
        <v>1</v>
      </c>
      <c r="J967" t="s">
        <v>18</v>
      </c>
      <c r="K967" t="s">
        <v>35</v>
      </c>
      <c r="L967">
        <v>40</v>
      </c>
      <c r="M967" t="str" cm="1">
        <f t="array" ref="M967">_xlfn.IFS(
L967&lt;=12,"Children",
L967&lt;=19,"Teens",
L967&lt;=29,"Young Adults",
L967&lt;=39,"Adults",
L967&lt;=59,"Middle-Aged",
L967&gt;=60,"Seniors"
)</f>
        <v>Middle-Aged</v>
      </c>
      <c r="N967" t="s">
        <v>20</v>
      </c>
    </row>
    <row r="968" spans="1:14" x14ac:dyDescent="0.3">
      <c r="A968">
        <v>23818</v>
      </c>
      <c r="B968" t="s">
        <v>37</v>
      </c>
      <c r="C968" t="s">
        <v>38</v>
      </c>
      <c r="D968" s="3">
        <v>50000</v>
      </c>
      <c r="E968">
        <v>0</v>
      </c>
      <c r="F968" t="s">
        <v>34</v>
      </c>
      <c r="G968" t="s">
        <v>16</v>
      </c>
      <c r="H968" t="s">
        <v>17</v>
      </c>
      <c r="I968">
        <v>0</v>
      </c>
      <c r="J968" t="s">
        <v>29</v>
      </c>
      <c r="K968" t="s">
        <v>35</v>
      </c>
      <c r="L968">
        <v>33</v>
      </c>
      <c r="M968" t="str" cm="1">
        <f t="array" ref="M968">_xlfn.IFS(
L968&lt;=12,"Children",
L968&lt;=19,"Teens",
L968&lt;=29,"Young Adults",
L968&lt;=39,"Adults",
L968&lt;=59,"Middle-Aged",
L968&gt;=60,"Seniors"
)</f>
        <v>Adults</v>
      </c>
      <c r="N968" t="s">
        <v>17</v>
      </c>
    </row>
    <row r="969" spans="1:14" x14ac:dyDescent="0.3">
      <c r="A969">
        <v>19012</v>
      </c>
      <c r="B969" t="s">
        <v>37</v>
      </c>
      <c r="C969" t="s">
        <v>39</v>
      </c>
      <c r="D969" s="3">
        <v>80000</v>
      </c>
      <c r="E969">
        <v>3</v>
      </c>
      <c r="F969" t="s">
        <v>15</v>
      </c>
      <c r="G969" t="s">
        <v>31</v>
      </c>
      <c r="H969" t="s">
        <v>17</v>
      </c>
      <c r="I969">
        <v>1</v>
      </c>
      <c r="J969" t="s">
        <v>29</v>
      </c>
      <c r="K969" t="s">
        <v>35</v>
      </c>
      <c r="L969">
        <v>56</v>
      </c>
      <c r="M969" t="str" cm="1">
        <f t="array" ref="M969">_xlfn.IFS(
L969&lt;=12,"Children",
L969&lt;=19,"Teens",
L969&lt;=29,"Young Adults",
L969&lt;=39,"Adults",
L969&lt;=59,"Middle-Aged",
L969&gt;=60,"Seniors"
)</f>
        <v>Middle-Aged</v>
      </c>
      <c r="N969" t="s">
        <v>20</v>
      </c>
    </row>
    <row r="970" spans="1:14" x14ac:dyDescent="0.3">
      <c r="A970">
        <v>18329</v>
      </c>
      <c r="B970" t="s">
        <v>40</v>
      </c>
      <c r="C970" t="s">
        <v>39</v>
      </c>
      <c r="D970" s="3">
        <v>30000</v>
      </c>
      <c r="E970">
        <v>0</v>
      </c>
      <c r="F970" t="s">
        <v>32</v>
      </c>
      <c r="G970" t="s">
        <v>22</v>
      </c>
      <c r="H970" t="s">
        <v>20</v>
      </c>
      <c r="I970">
        <v>2</v>
      </c>
      <c r="J970" t="s">
        <v>26</v>
      </c>
      <c r="K970" t="s">
        <v>35</v>
      </c>
      <c r="L970">
        <v>27</v>
      </c>
      <c r="M970" t="str" cm="1">
        <f t="array" ref="M970">_xlfn.IFS(
L970&lt;=12,"Children",
L970&lt;=19,"Teens",
L970&lt;=29,"Young Adults",
L970&lt;=39,"Adults",
L970&lt;=59,"Middle-Aged",
L970&gt;=60,"Seniors"
)</f>
        <v>Young Adults</v>
      </c>
      <c r="N970" t="s">
        <v>20</v>
      </c>
    </row>
    <row r="971" spans="1:14" x14ac:dyDescent="0.3">
      <c r="A971">
        <v>29037</v>
      </c>
      <c r="B971" t="s">
        <v>37</v>
      </c>
      <c r="C971" t="s">
        <v>39</v>
      </c>
      <c r="D971" s="3">
        <v>60000</v>
      </c>
      <c r="E971">
        <v>0</v>
      </c>
      <c r="F971" t="s">
        <v>34</v>
      </c>
      <c r="G971" t="s">
        <v>23</v>
      </c>
      <c r="H971" t="s">
        <v>20</v>
      </c>
      <c r="I971">
        <v>0</v>
      </c>
      <c r="J971" t="s">
        <v>18</v>
      </c>
      <c r="K971" t="s">
        <v>35</v>
      </c>
      <c r="L971">
        <v>39</v>
      </c>
      <c r="M971" t="str" cm="1">
        <f t="array" ref="M971">_xlfn.IFS(
L971&lt;=12,"Children",
L971&lt;=19,"Teens",
L971&lt;=29,"Young Adults",
L971&lt;=39,"Adults",
L971&lt;=59,"Middle-Aged",
L971&gt;=60,"Seniors"
)</f>
        <v>Adults</v>
      </c>
      <c r="N971" t="s">
        <v>20</v>
      </c>
    </row>
    <row r="972" spans="1:14" x14ac:dyDescent="0.3">
      <c r="A972">
        <v>26576</v>
      </c>
      <c r="B972" t="s">
        <v>37</v>
      </c>
      <c r="C972" t="s">
        <v>38</v>
      </c>
      <c r="D972" s="3">
        <v>60000</v>
      </c>
      <c r="E972">
        <v>0</v>
      </c>
      <c r="F972" t="s">
        <v>21</v>
      </c>
      <c r="G972" t="s">
        <v>16</v>
      </c>
      <c r="H972" t="s">
        <v>17</v>
      </c>
      <c r="I972">
        <v>2</v>
      </c>
      <c r="J972" t="s">
        <v>26</v>
      </c>
      <c r="K972" t="s">
        <v>35</v>
      </c>
      <c r="L972">
        <v>31</v>
      </c>
      <c r="M972" t="str" cm="1">
        <f t="array" ref="M972">_xlfn.IFS(
L972&lt;=12,"Children",
L972&lt;=19,"Teens",
L972&lt;=29,"Young Adults",
L972&lt;=39,"Adults",
L972&lt;=59,"Middle-Aged",
L972&gt;=60,"Seniors"
)</f>
        <v>Adults</v>
      </c>
      <c r="N972" t="s">
        <v>20</v>
      </c>
    </row>
    <row r="973" spans="1:14" x14ac:dyDescent="0.3">
      <c r="A973">
        <v>12192</v>
      </c>
      <c r="B973" t="s">
        <v>40</v>
      </c>
      <c r="C973" t="s">
        <v>38</v>
      </c>
      <c r="D973" s="3">
        <v>60000</v>
      </c>
      <c r="E973">
        <v>2</v>
      </c>
      <c r="F973" t="s">
        <v>32</v>
      </c>
      <c r="G973" t="s">
        <v>16</v>
      </c>
      <c r="H973" t="s">
        <v>20</v>
      </c>
      <c r="I973">
        <v>2</v>
      </c>
      <c r="J973" t="s">
        <v>29</v>
      </c>
      <c r="K973" t="s">
        <v>35</v>
      </c>
      <c r="L973">
        <v>51</v>
      </c>
      <c r="M973" t="str" cm="1">
        <f t="array" ref="M973">_xlfn.IFS(
L973&lt;=12,"Children",
L973&lt;=19,"Teens",
L973&lt;=29,"Young Adults",
L973&lt;=39,"Adults",
L973&lt;=59,"Middle-Aged",
L973&gt;=60,"Seniors"
)</f>
        <v>Middle-Aged</v>
      </c>
      <c r="N973" t="s">
        <v>20</v>
      </c>
    </row>
    <row r="974" spans="1:14" x14ac:dyDescent="0.3">
      <c r="A974">
        <v>14887</v>
      </c>
      <c r="B974" t="s">
        <v>37</v>
      </c>
      <c r="C974" t="s">
        <v>38</v>
      </c>
      <c r="D974" s="3">
        <v>30000</v>
      </c>
      <c r="E974">
        <v>1</v>
      </c>
      <c r="F974" t="s">
        <v>30</v>
      </c>
      <c r="G974" t="s">
        <v>22</v>
      </c>
      <c r="H974" t="s">
        <v>17</v>
      </c>
      <c r="I974">
        <v>1</v>
      </c>
      <c r="J974" t="s">
        <v>26</v>
      </c>
      <c r="K974" t="s">
        <v>35</v>
      </c>
      <c r="L974">
        <v>52</v>
      </c>
      <c r="M974" t="str" cm="1">
        <f t="array" ref="M974">_xlfn.IFS(
L974&lt;=12,"Children",
L974&lt;=19,"Teens",
L974&lt;=29,"Young Adults",
L974&lt;=39,"Adults",
L974&lt;=59,"Middle-Aged",
L974&gt;=60,"Seniors"
)</f>
        <v>Middle-Aged</v>
      </c>
      <c r="N974" t="s">
        <v>20</v>
      </c>
    </row>
    <row r="975" spans="1:14" x14ac:dyDescent="0.3">
      <c r="A975">
        <v>11734</v>
      </c>
      <c r="B975" t="s">
        <v>37</v>
      </c>
      <c r="C975" t="s">
        <v>39</v>
      </c>
      <c r="D975" s="3">
        <v>60000</v>
      </c>
      <c r="E975">
        <v>1</v>
      </c>
      <c r="F975" t="s">
        <v>21</v>
      </c>
      <c r="G975" t="s">
        <v>16</v>
      </c>
      <c r="H975" t="s">
        <v>20</v>
      </c>
      <c r="I975">
        <v>1</v>
      </c>
      <c r="J975" t="s">
        <v>18</v>
      </c>
      <c r="K975" t="s">
        <v>35</v>
      </c>
      <c r="L975">
        <v>47</v>
      </c>
      <c r="M975" t="str" cm="1">
        <f t="array" ref="M975">_xlfn.IFS(
L975&lt;=12,"Children",
L975&lt;=19,"Teens",
L975&lt;=29,"Young Adults",
L975&lt;=39,"Adults",
L975&lt;=59,"Middle-Aged",
L975&gt;=60,"Seniors"
)</f>
        <v>Middle-Aged</v>
      </c>
      <c r="N975" t="s">
        <v>20</v>
      </c>
    </row>
    <row r="976" spans="1:14" x14ac:dyDescent="0.3">
      <c r="A976">
        <v>17462</v>
      </c>
      <c r="B976" t="s">
        <v>37</v>
      </c>
      <c r="C976" t="s">
        <v>39</v>
      </c>
      <c r="D976" s="3">
        <v>70000</v>
      </c>
      <c r="E976">
        <v>3</v>
      </c>
      <c r="F976" t="s">
        <v>34</v>
      </c>
      <c r="G976" t="s">
        <v>31</v>
      </c>
      <c r="H976" t="s">
        <v>17</v>
      </c>
      <c r="I976">
        <v>2</v>
      </c>
      <c r="J976" t="s">
        <v>26</v>
      </c>
      <c r="K976" t="s">
        <v>35</v>
      </c>
      <c r="L976">
        <v>53</v>
      </c>
      <c r="M976" t="str" cm="1">
        <f t="array" ref="M976">_xlfn.IFS(
L976&lt;=12,"Children",
L976&lt;=19,"Teens",
L976&lt;=29,"Young Adults",
L976&lt;=39,"Adults",
L976&lt;=59,"Middle-Aged",
L976&gt;=60,"Seniors"
)</f>
        <v>Middle-Aged</v>
      </c>
      <c r="N976" t="s">
        <v>17</v>
      </c>
    </row>
    <row r="977" spans="1:14" x14ac:dyDescent="0.3">
      <c r="A977">
        <v>20659</v>
      </c>
      <c r="B977" t="s">
        <v>37</v>
      </c>
      <c r="C977" t="s">
        <v>39</v>
      </c>
      <c r="D977" s="3">
        <v>70000</v>
      </c>
      <c r="E977">
        <v>3</v>
      </c>
      <c r="F977" t="s">
        <v>34</v>
      </c>
      <c r="G977" t="s">
        <v>23</v>
      </c>
      <c r="H977" t="s">
        <v>17</v>
      </c>
      <c r="I977">
        <v>0</v>
      </c>
      <c r="J977" t="s">
        <v>18</v>
      </c>
      <c r="K977" t="s">
        <v>35</v>
      </c>
      <c r="L977">
        <v>35</v>
      </c>
      <c r="M977" t="str" cm="1">
        <f t="array" ref="M977">_xlfn.IFS(
L977&lt;=12,"Children",
L977&lt;=19,"Teens",
L977&lt;=29,"Young Adults",
L977&lt;=39,"Adults",
L977&lt;=59,"Middle-Aged",
L977&gt;=60,"Seniors"
)</f>
        <v>Adults</v>
      </c>
      <c r="N977" t="s">
        <v>17</v>
      </c>
    </row>
    <row r="978" spans="1:14" x14ac:dyDescent="0.3">
      <c r="A978">
        <v>28004</v>
      </c>
      <c r="B978" t="s">
        <v>37</v>
      </c>
      <c r="C978" t="s">
        <v>38</v>
      </c>
      <c r="D978" s="3">
        <v>60000</v>
      </c>
      <c r="E978">
        <v>3</v>
      </c>
      <c r="F978" t="s">
        <v>15</v>
      </c>
      <c r="G978" t="s">
        <v>31</v>
      </c>
      <c r="H978" t="s">
        <v>17</v>
      </c>
      <c r="I978">
        <v>2</v>
      </c>
      <c r="J978" t="s">
        <v>41</v>
      </c>
      <c r="K978" t="s">
        <v>35</v>
      </c>
      <c r="L978">
        <v>66</v>
      </c>
      <c r="M978" t="str" cm="1">
        <f t="array" ref="M978">_xlfn.IFS(
L978&lt;=12,"Children",
L978&lt;=19,"Teens",
L978&lt;=29,"Young Adults",
L978&lt;=39,"Adults",
L978&lt;=59,"Middle-Aged",
L978&gt;=60,"Seniors"
)</f>
        <v>Seniors</v>
      </c>
      <c r="N978" t="s">
        <v>20</v>
      </c>
    </row>
    <row r="979" spans="1:14" x14ac:dyDescent="0.3">
      <c r="A979">
        <v>19741</v>
      </c>
      <c r="B979" t="s">
        <v>40</v>
      </c>
      <c r="C979" t="s">
        <v>38</v>
      </c>
      <c r="D979" s="3">
        <v>80000</v>
      </c>
      <c r="E979">
        <v>4</v>
      </c>
      <c r="F979" t="s">
        <v>34</v>
      </c>
      <c r="G979" t="s">
        <v>31</v>
      </c>
      <c r="H979" t="s">
        <v>17</v>
      </c>
      <c r="I979">
        <v>2</v>
      </c>
      <c r="J979" t="s">
        <v>26</v>
      </c>
      <c r="K979" t="s">
        <v>35</v>
      </c>
      <c r="L979">
        <v>65</v>
      </c>
      <c r="M979" t="str" cm="1">
        <f t="array" ref="M979">_xlfn.IFS(
L979&lt;=12,"Children",
L979&lt;=19,"Teens",
L979&lt;=29,"Young Adults",
L979&lt;=39,"Adults",
L979&lt;=59,"Middle-Aged",
L979&gt;=60,"Seniors"
)</f>
        <v>Seniors</v>
      </c>
      <c r="N979" t="s">
        <v>20</v>
      </c>
    </row>
    <row r="980" spans="1:14" x14ac:dyDescent="0.3">
      <c r="A980">
        <v>17450</v>
      </c>
      <c r="B980" t="s">
        <v>37</v>
      </c>
      <c r="C980" t="s">
        <v>39</v>
      </c>
      <c r="D980" s="3">
        <v>80000</v>
      </c>
      <c r="E980">
        <v>5</v>
      </c>
      <c r="F980" t="s">
        <v>21</v>
      </c>
      <c r="G980" t="s">
        <v>23</v>
      </c>
      <c r="H980" t="s">
        <v>17</v>
      </c>
      <c r="I980">
        <v>3</v>
      </c>
      <c r="J980" t="s">
        <v>26</v>
      </c>
      <c r="K980" t="s">
        <v>35</v>
      </c>
      <c r="L980">
        <v>45</v>
      </c>
      <c r="M980" t="str" cm="1">
        <f t="array" ref="M980">_xlfn.IFS(
L980&lt;=12,"Children",
L980&lt;=19,"Teens",
L980&lt;=29,"Young Adults",
L980&lt;=39,"Adults",
L980&lt;=59,"Middle-Aged",
L980&gt;=60,"Seniors"
)</f>
        <v>Middle-Aged</v>
      </c>
      <c r="N980" t="s">
        <v>20</v>
      </c>
    </row>
    <row r="981" spans="1:14" x14ac:dyDescent="0.3">
      <c r="A981">
        <v>17337</v>
      </c>
      <c r="B981" t="s">
        <v>40</v>
      </c>
      <c r="C981" t="s">
        <v>39</v>
      </c>
      <c r="D981" s="3">
        <v>40000</v>
      </c>
      <c r="E981">
        <v>0</v>
      </c>
      <c r="F981" t="s">
        <v>30</v>
      </c>
      <c r="G981" t="s">
        <v>16</v>
      </c>
      <c r="H981" t="s">
        <v>17</v>
      </c>
      <c r="I981">
        <v>1</v>
      </c>
      <c r="J981" t="s">
        <v>26</v>
      </c>
      <c r="K981" t="s">
        <v>35</v>
      </c>
      <c r="L981">
        <v>31</v>
      </c>
      <c r="M981" t="str" cm="1">
        <f t="array" ref="M981">_xlfn.IFS(
L981&lt;=12,"Children",
L981&lt;=19,"Teens",
L981&lt;=29,"Young Adults",
L981&lt;=39,"Adults",
L981&lt;=59,"Middle-Aged",
L981&gt;=60,"Seniors"
)</f>
        <v>Adults</v>
      </c>
      <c r="N981" t="s">
        <v>20</v>
      </c>
    </row>
    <row r="982" spans="1:14" x14ac:dyDescent="0.3">
      <c r="A982">
        <v>18594</v>
      </c>
      <c r="B982" t="s">
        <v>40</v>
      </c>
      <c r="C982" t="s">
        <v>38</v>
      </c>
      <c r="D982" s="3">
        <v>80000</v>
      </c>
      <c r="E982">
        <v>3</v>
      </c>
      <c r="F982" t="s">
        <v>15</v>
      </c>
      <c r="G982" t="s">
        <v>16</v>
      </c>
      <c r="H982" t="s">
        <v>17</v>
      </c>
      <c r="I982">
        <v>3</v>
      </c>
      <c r="J982" t="s">
        <v>41</v>
      </c>
      <c r="K982" t="s">
        <v>35</v>
      </c>
      <c r="L982">
        <v>40</v>
      </c>
      <c r="M982" t="str" cm="1">
        <f t="array" ref="M982">_xlfn.IFS(
L982&lt;=12,"Children",
L982&lt;=19,"Teens",
L982&lt;=29,"Young Adults",
L982&lt;=39,"Adults",
L982&lt;=59,"Middle-Aged",
L982&gt;=60,"Seniors"
)</f>
        <v>Middle-Aged</v>
      </c>
      <c r="N982" t="s">
        <v>17</v>
      </c>
    </row>
    <row r="983" spans="1:14" x14ac:dyDescent="0.3">
      <c r="A983">
        <v>15982</v>
      </c>
      <c r="B983" t="s">
        <v>37</v>
      </c>
      <c r="C983" t="s">
        <v>39</v>
      </c>
      <c r="D983" s="3">
        <v>110000</v>
      </c>
      <c r="E983">
        <v>5</v>
      </c>
      <c r="F983" t="s">
        <v>21</v>
      </c>
      <c r="G983" t="s">
        <v>23</v>
      </c>
      <c r="H983" t="s">
        <v>17</v>
      </c>
      <c r="I983">
        <v>4</v>
      </c>
      <c r="J983" t="s">
        <v>24</v>
      </c>
      <c r="K983" t="s">
        <v>35</v>
      </c>
      <c r="L983">
        <v>46</v>
      </c>
      <c r="M983" t="str" cm="1">
        <f t="array" ref="M983">_xlfn.IFS(
L983&lt;=12,"Children",
L983&lt;=19,"Teens",
L983&lt;=29,"Young Adults",
L983&lt;=39,"Adults",
L983&lt;=59,"Middle-Aged",
L983&gt;=60,"Seniors"
)</f>
        <v>Middle-Aged</v>
      </c>
      <c r="N983" t="s">
        <v>20</v>
      </c>
    </row>
    <row r="984" spans="1:14" x14ac:dyDescent="0.3">
      <c r="A984">
        <v>28625</v>
      </c>
      <c r="B984" t="s">
        <v>40</v>
      </c>
      <c r="C984" t="s">
        <v>39</v>
      </c>
      <c r="D984" s="3">
        <v>40000</v>
      </c>
      <c r="E984">
        <v>2</v>
      </c>
      <c r="F984" t="s">
        <v>21</v>
      </c>
      <c r="G984" t="s">
        <v>22</v>
      </c>
      <c r="H984" t="s">
        <v>20</v>
      </c>
      <c r="I984">
        <v>1</v>
      </c>
      <c r="J984" t="s">
        <v>29</v>
      </c>
      <c r="K984" t="s">
        <v>35</v>
      </c>
      <c r="L984">
        <v>47</v>
      </c>
      <c r="M984" t="str" cm="1">
        <f t="array" ref="M984">_xlfn.IFS(
L984&lt;=12,"Children",
L984&lt;=19,"Teens",
L984&lt;=29,"Young Adults",
L984&lt;=39,"Adults",
L984&lt;=59,"Middle-Aged",
L984&gt;=60,"Seniors"
)</f>
        <v>Middle-Aged</v>
      </c>
      <c r="N984" t="s">
        <v>17</v>
      </c>
    </row>
    <row r="985" spans="1:14" x14ac:dyDescent="0.3">
      <c r="A985">
        <v>11269</v>
      </c>
      <c r="B985" t="s">
        <v>37</v>
      </c>
      <c r="C985" t="s">
        <v>39</v>
      </c>
      <c r="D985" s="3">
        <v>130000</v>
      </c>
      <c r="E985">
        <v>2</v>
      </c>
      <c r="F985" t="s">
        <v>34</v>
      </c>
      <c r="G985" t="s">
        <v>31</v>
      </c>
      <c r="H985" t="s">
        <v>17</v>
      </c>
      <c r="I985">
        <v>2</v>
      </c>
      <c r="J985" t="s">
        <v>18</v>
      </c>
      <c r="K985" t="s">
        <v>35</v>
      </c>
      <c r="L985">
        <v>41</v>
      </c>
      <c r="M985" t="str" cm="1">
        <f t="array" ref="M985">_xlfn.IFS(
L985&lt;=12,"Children",
L985&lt;=19,"Teens",
L985&lt;=29,"Young Adults",
L985&lt;=39,"Adults",
L985&lt;=59,"Middle-Aged",
L985&gt;=60,"Seniors"
)</f>
        <v>Middle-Aged</v>
      </c>
      <c r="N985" t="s">
        <v>20</v>
      </c>
    </row>
    <row r="986" spans="1:14" x14ac:dyDescent="0.3">
      <c r="A986">
        <v>25148</v>
      </c>
      <c r="B986" t="s">
        <v>37</v>
      </c>
      <c r="C986" t="s">
        <v>39</v>
      </c>
      <c r="D986" s="3">
        <v>60000</v>
      </c>
      <c r="E986">
        <v>2</v>
      </c>
      <c r="F986" t="s">
        <v>30</v>
      </c>
      <c r="G986" t="s">
        <v>23</v>
      </c>
      <c r="H986" t="s">
        <v>20</v>
      </c>
      <c r="I986">
        <v>2</v>
      </c>
      <c r="J986" t="s">
        <v>29</v>
      </c>
      <c r="K986" t="s">
        <v>35</v>
      </c>
      <c r="L986">
        <v>48</v>
      </c>
      <c r="M986" t="str" cm="1">
        <f t="array" ref="M986">_xlfn.IFS(
L986&lt;=12,"Children",
L986&lt;=19,"Teens",
L986&lt;=29,"Young Adults",
L986&lt;=39,"Adults",
L986&lt;=59,"Middle-Aged",
L986&gt;=60,"Seniors"
)</f>
        <v>Middle-Aged</v>
      </c>
      <c r="N986" t="s">
        <v>17</v>
      </c>
    </row>
    <row r="987" spans="1:14" x14ac:dyDescent="0.3">
      <c r="A987">
        <v>13920</v>
      </c>
      <c r="B987" t="s">
        <v>40</v>
      </c>
      <c r="C987" t="s">
        <v>38</v>
      </c>
      <c r="D987" s="3">
        <v>50000</v>
      </c>
      <c r="E987">
        <v>4</v>
      </c>
      <c r="F987" t="s">
        <v>15</v>
      </c>
      <c r="G987" t="s">
        <v>16</v>
      </c>
      <c r="H987" t="s">
        <v>17</v>
      </c>
      <c r="I987">
        <v>2</v>
      </c>
      <c r="J987" t="s">
        <v>18</v>
      </c>
      <c r="K987" t="s">
        <v>35</v>
      </c>
      <c r="L987">
        <v>42</v>
      </c>
      <c r="M987" t="str" cm="1">
        <f t="array" ref="M987">_xlfn.IFS(
L987&lt;=12,"Children",
L987&lt;=19,"Teens",
L987&lt;=29,"Young Adults",
L987&lt;=39,"Adults",
L987&lt;=59,"Middle-Aged",
L987&gt;=60,"Seniors"
)</f>
        <v>Middle-Aged</v>
      </c>
      <c r="N987" t="s">
        <v>20</v>
      </c>
    </row>
    <row r="988" spans="1:14" x14ac:dyDescent="0.3">
      <c r="A988">
        <v>23704</v>
      </c>
      <c r="B988" t="s">
        <v>40</v>
      </c>
      <c r="C988" t="s">
        <v>39</v>
      </c>
      <c r="D988" s="3">
        <v>40000</v>
      </c>
      <c r="E988">
        <v>5</v>
      </c>
      <c r="F988" t="s">
        <v>30</v>
      </c>
      <c r="G988" t="s">
        <v>23</v>
      </c>
      <c r="H988" t="s">
        <v>17</v>
      </c>
      <c r="I988">
        <v>4</v>
      </c>
      <c r="J988" t="s">
        <v>41</v>
      </c>
      <c r="K988" t="s">
        <v>35</v>
      </c>
      <c r="L988">
        <v>60</v>
      </c>
      <c r="M988" t="str" cm="1">
        <f t="array" ref="M988">_xlfn.IFS(
L988&lt;=12,"Children",
L988&lt;=19,"Teens",
L988&lt;=29,"Young Adults",
L988&lt;=39,"Adults",
L988&lt;=59,"Middle-Aged",
L988&gt;=60,"Seniors"
)</f>
        <v>Seniors</v>
      </c>
      <c r="N988" t="s">
        <v>17</v>
      </c>
    </row>
    <row r="989" spans="1:14" x14ac:dyDescent="0.3">
      <c r="A989">
        <v>28972</v>
      </c>
      <c r="B989" t="s">
        <v>40</v>
      </c>
      <c r="C989" t="s">
        <v>38</v>
      </c>
      <c r="D989" s="3">
        <v>60000</v>
      </c>
      <c r="E989">
        <v>3</v>
      </c>
      <c r="F989" t="s">
        <v>34</v>
      </c>
      <c r="G989" t="s">
        <v>31</v>
      </c>
      <c r="H989" t="s">
        <v>17</v>
      </c>
      <c r="I989">
        <v>2</v>
      </c>
      <c r="J989" t="s">
        <v>41</v>
      </c>
      <c r="K989" t="s">
        <v>35</v>
      </c>
      <c r="L989">
        <v>66</v>
      </c>
      <c r="M989" t="str" cm="1">
        <f t="array" ref="M989">_xlfn.IFS(
L989&lt;=12,"Children",
L989&lt;=19,"Teens",
L989&lt;=29,"Young Adults",
L989&lt;=39,"Adults",
L989&lt;=59,"Middle-Aged",
L989&gt;=60,"Seniors"
)</f>
        <v>Seniors</v>
      </c>
      <c r="N989" t="s">
        <v>20</v>
      </c>
    </row>
    <row r="990" spans="1:14" x14ac:dyDescent="0.3">
      <c r="A990">
        <v>22730</v>
      </c>
      <c r="B990" t="s">
        <v>37</v>
      </c>
      <c r="C990" t="s">
        <v>39</v>
      </c>
      <c r="D990" s="3">
        <v>70000</v>
      </c>
      <c r="E990">
        <v>5</v>
      </c>
      <c r="F990" t="s">
        <v>15</v>
      </c>
      <c r="G990" t="s">
        <v>31</v>
      </c>
      <c r="H990" t="s">
        <v>17</v>
      </c>
      <c r="I990">
        <v>2</v>
      </c>
      <c r="J990" t="s">
        <v>41</v>
      </c>
      <c r="K990" t="s">
        <v>35</v>
      </c>
      <c r="L990">
        <v>63</v>
      </c>
      <c r="M990" t="str" cm="1">
        <f t="array" ref="M990">_xlfn.IFS(
L990&lt;=12,"Children",
L990&lt;=19,"Teens",
L990&lt;=29,"Young Adults",
L990&lt;=39,"Adults",
L990&lt;=59,"Middle-Aged",
L990&gt;=60,"Seniors"
)</f>
        <v>Seniors</v>
      </c>
      <c r="N990" t="s">
        <v>20</v>
      </c>
    </row>
    <row r="991" spans="1:14" x14ac:dyDescent="0.3">
      <c r="A991">
        <v>29134</v>
      </c>
      <c r="B991" t="s">
        <v>37</v>
      </c>
      <c r="C991" t="s">
        <v>39</v>
      </c>
      <c r="D991" s="3">
        <v>60000</v>
      </c>
      <c r="E991">
        <v>4</v>
      </c>
      <c r="F991" t="s">
        <v>15</v>
      </c>
      <c r="G991" t="s">
        <v>16</v>
      </c>
      <c r="H991" t="s">
        <v>20</v>
      </c>
      <c r="I991">
        <v>3</v>
      </c>
      <c r="J991" t="s">
        <v>41</v>
      </c>
      <c r="K991" t="s">
        <v>35</v>
      </c>
      <c r="L991">
        <v>42</v>
      </c>
      <c r="M991" t="str" cm="1">
        <f t="array" ref="M991">_xlfn.IFS(
L991&lt;=12,"Children",
L991&lt;=19,"Teens",
L991&lt;=29,"Young Adults",
L991&lt;=39,"Adults",
L991&lt;=59,"Middle-Aged",
L991&gt;=60,"Seniors"
)</f>
        <v>Middle-Aged</v>
      </c>
      <c r="N991" t="s">
        <v>20</v>
      </c>
    </row>
    <row r="992" spans="1:14" x14ac:dyDescent="0.3">
      <c r="A992">
        <v>14332</v>
      </c>
      <c r="B992" t="s">
        <v>40</v>
      </c>
      <c r="C992" t="s">
        <v>38</v>
      </c>
      <c r="D992" s="3">
        <v>30000</v>
      </c>
      <c r="E992">
        <v>0</v>
      </c>
      <c r="F992" t="s">
        <v>30</v>
      </c>
      <c r="G992" t="s">
        <v>16</v>
      </c>
      <c r="H992" t="s">
        <v>20</v>
      </c>
      <c r="I992">
        <v>2</v>
      </c>
      <c r="J992" t="s">
        <v>26</v>
      </c>
      <c r="K992" t="s">
        <v>35</v>
      </c>
      <c r="L992">
        <v>26</v>
      </c>
      <c r="M992" t="str" cm="1">
        <f t="array" ref="M992">_xlfn.IFS(
L992&lt;=12,"Children",
L992&lt;=19,"Teens",
L992&lt;=29,"Young Adults",
L992&lt;=39,"Adults",
L992&lt;=59,"Middle-Aged",
L992&gt;=60,"Seniors"
)</f>
        <v>Young Adults</v>
      </c>
      <c r="N992" t="s">
        <v>20</v>
      </c>
    </row>
    <row r="993" spans="1:14" x14ac:dyDescent="0.3">
      <c r="A993">
        <v>19117</v>
      </c>
      <c r="B993" t="s">
        <v>40</v>
      </c>
      <c r="C993" t="s">
        <v>38</v>
      </c>
      <c r="D993" s="3">
        <v>60000</v>
      </c>
      <c r="E993">
        <v>1</v>
      </c>
      <c r="F993" t="s">
        <v>34</v>
      </c>
      <c r="G993" t="s">
        <v>23</v>
      </c>
      <c r="H993" t="s">
        <v>17</v>
      </c>
      <c r="I993">
        <v>0</v>
      </c>
      <c r="J993" t="s">
        <v>24</v>
      </c>
      <c r="K993" t="s">
        <v>35</v>
      </c>
      <c r="L993">
        <v>36</v>
      </c>
      <c r="M993" t="str" cm="1">
        <f t="array" ref="M993">_xlfn.IFS(
L993&lt;=12,"Children",
L993&lt;=19,"Teens",
L993&lt;=29,"Young Adults",
L993&lt;=39,"Adults",
L993&lt;=59,"Middle-Aged",
L993&gt;=60,"Seniors"
)</f>
        <v>Adults</v>
      </c>
      <c r="N993" t="s">
        <v>17</v>
      </c>
    </row>
    <row r="994" spans="1:14" x14ac:dyDescent="0.3">
      <c r="A994">
        <v>22864</v>
      </c>
      <c r="B994" t="s">
        <v>37</v>
      </c>
      <c r="C994" t="s">
        <v>39</v>
      </c>
      <c r="D994" s="3">
        <v>90000</v>
      </c>
      <c r="E994">
        <v>2</v>
      </c>
      <c r="F994" t="s">
        <v>21</v>
      </c>
      <c r="G994" t="s">
        <v>23</v>
      </c>
      <c r="H994" t="s">
        <v>20</v>
      </c>
      <c r="I994">
        <v>0</v>
      </c>
      <c r="J994" t="s">
        <v>26</v>
      </c>
      <c r="K994" t="s">
        <v>35</v>
      </c>
      <c r="L994">
        <v>49</v>
      </c>
      <c r="M994" t="str" cm="1">
        <f t="array" ref="M994">_xlfn.IFS(
L994&lt;=12,"Children",
L994&lt;=19,"Teens",
L994&lt;=29,"Young Adults",
L994&lt;=39,"Adults",
L994&lt;=59,"Middle-Aged",
L994&gt;=60,"Seniors"
)</f>
        <v>Middle-Aged</v>
      </c>
      <c r="N994" t="s">
        <v>17</v>
      </c>
    </row>
    <row r="995" spans="1:14" x14ac:dyDescent="0.3">
      <c r="A995">
        <v>11292</v>
      </c>
      <c r="B995" t="s">
        <v>40</v>
      </c>
      <c r="C995" t="s">
        <v>39</v>
      </c>
      <c r="D995" s="3">
        <v>150000</v>
      </c>
      <c r="E995">
        <v>1</v>
      </c>
      <c r="F995" t="s">
        <v>21</v>
      </c>
      <c r="G995" t="s">
        <v>23</v>
      </c>
      <c r="H995" t="s">
        <v>20</v>
      </c>
      <c r="I995">
        <v>3</v>
      </c>
      <c r="J995" t="s">
        <v>18</v>
      </c>
      <c r="K995" t="s">
        <v>35</v>
      </c>
      <c r="L995">
        <v>44</v>
      </c>
      <c r="M995" t="str" cm="1">
        <f t="array" ref="M995">_xlfn.IFS(
L995&lt;=12,"Children",
L995&lt;=19,"Teens",
L995&lt;=29,"Young Adults",
L995&lt;=39,"Adults",
L995&lt;=59,"Middle-Aged",
L995&gt;=60,"Seniors"
)</f>
        <v>Middle-Aged</v>
      </c>
      <c r="N995" t="s">
        <v>17</v>
      </c>
    </row>
    <row r="996" spans="1:14" x14ac:dyDescent="0.3">
      <c r="A996">
        <v>13466</v>
      </c>
      <c r="B996" t="s">
        <v>37</v>
      </c>
      <c r="C996" t="s">
        <v>39</v>
      </c>
      <c r="D996" s="3">
        <v>80000</v>
      </c>
      <c r="E996">
        <v>5</v>
      </c>
      <c r="F996" t="s">
        <v>21</v>
      </c>
      <c r="G996" t="s">
        <v>23</v>
      </c>
      <c r="H996" t="s">
        <v>17</v>
      </c>
      <c r="I996">
        <v>3</v>
      </c>
      <c r="J996" t="s">
        <v>29</v>
      </c>
      <c r="K996" t="s">
        <v>35</v>
      </c>
      <c r="L996">
        <v>46</v>
      </c>
      <c r="M996" t="str" cm="1">
        <f t="array" ref="M996">_xlfn.IFS(
L996&lt;=12,"Children",
L996&lt;=19,"Teens",
L996&lt;=29,"Young Adults",
L996&lt;=39,"Adults",
L996&lt;=59,"Middle-Aged",
L996&gt;=60,"Seniors"
)</f>
        <v>Middle-Aged</v>
      </c>
      <c r="N996" t="s">
        <v>20</v>
      </c>
    </row>
    <row r="997" spans="1:14" x14ac:dyDescent="0.3">
      <c r="A997">
        <v>23731</v>
      </c>
      <c r="B997" t="s">
        <v>37</v>
      </c>
      <c r="C997" t="s">
        <v>39</v>
      </c>
      <c r="D997" s="3">
        <v>60000</v>
      </c>
      <c r="E997" s="2">
        <v>2</v>
      </c>
      <c r="F997" t="s">
        <v>30</v>
      </c>
      <c r="G997" t="s">
        <v>23</v>
      </c>
      <c r="H997" t="s">
        <v>17</v>
      </c>
      <c r="I997">
        <v>2</v>
      </c>
      <c r="J997" t="s">
        <v>24</v>
      </c>
      <c r="K997" t="s">
        <v>35</v>
      </c>
      <c r="L997">
        <v>54</v>
      </c>
      <c r="M997" t="str" cm="1">
        <f t="array" ref="M997">_xlfn.IFS(
L997&lt;=12,"Children",
L997&lt;=19,"Teens",
L997&lt;=29,"Young Adults",
L997&lt;=39,"Adults",
L997&lt;=59,"Middle-Aged",
L997&gt;=60,"Seniors"
)</f>
        <v>Middle-Aged</v>
      </c>
      <c r="N997" t="s">
        <v>17</v>
      </c>
    </row>
    <row r="998" spans="1:14" x14ac:dyDescent="0.3">
      <c r="A998">
        <v>28672</v>
      </c>
      <c r="B998" t="s">
        <v>40</v>
      </c>
      <c r="C998" t="s">
        <v>39</v>
      </c>
      <c r="D998" s="3">
        <v>70000</v>
      </c>
      <c r="E998">
        <v>4</v>
      </c>
      <c r="F998" t="s">
        <v>34</v>
      </c>
      <c r="G998" t="s">
        <v>23</v>
      </c>
      <c r="H998" t="s">
        <v>17</v>
      </c>
      <c r="I998">
        <v>0</v>
      </c>
      <c r="J998" t="s">
        <v>24</v>
      </c>
      <c r="K998" t="s">
        <v>35</v>
      </c>
      <c r="L998">
        <v>35</v>
      </c>
      <c r="M998" t="str" cm="1">
        <f t="array" ref="M998">_xlfn.IFS(
L998&lt;=12,"Children",
L998&lt;=19,"Teens",
L998&lt;=29,"Young Adults",
L998&lt;=39,"Adults",
L998&lt;=59,"Middle-Aged",
L998&gt;=60,"Seniors"
)</f>
        <v>Adults</v>
      </c>
      <c r="N998" t="s">
        <v>17</v>
      </c>
    </row>
    <row r="999" spans="1:14" x14ac:dyDescent="0.3">
      <c r="A999">
        <v>11809</v>
      </c>
      <c r="B999" t="s">
        <v>37</v>
      </c>
      <c r="C999" t="s">
        <v>39</v>
      </c>
      <c r="D999" s="3">
        <v>60000</v>
      </c>
      <c r="E999">
        <v>2</v>
      </c>
      <c r="F999" t="s">
        <v>15</v>
      </c>
      <c r="G999" t="s">
        <v>16</v>
      </c>
      <c r="H999" t="s">
        <v>17</v>
      </c>
      <c r="I999">
        <v>0</v>
      </c>
      <c r="J999" t="s">
        <v>18</v>
      </c>
      <c r="K999" t="s">
        <v>35</v>
      </c>
      <c r="L999">
        <v>38</v>
      </c>
      <c r="M999" t="str" cm="1">
        <f t="array" ref="M999">_xlfn.IFS(
L999&lt;=12,"Children",
L999&lt;=19,"Teens",
L999&lt;=29,"Young Adults",
L999&lt;=39,"Adults",
L999&lt;=59,"Middle-Aged",
L999&gt;=60,"Seniors"
)</f>
        <v>Adults</v>
      </c>
      <c r="N999" t="s">
        <v>17</v>
      </c>
    </row>
    <row r="1000" spans="1:14" x14ac:dyDescent="0.3">
      <c r="A1000">
        <v>19664</v>
      </c>
      <c r="B1000" t="s">
        <v>40</v>
      </c>
      <c r="C1000" t="s">
        <v>39</v>
      </c>
      <c r="D1000" s="3">
        <v>100000</v>
      </c>
      <c r="E1000">
        <v>3</v>
      </c>
      <c r="F1000" t="s">
        <v>15</v>
      </c>
      <c r="G1000" t="s">
        <v>31</v>
      </c>
      <c r="H1000" t="s">
        <v>20</v>
      </c>
      <c r="I1000">
        <v>3</v>
      </c>
      <c r="J1000" t="s">
        <v>29</v>
      </c>
      <c r="K1000" t="s">
        <v>35</v>
      </c>
      <c r="L1000">
        <v>38</v>
      </c>
      <c r="M1000" t="str" cm="1">
        <f t="array" ref="M1000">_xlfn.IFS(
L1000&lt;=12,"Children",
L1000&lt;=19,"Teens",
L1000&lt;=29,"Young Adults",
L1000&lt;=39,"Adults",
L1000&lt;=59,"Middle-Aged",
L1000&gt;=60,"Seniors"
)</f>
        <v>Adults</v>
      </c>
      <c r="N1000" t="s">
        <v>20</v>
      </c>
    </row>
    <row r="1001" spans="1:14" x14ac:dyDescent="0.3">
      <c r="A1001">
        <v>12121</v>
      </c>
      <c r="B1001" t="s">
        <v>40</v>
      </c>
      <c r="C1001" t="s">
        <v>39</v>
      </c>
      <c r="D1001" s="3">
        <v>60000</v>
      </c>
      <c r="E1001">
        <v>3</v>
      </c>
      <c r="F1001" t="s">
        <v>30</v>
      </c>
      <c r="G1001" t="s">
        <v>23</v>
      </c>
      <c r="H1001" t="s">
        <v>17</v>
      </c>
      <c r="I1001">
        <v>2</v>
      </c>
      <c r="J1001" t="s">
        <v>41</v>
      </c>
      <c r="K1001" t="s">
        <v>35</v>
      </c>
      <c r="L1001">
        <v>53</v>
      </c>
      <c r="M1001" t="str" cm="1">
        <f t="array" ref="M1001">_xlfn.IFS(
L1001&lt;=12,"Children",
L1001&lt;=19,"Teens",
L1001&lt;=29,"Young Adults",
L1001&lt;=39,"Adults",
L1001&lt;=59,"Middle-Aged",
L1001&gt;=60,"Seniors"
)</f>
        <v>Middle-Aged</v>
      </c>
      <c r="N1001" t="s">
        <v>17</v>
      </c>
    </row>
  </sheetData>
  <conditionalFormatting sqref="A2">
    <cfRule type="duplicateValues" dxfId="3" priority="4"/>
  </conditionalFormatting>
  <conditionalFormatting sqref="A2:A1001">
    <cfRule type="duplicateValues" dxfId="2" priority="2"/>
    <cfRule type="duplicateValues" dxfId="1" priority="3"/>
  </conditionalFormatting>
  <conditionalFormatting sqref="A1:N1001">
    <cfRule type="containsBlanks" dxfId="0" priority="1">
      <formula>LEN(TRIM(A1))=0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184A-FE6C-4F58-803B-65BD173863EC}">
  <dimension ref="A1:D159"/>
  <sheetViews>
    <sheetView tabSelected="1" topLeftCell="A233" workbookViewId="0">
      <selection activeCell="B146" sqref="B146"/>
    </sheetView>
  </sheetViews>
  <sheetFormatPr defaultRowHeight="14.4" x14ac:dyDescent="0.3"/>
  <cols>
    <col min="1" max="1" width="83.5546875" bestFit="1" customWidth="1"/>
    <col min="2" max="2" width="41.109375" customWidth="1"/>
    <col min="3" max="3" width="28.77734375" customWidth="1"/>
    <col min="4" max="4" width="29.5546875" customWidth="1"/>
  </cols>
  <sheetData>
    <row r="1" spans="1:1" x14ac:dyDescent="0.3">
      <c r="A1" t="s">
        <v>55</v>
      </c>
    </row>
    <row r="2" spans="1:1" x14ac:dyDescent="0.3">
      <c r="A2" t="s">
        <v>56</v>
      </c>
    </row>
    <row r="4" spans="1:1" x14ac:dyDescent="0.3">
      <c r="A4" t="s">
        <v>57</v>
      </c>
    </row>
    <row r="6" spans="1:1" x14ac:dyDescent="0.3">
      <c r="A6" t="s">
        <v>58</v>
      </c>
    </row>
    <row r="8" spans="1:1" x14ac:dyDescent="0.3">
      <c r="A8" t="s">
        <v>59</v>
      </c>
    </row>
    <row r="10" spans="1:1" x14ac:dyDescent="0.3">
      <c r="A10" t="s">
        <v>60</v>
      </c>
    </row>
    <row r="12" spans="1:1" x14ac:dyDescent="0.3">
      <c r="A12" t="s">
        <v>61</v>
      </c>
    </row>
    <row r="14" spans="1:1" x14ac:dyDescent="0.3">
      <c r="A14" t="s">
        <v>62</v>
      </c>
    </row>
    <row r="15" spans="1:1" x14ac:dyDescent="0.3">
      <c r="A15" t="s">
        <v>63</v>
      </c>
    </row>
    <row r="18" spans="1:1" x14ac:dyDescent="0.3">
      <c r="A18" t="s">
        <v>64</v>
      </c>
    </row>
    <row r="19" spans="1:1" x14ac:dyDescent="0.3">
      <c r="A19" t="s">
        <v>65</v>
      </c>
    </row>
    <row r="34" spans="1:1" x14ac:dyDescent="0.3">
      <c r="A34" t="s">
        <v>67</v>
      </c>
    </row>
    <row r="35" spans="1:1" x14ac:dyDescent="0.3">
      <c r="A35" t="s">
        <v>66</v>
      </c>
    </row>
    <row r="36" spans="1:1" x14ac:dyDescent="0.3">
      <c r="A36" t="s">
        <v>68</v>
      </c>
    </row>
    <row r="38" spans="1:1" x14ac:dyDescent="0.3">
      <c r="A38" t="s">
        <v>69</v>
      </c>
    </row>
    <row r="39" spans="1:1" x14ac:dyDescent="0.3">
      <c r="A39" t="s">
        <v>70</v>
      </c>
    </row>
    <row r="40" spans="1:1" ht="57.6" x14ac:dyDescent="0.3">
      <c r="A40" s="7" t="s">
        <v>72</v>
      </c>
    </row>
    <row r="49" spans="1:2" ht="72" x14ac:dyDescent="0.3">
      <c r="A49" s="7" t="s">
        <v>77</v>
      </c>
    </row>
    <row r="51" spans="1:2" ht="57.6" x14ac:dyDescent="0.3">
      <c r="A51" s="7" t="s">
        <v>76</v>
      </c>
    </row>
    <row r="54" spans="1:2" x14ac:dyDescent="0.3">
      <c r="A54" t="s">
        <v>79</v>
      </c>
    </row>
    <row r="56" spans="1:2" x14ac:dyDescent="0.3">
      <c r="A56" t="s">
        <v>80</v>
      </c>
      <c r="B56" t="s">
        <v>87</v>
      </c>
    </row>
    <row r="57" spans="1:2" x14ac:dyDescent="0.3">
      <c r="A57" s="7" t="s">
        <v>81</v>
      </c>
      <c r="B57" t="s">
        <v>17</v>
      </c>
    </row>
    <row r="58" spans="1:2" x14ac:dyDescent="0.3">
      <c r="A58" t="s">
        <v>82</v>
      </c>
    </row>
    <row r="59" spans="1:2" x14ac:dyDescent="0.3">
      <c r="A59" t="s">
        <v>83</v>
      </c>
    </row>
    <row r="84" spans="1:1" x14ac:dyDescent="0.3">
      <c r="A84" t="s">
        <v>89</v>
      </c>
    </row>
    <row r="103" spans="1:2" x14ac:dyDescent="0.3">
      <c r="A103" t="s">
        <v>90</v>
      </c>
    </row>
    <row r="104" spans="1:2" x14ac:dyDescent="0.3">
      <c r="A104" t="s">
        <v>91</v>
      </c>
      <c r="B104" t="s">
        <v>93</v>
      </c>
    </row>
    <row r="105" spans="1:2" x14ac:dyDescent="0.3">
      <c r="A105" t="s">
        <v>92</v>
      </c>
    </row>
    <row r="107" spans="1:2" x14ac:dyDescent="0.3">
      <c r="A107" s="7" t="s">
        <v>101</v>
      </c>
    </row>
    <row r="112" spans="1:2" ht="57.6" x14ac:dyDescent="0.3">
      <c r="A112" s="7" t="s">
        <v>99</v>
      </c>
    </row>
    <row r="115" spans="1:3" x14ac:dyDescent="0.3">
      <c r="A115" s="12" t="s">
        <v>100</v>
      </c>
    </row>
    <row r="116" spans="1:3" x14ac:dyDescent="0.3">
      <c r="A116" s="12"/>
    </row>
    <row r="117" spans="1:3" x14ac:dyDescent="0.3">
      <c r="A117" s="12"/>
    </row>
    <row r="118" spans="1:3" x14ac:dyDescent="0.3">
      <c r="A118" s="12"/>
    </row>
    <row r="119" spans="1:3" x14ac:dyDescent="0.3">
      <c r="A119" s="12"/>
    </row>
    <row r="120" spans="1:3" x14ac:dyDescent="0.3">
      <c r="A120" t="s">
        <v>107</v>
      </c>
    </row>
    <row r="121" spans="1:3" x14ac:dyDescent="0.3">
      <c r="A121" t="s">
        <v>108</v>
      </c>
    </row>
    <row r="123" spans="1:3" x14ac:dyDescent="0.3">
      <c r="A123" t="s">
        <v>109</v>
      </c>
      <c r="B123" t="s">
        <v>114</v>
      </c>
      <c r="C123" t="s">
        <v>116</v>
      </c>
    </row>
    <row r="124" spans="1:3" ht="43.2" x14ac:dyDescent="0.3">
      <c r="A124" t="s">
        <v>110</v>
      </c>
      <c r="B124" s="7" t="s">
        <v>115</v>
      </c>
      <c r="C124" t="s">
        <v>117</v>
      </c>
    </row>
    <row r="125" spans="1:3" x14ac:dyDescent="0.3">
      <c r="A125" t="s">
        <v>5</v>
      </c>
      <c r="B125" t="s">
        <v>118</v>
      </c>
      <c r="C125" t="s">
        <v>119</v>
      </c>
    </row>
    <row r="126" spans="1:3" x14ac:dyDescent="0.3">
      <c r="A126" t="s">
        <v>111</v>
      </c>
      <c r="B126" t="s">
        <v>120</v>
      </c>
      <c r="C126" t="s">
        <v>121</v>
      </c>
    </row>
    <row r="127" spans="1:3" ht="43.2" x14ac:dyDescent="0.3">
      <c r="A127" t="s">
        <v>112</v>
      </c>
      <c r="B127" s="7" t="s">
        <v>122</v>
      </c>
      <c r="C127" t="s">
        <v>121</v>
      </c>
    </row>
    <row r="128" spans="1:3" x14ac:dyDescent="0.3">
      <c r="A128" t="s">
        <v>113</v>
      </c>
      <c r="B128" t="s">
        <v>123</v>
      </c>
      <c r="C128" t="s">
        <v>124</v>
      </c>
    </row>
    <row r="130" spans="1:4" ht="28.8" x14ac:dyDescent="0.3">
      <c r="A130" s="7" t="s">
        <v>125</v>
      </c>
    </row>
    <row r="132" spans="1:4" x14ac:dyDescent="0.3">
      <c r="A132" t="s">
        <v>126</v>
      </c>
      <c r="D132" t="s">
        <v>130</v>
      </c>
    </row>
    <row r="133" spans="1:4" ht="72" x14ac:dyDescent="0.3">
      <c r="A133" s="7" t="s">
        <v>127</v>
      </c>
      <c r="B133" s="7" t="s">
        <v>128</v>
      </c>
      <c r="C133" s="7" t="s">
        <v>129</v>
      </c>
      <c r="D133" s="7" t="s">
        <v>131</v>
      </c>
    </row>
    <row r="135" spans="1:4" ht="72" x14ac:dyDescent="0.3">
      <c r="A135" t="s">
        <v>132</v>
      </c>
      <c r="B135" s="7" t="s">
        <v>134</v>
      </c>
      <c r="C135" s="7" t="s">
        <v>135</v>
      </c>
    </row>
    <row r="136" spans="1:4" x14ac:dyDescent="0.3">
      <c r="A136" t="s">
        <v>133</v>
      </c>
    </row>
    <row r="138" spans="1:4" x14ac:dyDescent="0.3">
      <c r="A138" t="s">
        <v>136</v>
      </c>
    </row>
    <row r="139" spans="1:4" x14ac:dyDescent="0.3">
      <c r="A139" s="7" t="s">
        <v>137</v>
      </c>
    </row>
    <row r="140" spans="1:4" ht="28.8" x14ac:dyDescent="0.3">
      <c r="A140" s="7" t="s">
        <v>138</v>
      </c>
    </row>
    <row r="143" spans="1:4" ht="28.8" x14ac:dyDescent="0.3">
      <c r="A143" s="7" t="s">
        <v>139</v>
      </c>
      <c r="B143" s="7" t="s">
        <v>140</v>
      </c>
    </row>
    <row r="146" spans="1:2" ht="28.8" x14ac:dyDescent="0.3">
      <c r="A146" t="s">
        <v>141</v>
      </c>
      <c r="B146" s="7" t="s">
        <v>142</v>
      </c>
    </row>
    <row r="149" spans="1:2" ht="72" x14ac:dyDescent="0.3">
      <c r="A149" t="s">
        <v>143</v>
      </c>
      <c r="B149" s="7" t="s">
        <v>144</v>
      </c>
    </row>
    <row r="151" spans="1:2" x14ac:dyDescent="0.3">
      <c r="A151" t="s">
        <v>145</v>
      </c>
    </row>
    <row r="154" spans="1:2" x14ac:dyDescent="0.3">
      <c r="A154" t="s">
        <v>146</v>
      </c>
    </row>
    <row r="157" spans="1:2" x14ac:dyDescent="0.3">
      <c r="A157" s="12" t="s">
        <v>147</v>
      </c>
    </row>
    <row r="158" spans="1:2" ht="28.8" x14ac:dyDescent="0.3">
      <c r="A158" s="7" t="s">
        <v>148</v>
      </c>
    </row>
    <row r="159" spans="1:2" ht="43.2" x14ac:dyDescent="0.3">
      <c r="A159" s="7" t="s">
        <v>149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77C9-571F-47FD-9DC1-2787D1578C08}">
  <dimension ref="A1:W154"/>
  <sheetViews>
    <sheetView topLeftCell="A11" workbookViewId="0">
      <selection activeCell="C151" sqref="C151"/>
    </sheetView>
  </sheetViews>
  <sheetFormatPr defaultRowHeight="14.4" x14ac:dyDescent="0.3"/>
  <cols>
    <col min="1" max="1" width="47.5546875" customWidth="1"/>
    <col min="2" max="2" width="43.88671875" customWidth="1"/>
    <col min="3" max="3" width="56.5546875" customWidth="1"/>
    <col min="4" max="4" width="25.5546875" customWidth="1"/>
    <col min="5" max="5" width="11.33203125" bestFit="1" customWidth="1"/>
    <col min="6" max="6" width="15.33203125" bestFit="1" customWidth="1"/>
    <col min="7" max="7" width="19.44140625" bestFit="1" customWidth="1"/>
    <col min="8" max="8" width="31.21875" bestFit="1" customWidth="1"/>
  </cols>
  <sheetData>
    <row r="1" spans="1:23" x14ac:dyDescent="0.3">
      <c r="A1" s="44" t="s">
        <v>150</v>
      </c>
      <c r="B1" s="45"/>
      <c r="C1" s="45"/>
      <c r="D1" s="45"/>
      <c r="E1" s="45"/>
      <c r="F1" s="45"/>
      <c r="G1" s="45"/>
      <c r="H1" s="45"/>
      <c r="I1" s="45"/>
      <c r="J1" s="45"/>
      <c r="K1" s="45"/>
      <c r="L1" s="45"/>
      <c r="M1" s="45"/>
      <c r="N1" s="45"/>
      <c r="O1" s="45"/>
      <c r="P1" s="45"/>
      <c r="Q1" s="45"/>
      <c r="R1" s="45"/>
      <c r="S1" s="45"/>
      <c r="T1" s="45"/>
      <c r="U1" s="45"/>
      <c r="V1" s="45"/>
      <c r="W1" s="45"/>
    </row>
    <row r="2" spans="1:23" x14ac:dyDescent="0.3">
      <c r="A2" s="45"/>
      <c r="B2" s="45"/>
      <c r="C2" s="45"/>
      <c r="D2" s="45"/>
      <c r="E2" s="45"/>
      <c r="F2" s="45"/>
      <c r="G2" s="45"/>
      <c r="H2" s="45"/>
      <c r="I2" s="45"/>
      <c r="J2" s="45"/>
      <c r="K2" s="45"/>
      <c r="L2" s="45"/>
      <c r="M2" s="45"/>
      <c r="N2" s="45"/>
      <c r="O2" s="45"/>
      <c r="P2" s="45"/>
      <c r="Q2" s="45"/>
      <c r="R2" s="45"/>
      <c r="S2" s="45"/>
      <c r="T2" s="45"/>
      <c r="U2" s="45"/>
      <c r="V2" s="45"/>
      <c r="W2" s="45"/>
    </row>
    <row r="3" spans="1:23" x14ac:dyDescent="0.3">
      <c r="A3" s="45"/>
      <c r="B3" s="45"/>
      <c r="C3" s="45"/>
      <c r="D3" s="45"/>
      <c r="E3" s="45"/>
      <c r="F3" s="45"/>
      <c r="G3" s="45"/>
      <c r="H3" s="45"/>
      <c r="I3" s="45"/>
      <c r="J3" s="45"/>
      <c r="K3" s="45"/>
      <c r="L3" s="45"/>
      <c r="M3" s="45"/>
      <c r="N3" s="45"/>
      <c r="O3" s="45"/>
      <c r="P3" s="45"/>
      <c r="Q3" s="45"/>
      <c r="R3" s="45"/>
      <c r="S3" s="45"/>
      <c r="T3" s="45"/>
      <c r="U3" s="45"/>
      <c r="V3" s="45"/>
      <c r="W3" s="45"/>
    </row>
    <row r="4" spans="1:23" s="20" customFormat="1" x14ac:dyDescent="0.3">
      <c r="A4" s="21" t="s">
        <v>155</v>
      </c>
      <c r="B4" s="22" t="s">
        <v>152</v>
      </c>
      <c r="C4" s="19"/>
      <c r="D4" s="19"/>
      <c r="E4" s="19"/>
      <c r="F4" s="19"/>
      <c r="G4" s="19"/>
      <c r="H4" s="19"/>
      <c r="I4" s="19"/>
      <c r="J4" s="19"/>
      <c r="K4" s="19"/>
      <c r="L4" s="19"/>
      <c r="M4" s="19"/>
      <c r="N4" s="19"/>
      <c r="O4" s="19"/>
      <c r="P4" s="19"/>
      <c r="Q4" s="19"/>
      <c r="R4" s="19"/>
      <c r="S4" s="19"/>
      <c r="T4" s="19"/>
      <c r="U4" s="19"/>
      <c r="V4" s="19"/>
      <c r="W4" s="19"/>
    </row>
    <row r="5" spans="1:23" ht="57.6" x14ac:dyDescent="0.3">
      <c r="A5" s="25" t="s">
        <v>151</v>
      </c>
      <c r="B5" s="7" t="s">
        <v>108</v>
      </c>
    </row>
    <row r="7" spans="1:23" x14ac:dyDescent="0.3">
      <c r="B7" s="26" t="s">
        <v>109</v>
      </c>
      <c r="C7" s="26" t="s">
        <v>114</v>
      </c>
      <c r="D7" s="26" t="s">
        <v>116</v>
      </c>
    </row>
    <row r="8" spans="1:23" ht="72" x14ac:dyDescent="0.3">
      <c r="A8" s="25" t="s">
        <v>153</v>
      </c>
      <c r="B8" s="24" t="s">
        <v>110</v>
      </c>
      <c r="C8" s="23" t="s">
        <v>115</v>
      </c>
      <c r="D8" s="23" t="s">
        <v>117</v>
      </c>
    </row>
    <row r="9" spans="1:23" x14ac:dyDescent="0.3">
      <c r="B9" s="24" t="s">
        <v>5</v>
      </c>
      <c r="C9" s="23" t="s">
        <v>118</v>
      </c>
      <c r="D9" s="23" t="s">
        <v>119</v>
      </c>
    </row>
    <row r="10" spans="1:23" x14ac:dyDescent="0.3">
      <c r="B10" s="24" t="s">
        <v>111</v>
      </c>
      <c r="C10" s="23" t="s">
        <v>120</v>
      </c>
      <c r="D10" s="23" t="s">
        <v>121</v>
      </c>
    </row>
    <row r="11" spans="1:23" ht="57.6" x14ac:dyDescent="0.3">
      <c r="B11" s="24" t="s">
        <v>112</v>
      </c>
      <c r="C11" s="23" t="s">
        <v>122</v>
      </c>
      <c r="D11" s="23" t="s">
        <v>121</v>
      </c>
    </row>
    <row r="12" spans="1:23" x14ac:dyDescent="0.3">
      <c r="B12" s="24" t="s">
        <v>113</v>
      </c>
      <c r="C12" s="23" t="s">
        <v>123</v>
      </c>
      <c r="D12" s="23" t="s">
        <v>124</v>
      </c>
    </row>
    <row r="14" spans="1:23" ht="72" x14ac:dyDescent="0.3">
      <c r="B14" s="7" t="s">
        <v>125</v>
      </c>
    </row>
    <row r="16" spans="1:23" ht="43.2" x14ac:dyDescent="0.3">
      <c r="A16" s="7" t="s">
        <v>154</v>
      </c>
      <c r="B16" s="7" t="s">
        <v>158</v>
      </c>
      <c r="C16" s="7" t="s">
        <v>159</v>
      </c>
    </row>
    <row r="18" spans="1:3" x14ac:dyDescent="0.3">
      <c r="B18" s="29" t="s">
        <v>157</v>
      </c>
      <c r="C18" s="30" t="s">
        <v>130</v>
      </c>
    </row>
    <row r="19" spans="1:3" ht="72" x14ac:dyDescent="0.3">
      <c r="B19" s="23" t="s">
        <v>156</v>
      </c>
      <c r="C19" s="23" t="s">
        <v>131</v>
      </c>
    </row>
    <row r="21" spans="1:3" ht="28.8" x14ac:dyDescent="0.3">
      <c r="B21" s="23" t="s">
        <v>67</v>
      </c>
    </row>
    <row r="22" spans="1:3" ht="43.2" x14ac:dyDescent="0.3">
      <c r="B22" s="23" t="s">
        <v>66</v>
      </c>
    </row>
    <row r="23" spans="1:3" ht="28.8" x14ac:dyDescent="0.3">
      <c r="B23" s="24" t="s">
        <v>68</v>
      </c>
    </row>
    <row r="27" spans="1:3" ht="43.2" x14ac:dyDescent="0.3">
      <c r="A27" s="23" t="s">
        <v>69</v>
      </c>
      <c r="B27" s="18" t="s">
        <v>160</v>
      </c>
    </row>
    <row r="28" spans="1:3" x14ac:dyDescent="0.3">
      <c r="A28" s="23" t="s">
        <v>70</v>
      </c>
    </row>
    <row r="30" spans="1:3" ht="72" x14ac:dyDescent="0.3">
      <c r="B30" s="7" t="s">
        <v>161</v>
      </c>
    </row>
    <row r="38" spans="1:2" ht="100.8" x14ac:dyDescent="0.3">
      <c r="A38" s="7" t="s">
        <v>77</v>
      </c>
      <c r="B38" s="7" t="s">
        <v>76</v>
      </c>
    </row>
    <row r="41" spans="1:2" x14ac:dyDescent="0.3">
      <c r="A41" t="s">
        <v>79</v>
      </c>
    </row>
    <row r="43" spans="1:2" ht="28.8" x14ac:dyDescent="0.3">
      <c r="A43" s="7" t="s">
        <v>80</v>
      </c>
      <c r="B43" s="31" t="s">
        <v>87</v>
      </c>
    </row>
    <row r="58" spans="1:2" ht="28.8" x14ac:dyDescent="0.3">
      <c r="A58" s="7" t="s">
        <v>81</v>
      </c>
      <c r="B58" s="9" t="s">
        <v>163</v>
      </c>
    </row>
    <row r="60" spans="1:2" ht="72" x14ac:dyDescent="0.3">
      <c r="B60" s="17" t="s">
        <v>164</v>
      </c>
    </row>
    <row r="76" spans="1:8" ht="28.8" x14ac:dyDescent="0.3">
      <c r="A76" s="7" t="s">
        <v>82</v>
      </c>
    </row>
    <row r="77" spans="1:8" ht="57.6" x14ac:dyDescent="0.3">
      <c r="A77" s="7" t="s">
        <v>172</v>
      </c>
      <c r="B77" s="4" t="s">
        <v>9</v>
      </c>
      <c r="C77" t="s">
        <v>41</v>
      </c>
      <c r="G77" s="4" t="s">
        <v>9</v>
      </c>
      <c r="H77" t="s">
        <v>41</v>
      </c>
    </row>
    <row r="78" spans="1:8" ht="28.8" x14ac:dyDescent="0.3">
      <c r="G78" s="27" t="s">
        <v>174</v>
      </c>
    </row>
    <row r="79" spans="1:8" x14ac:dyDescent="0.3">
      <c r="B79" s="4" t="s">
        <v>42</v>
      </c>
      <c r="C79" s="4" t="s">
        <v>49</v>
      </c>
      <c r="D79" t="s">
        <v>86</v>
      </c>
      <c r="G79" s="4" t="s">
        <v>42</v>
      </c>
      <c r="H79" t="s">
        <v>86</v>
      </c>
    </row>
    <row r="80" spans="1:8" x14ac:dyDescent="0.3">
      <c r="B80" s="5">
        <v>0</v>
      </c>
      <c r="C80" s="3">
        <v>71666.666666666672</v>
      </c>
      <c r="D80">
        <v>78</v>
      </c>
      <c r="G80" s="5" t="s">
        <v>31</v>
      </c>
      <c r="H80">
        <v>41</v>
      </c>
    </row>
    <row r="81" spans="1:10" x14ac:dyDescent="0.3">
      <c r="B81" s="5">
        <v>1</v>
      </c>
      <c r="C81" s="3">
        <v>82424.242424242431</v>
      </c>
      <c r="D81">
        <v>33</v>
      </c>
      <c r="G81" s="5" t="s">
        <v>23</v>
      </c>
      <c r="H81">
        <v>60</v>
      </c>
    </row>
    <row r="82" spans="1:10" x14ac:dyDescent="0.3">
      <c r="B82" s="5" t="s">
        <v>44</v>
      </c>
      <c r="C82" s="3">
        <v>74864.864864864867</v>
      </c>
      <c r="D82">
        <v>111</v>
      </c>
      <c r="G82" s="5" t="s">
        <v>16</v>
      </c>
      <c r="H82">
        <v>10</v>
      </c>
    </row>
    <row r="83" spans="1:10" x14ac:dyDescent="0.3">
      <c r="B83" s="5"/>
      <c r="C83" s="3"/>
      <c r="G83" s="5" t="s">
        <v>44</v>
      </c>
      <c r="H83">
        <v>111</v>
      </c>
    </row>
    <row r="84" spans="1:10" x14ac:dyDescent="0.3">
      <c r="B84" s="5"/>
      <c r="C84" s="3"/>
    </row>
    <row r="85" spans="1:10" x14ac:dyDescent="0.3">
      <c r="B85" t="s">
        <v>177</v>
      </c>
      <c r="C85" s="3"/>
      <c r="G85" t="s">
        <v>175</v>
      </c>
    </row>
    <row r="86" spans="1:10" x14ac:dyDescent="0.3">
      <c r="B86" s="5"/>
      <c r="C86" s="3"/>
      <c r="G86" t="s">
        <v>176</v>
      </c>
    </row>
    <row r="87" spans="1:10" ht="43.2" x14ac:dyDescent="0.3">
      <c r="B87" s="18" t="s">
        <v>178</v>
      </c>
      <c r="C87" s="3"/>
    </row>
    <row r="88" spans="1:10" ht="28.8" x14ac:dyDescent="0.3">
      <c r="B88" s="5"/>
      <c r="C88" s="3"/>
      <c r="H88" s="39" t="s">
        <v>180</v>
      </c>
      <c r="I88" s="41"/>
      <c r="J88" s="41"/>
    </row>
    <row r="89" spans="1:10" x14ac:dyDescent="0.3">
      <c r="B89" s="5"/>
      <c r="C89" s="3"/>
      <c r="H89" s="41"/>
      <c r="I89" s="41"/>
      <c r="J89" s="41"/>
    </row>
    <row r="90" spans="1:10" ht="28.8" x14ac:dyDescent="0.3">
      <c r="A90" s="7" t="s">
        <v>83</v>
      </c>
      <c r="B90" s="4" t="s">
        <v>42</v>
      </c>
      <c r="C90" t="s">
        <v>166</v>
      </c>
      <c r="H90" s="42" t="s">
        <v>181</v>
      </c>
      <c r="I90" s="41"/>
      <c r="J90" s="41"/>
    </row>
    <row r="91" spans="1:10" x14ac:dyDescent="0.3">
      <c r="B91" s="5" t="s">
        <v>19</v>
      </c>
      <c r="C91" s="13">
        <v>0.49333333333333335</v>
      </c>
      <c r="H91" s="43"/>
      <c r="I91" s="41"/>
      <c r="J91" s="41"/>
    </row>
    <row r="92" spans="1:10" x14ac:dyDescent="0.3">
      <c r="B92" s="6" t="s">
        <v>22</v>
      </c>
      <c r="C92" s="13">
        <v>0.55652173913043479</v>
      </c>
      <c r="H92" s="43" t="s">
        <v>182</v>
      </c>
      <c r="I92" s="41"/>
      <c r="J92" s="41"/>
    </row>
    <row r="93" spans="1:10" x14ac:dyDescent="0.3">
      <c r="B93" s="6" t="s">
        <v>31</v>
      </c>
      <c r="C93" s="13">
        <v>0.1875</v>
      </c>
      <c r="H93" s="43" t="s">
        <v>183</v>
      </c>
      <c r="I93" s="41"/>
      <c r="J93" s="41"/>
    </row>
    <row r="94" spans="1:10" x14ac:dyDescent="0.3">
      <c r="B94" s="6" t="s">
        <v>28</v>
      </c>
      <c r="C94" s="13">
        <v>0.41176470588235292</v>
      </c>
      <c r="H94" s="41"/>
      <c r="I94" s="41"/>
      <c r="J94" s="41"/>
    </row>
    <row r="95" spans="1:10" x14ac:dyDescent="0.3">
      <c r="B95" s="6" t="s">
        <v>23</v>
      </c>
      <c r="C95" s="13">
        <v>0.54054054054054057</v>
      </c>
      <c r="H95" s="42" t="s">
        <v>184</v>
      </c>
      <c r="I95" s="41"/>
      <c r="J95" s="41"/>
    </row>
    <row r="96" spans="1:10" x14ac:dyDescent="0.3">
      <c r="B96" s="6" t="s">
        <v>16</v>
      </c>
      <c r="C96" s="13">
        <v>0.6333333333333333</v>
      </c>
      <c r="H96" s="43"/>
      <c r="I96" s="41"/>
      <c r="J96" s="41"/>
    </row>
    <row r="97" spans="1:10" x14ac:dyDescent="0.3">
      <c r="B97" s="5" t="s">
        <v>35</v>
      </c>
      <c r="C97" s="13">
        <v>0.43307086614173229</v>
      </c>
      <c r="H97" s="43" t="s">
        <v>185</v>
      </c>
      <c r="I97" s="41"/>
      <c r="J97" s="41"/>
    </row>
    <row r="98" spans="1:10" x14ac:dyDescent="0.3">
      <c r="B98" s="6" t="s">
        <v>22</v>
      </c>
      <c r="C98" s="13">
        <v>0.32432432432432434</v>
      </c>
      <c r="H98" s="43" t="s">
        <v>186</v>
      </c>
      <c r="I98" s="41"/>
      <c r="J98" s="41"/>
    </row>
    <row r="99" spans="1:10" x14ac:dyDescent="0.3">
      <c r="B99" s="6" t="s">
        <v>31</v>
      </c>
      <c r="C99" s="13">
        <v>0.35185185185185186</v>
      </c>
      <c r="H99" s="43" t="s">
        <v>187</v>
      </c>
      <c r="I99" s="41"/>
      <c r="J99" s="41"/>
    </row>
    <row r="100" spans="1:10" x14ac:dyDescent="0.3">
      <c r="B100" s="6" t="s">
        <v>28</v>
      </c>
      <c r="C100" s="13">
        <v>0.5</v>
      </c>
      <c r="H100" s="41"/>
      <c r="I100" s="41"/>
      <c r="J100" s="41"/>
    </row>
    <row r="101" spans="1:10" x14ac:dyDescent="0.3">
      <c r="B101" s="6" t="s">
        <v>23</v>
      </c>
      <c r="C101" s="13">
        <v>0.53714285714285714</v>
      </c>
      <c r="H101" s="42" t="s">
        <v>188</v>
      </c>
      <c r="I101" s="41"/>
      <c r="J101" s="41"/>
    </row>
    <row r="102" spans="1:10" x14ac:dyDescent="0.3">
      <c r="B102" s="6" t="s">
        <v>16</v>
      </c>
      <c r="C102" s="13">
        <v>0.40217391304347827</v>
      </c>
      <c r="H102" s="43"/>
      <c r="I102" s="41"/>
      <c r="J102" s="41"/>
    </row>
    <row r="103" spans="1:10" x14ac:dyDescent="0.3">
      <c r="B103" s="5" t="s">
        <v>27</v>
      </c>
      <c r="C103" s="13">
        <v>0.58854166666666663</v>
      </c>
      <c r="H103" s="43" t="s">
        <v>189</v>
      </c>
      <c r="I103" s="41"/>
      <c r="J103" s="41"/>
    </row>
    <row r="104" spans="1:10" x14ac:dyDescent="0.3">
      <c r="B104" s="6" t="s">
        <v>22</v>
      </c>
      <c r="C104" s="13">
        <v>0.48</v>
      </c>
    </row>
    <row r="105" spans="1:10" x14ac:dyDescent="0.3">
      <c r="B105" s="6" t="s">
        <v>31</v>
      </c>
      <c r="C105" s="13">
        <v>0.65306122448979587</v>
      </c>
    </row>
    <row r="106" spans="1:10" x14ac:dyDescent="0.3">
      <c r="B106" s="6" t="s">
        <v>28</v>
      </c>
      <c r="C106" s="13">
        <v>0.84615384615384615</v>
      </c>
    </row>
    <row r="107" spans="1:10" x14ac:dyDescent="0.3">
      <c r="B107" s="6" t="s">
        <v>23</v>
      </c>
      <c r="C107" s="13">
        <v>0.5625</v>
      </c>
    </row>
    <row r="108" spans="1:10" x14ac:dyDescent="0.3">
      <c r="B108" s="6" t="s">
        <v>16</v>
      </c>
      <c r="C108" s="13">
        <v>0.53658536585365857</v>
      </c>
    </row>
    <row r="109" spans="1:10" x14ac:dyDescent="0.3">
      <c r="B109" s="5" t="s">
        <v>44</v>
      </c>
      <c r="C109" s="13">
        <v>0.48099999999999998</v>
      </c>
    </row>
    <row r="112" spans="1:10" ht="28.8" x14ac:dyDescent="0.3">
      <c r="A112" s="7" t="s">
        <v>162</v>
      </c>
      <c r="B112" s="32" t="s">
        <v>42</v>
      </c>
      <c r="C112" s="9" t="s">
        <v>105</v>
      </c>
      <c r="D112" s="9" t="s">
        <v>106</v>
      </c>
      <c r="E112" s="9" t="s">
        <v>104</v>
      </c>
      <c r="F112" s="9" t="s">
        <v>103</v>
      </c>
      <c r="G112" s="36" t="s">
        <v>102</v>
      </c>
    </row>
    <row r="113" spans="1:7" x14ac:dyDescent="0.3">
      <c r="A113" s="7"/>
      <c r="B113" s="9" t="s">
        <v>19</v>
      </c>
      <c r="C113" s="36">
        <v>0.22489239598278335</v>
      </c>
      <c r="D113" s="10">
        <v>40900</v>
      </c>
      <c r="E113" s="9">
        <v>148</v>
      </c>
      <c r="F113" s="9">
        <v>300</v>
      </c>
      <c r="G113" s="36">
        <v>0.49333333333333335</v>
      </c>
    </row>
    <row r="114" spans="1:7" x14ac:dyDescent="0.3">
      <c r="A114" s="7"/>
      <c r="B114" s="9" t="s">
        <v>35</v>
      </c>
      <c r="C114" s="36">
        <v>0.51434720229555242</v>
      </c>
      <c r="D114" s="10">
        <v>62755.905511811026</v>
      </c>
      <c r="E114" s="9">
        <v>220</v>
      </c>
      <c r="F114" s="9">
        <v>508</v>
      </c>
      <c r="G114" s="36">
        <v>0.43307086614173229</v>
      </c>
    </row>
    <row r="115" spans="1:7" x14ac:dyDescent="0.3">
      <c r="A115" s="7"/>
      <c r="B115" s="9" t="s">
        <v>27</v>
      </c>
      <c r="C115" s="36">
        <v>0.26076040172166426</v>
      </c>
      <c r="D115" s="10">
        <v>63593.75</v>
      </c>
      <c r="E115" s="9">
        <v>113</v>
      </c>
      <c r="F115" s="9">
        <v>192</v>
      </c>
      <c r="G115" s="36">
        <v>0.58854166666666663</v>
      </c>
    </row>
    <row r="116" spans="1:7" x14ac:dyDescent="0.3">
      <c r="A116" s="7"/>
      <c r="B116" s="9" t="s">
        <v>44</v>
      </c>
      <c r="C116" s="36">
        <v>1</v>
      </c>
      <c r="D116" s="10">
        <v>56360</v>
      </c>
      <c r="E116" s="9">
        <v>481</v>
      </c>
      <c r="F116" s="9">
        <v>1000</v>
      </c>
      <c r="G116" s="36">
        <v>0.48099999999999998</v>
      </c>
    </row>
    <row r="117" spans="1:7" x14ac:dyDescent="0.3">
      <c r="A117" s="7"/>
    </row>
    <row r="118" spans="1:7" x14ac:dyDescent="0.3">
      <c r="A118" s="7"/>
    </row>
    <row r="119" spans="1:7" x14ac:dyDescent="0.3">
      <c r="A119" s="7"/>
    </row>
    <row r="120" spans="1:7" x14ac:dyDescent="0.3">
      <c r="A120" s="7"/>
    </row>
    <row r="121" spans="1:7" x14ac:dyDescent="0.3">
      <c r="A121" s="7"/>
    </row>
    <row r="122" spans="1:7" x14ac:dyDescent="0.3">
      <c r="A122" s="7"/>
    </row>
    <row r="129" spans="1:3" ht="43.2" x14ac:dyDescent="0.3">
      <c r="A129" s="7" t="s">
        <v>190</v>
      </c>
      <c r="B129" s="8" t="s">
        <v>42</v>
      </c>
      <c r="C129" s="8" t="s">
        <v>51</v>
      </c>
    </row>
    <row r="130" spans="1:3" x14ac:dyDescent="0.3">
      <c r="B130" s="5" t="s">
        <v>23</v>
      </c>
      <c r="C130">
        <v>276</v>
      </c>
    </row>
    <row r="131" spans="1:3" x14ac:dyDescent="0.3">
      <c r="B131" s="5" t="s">
        <v>22</v>
      </c>
      <c r="C131">
        <v>177</v>
      </c>
    </row>
    <row r="132" spans="1:3" x14ac:dyDescent="0.3">
      <c r="B132" s="5" t="s">
        <v>28</v>
      </c>
      <c r="C132">
        <v>119</v>
      </c>
    </row>
    <row r="133" spans="1:3" x14ac:dyDescent="0.3">
      <c r="B133" s="5" t="s">
        <v>16</v>
      </c>
      <c r="C133">
        <v>255</v>
      </c>
    </row>
    <row r="134" spans="1:3" x14ac:dyDescent="0.3">
      <c r="B134" s="5" t="s">
        <v>31</v>
      </c>
      <c r="C134">
        <v>173</v>
      </c>
    </row>
    <row r="135" spans="1:3" x14ac:dyDescent="0.3">
      <c r="B135" s="37" t="s">
        <v>44</v>
      </c>
      <c r="C135" s="38">
        <v>1000</v>
      </c>
    </row>
    <row r="140" spans="1:3" x14ac:dyDescent="0.3">
      <c r="A140" t="s">
        <v>167</v>
      </c>
      <c r="B140" s="4" t="s">
        <v>42</v>
      </c>
      <c r="C140" t="s">
        <v>166</v>
      </c>
    </row>
    <row r="141" spans="1:3" x14ac:dyDescent="0.3">
      <c r="B141" s="5" t="s">
        <v>73</v>
      </c>
      <c r="C141" s="13">
        <v>0.52380952380952384</v>
      </c>
    </row>
    <row r="142" spans="1:3" x14ac:dyDescent="0.3">
      <c r="B142" s="5" t="s">
        <v>74</v>
      </c>
      <c r="C142" s="13">
        <v>0.47425897035881437</v>
      </c>
    </row>
    <row r="143" spans="1:3" x14ac:dyDescent="0.3">
      <c r="B143" s="5" t="s">
        <v>75</v>
      </c>
      <c r="C143" s="13">
        <v>0.48895899053627762</v>
      </c>
    </row>
    <row r="144" spans="1:3" x14ac:dyDescent="0.3">
      <c r="B144" s="5" t="s">
        <v>44</v>
      </c>
      <c r="C144" s="13">
        <v>0.48099999999999998</v>
      </c>
    </row>
    <row r="148" spans="1:2" ht="72" x14ac:dyDescent="0.3">
      <c r="A148" s="7" t="s">
        <v>168</v>
      </c>
      <c r="B148" t="s">
        <v>191</v>
      </c>
    </row>
    <row r="153" spans="1:2" x14ac:dyDescent="0.3">
      <c r="A153" t="s">
        <v>169</v>
      </c>
      <c r="B153" s="12" t="s">
        <v>170</v>
      </c>
    </row>
    <row r="154" spans="1:2" x14ac:dyDescent="0.3">
      <c r="B154" t="s">
        <v>171</v>
      </c>
    </row>
  </sheetData>
  <mergeCells count="1">
    <mergeCell ref="A1:W3"/>
  </mergeCells>
  <conditionalFormatting sqref="C130:C134">
    <cfRule type="colorScale" priority="5">
      <colorScale>
        <cfvo type="min"/>
        <cfvo type="percentile" val="50"/>
        <cfvo type="max"/>
        <color rgb="FFF8696B"/>
        <color rgb="FFFFEB84"/>
        <color rgb="FF63BE7B"/>
      </colorScale>
    </cfRule>
  </conditionalFormatting>
  <conditionalFormatting pivot="1" sqref="C141:C143">
    <cfRule type="colorScale" priority="4">
      <colorScale>
        <cfvo type="min"/>
        <cfvo type="max"/>
        <color rgb="FFFCFCFF"/>
        <color rgb="FF63BE7B"/>
      </colorScale>
    </cfRule>
  </conditionalFormatting>
  <conditionalFormatting pivot="1" sqref="C92:C96">
    <cfRule type="colorScale" priority="3">
      <colorScale>
        <cfvo type="min"/>
        <cfvo type="max"/>
        <color rgb="FFF8696B"/>
        <color rgb="FFFCFCFF"/>
      </colorScale>
    </cfRule>
  </conditionalFormatting>
  <conditionalFormatting pivot="1" sqref="C98:C102 C104:C108">
    <cfRule type="colorScale" priority="2">
      <colorScale>
        <cfvo type="min"/>
        <cfvo type="max"/>
        <color rgb="FFF8696B"/>
        <color rgb="FFFCFCFF"/>
      </colorScale>
    </cfRule>
  </conditionalFormatting>
  <conditionalFormatting pivot="1" sqref="G113:G115">
    <cfRule type="colorScale" priority="1">
      <colorScale>
        <cfvo type="min"/>
        <cfvo type="max"/>
        <color rgb="FFFF0000"/>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D055-6748-47F0-8CA6-69545B6647CA}">
  <dimension ref="A1:G196"/>
  <sheetViews>
    <sheetView topLeftCell="A187" workbookViewId="0">
      <selection activeCell="K6" sqref="K6"/>
    </sheetView>
  </sheetViews>
  <sheetFormatPr defaultRowHeight="14.4" x14ac:dyDescent="0.3"/>
  <cols>
    <col min="1" max="1" width="21.88671875" bestFit="1" customWidth="1"/>
    <col min="2" max="2" width="17.77734375" bestFit="1" customWidth="1"/>
    <col min="3" max="3" width="23.88671875" bestFit="1" customWidth="1"/>
    <col min="4" max="4" width="10.77734375" bestFit="1" customWidth="1"/>
    <col min="5" max="5" width="15.33203125" bestFit="1" customWidth="1"/>
    <col min="6" max="6" width="19.44140625" bestFit="1" customWidth="1"/>
    <col min="7" max="7" width="20.6640625" bestFit="1" customWidth="1"/>
  </cols>
  <sheetData>
    <row r="1" spans="1:4" x14ac:dyDescent="0.3">
      <c r="A1" s="32" t="s">
        <v>49</v>
      </c>
      <c r="B1" s="32" t="s">
        <v>50</v>
      </c>
      <c r="C1" s="9"/>
      <c r="D1" s="9"/>
    </row>
    <row r="2" spans="1:4" x14ac:dyDescent="0.3">
      <c r="A2" s="32" t="s">
        <v>42</v>
      </c>
      <c r="B2" s="9" t="s">
        <v>20</v>
      </c>
      <c r="C2" s="9" t="s">
        <v>17</v>
      </c>
      <c r="D2" s="9" t="s">
        <v>44</v>
      </c>
    </row>
    <row r="3" spans="1:4" x14ac:dyDescent="0.3">
      <c r="A3" s="9" t="s">
        <v>38</v>
      </c>
      <c r="B3" s="10">
        <v>82400</v>
      </c>
      <c r="C3" s="10">
        <v>92500</v>
      </c>
      <c r="D3" s="10">
        <v>86341.463414634141</v>
      </c>
    </row>
    <row r="4" spans="1:4" x14ac:dyDescent="0.3">
      <c r="A4" s="9" t="s">
        <v>39</v>
      </c>
      <c r="B4" s="10">
        <v>82325.58139534884</v>
      </c>
      <c r="C4" s="10">
        <v>90714.28571428571</v>
      </c>
      <c r="D4" s="10">
        <v>84385.964912280702</v>
      </c>
    </row>
    <row r="5" spans="1:4" x14ac:dyDescent="0.3">
      <c r="A5" s="9" t="s">
        <v>44</v>
      </c>
      <c r="B5" s="10">
        <v>82352.941176470587</v>
      </c>
      <c r="C5" s="10">
        <v>91666.666666666672</v>
      </c>
      <c r="D5" s="10">
        <v>85204.081632653062</v>
      </c>
    </row>
    <row r="18" spans="1:4" x14ac:dyDescent="0.3">
      <c r="A18" s="32" t="s">
        <v>51</v>
      </c>
      <c r="B18" s="32" t="s">
        <v>50</v>
      </c>
      <c r="C18" s="9"/>
      <c r="D18" s="9"/>
    </row>
    <row r="19" spans="1:4" x14ac:dyDescent="0.3">
      <c r="A19" s="32" t="s">
        <v>42</v>
      </c>
      <c r="B19" s="9" t="s">
        <v>20</v>
      </c>
      <c r="C19" s="9" t="s">
        <v>17</v>
      </c>
      <c r="D19" s="9" t="s">
        <v>44</v>
      </c>
    </row>
    <row r="20" spans="1:4" x14ac:dyDescent="0.3">
      <c r="A20" s="9" t="s">
        <v>18</v>
      </c>
      <c r="B20" s="48">
        <v>14</v>
      </c>
      <c r="C20" s="48">
        <v>11</v>
      </c>
      <c r="D20" s="48">
        <v>25</v>
      </c>
    </row>
    <row r="21" spans="1:4" x14ac:dyDescent="0.3">
      <c r="A21" s="9" t="s">
        <v>29</v>
      </c>
      <c r="B21" s="48">
        <v>13</v>
      </c>
      <c r="C21" s="48">
        <v>6</v>
      </c>
      <c r="D21" s="48">
        <v>19</v>
      </c>
    </row>
    <row r="22" spans="1:4" x14ac:dyDescent="0.3">
      <c r="A22" s="9" t="s">
        <v>24</v>
      </c>
      <c r="B22" s="48">
        <v>11</v>
      </c>
      <c r="C22" s="48">
        <v>4</v>
      </c>
      <c r="D22" s="48">
        <v>15</v>
      </c>
    </row>
    <row r="23" spans="1:4" x14ac:dyDescent="0.3">
      <c r="A23" s="9" t="s">
        <v>26</v>
      </c>
      <c r="B23" s="48">
        <v>12</v>
      </c>
      <c r="C23" s="48">
        <v>5</v>
      </c>
      <c r="D23" s="48">
        <v>17</v>
      </c>
    </row>
    <row r="24" spans="1:4" x14ac:dyDescent="0.3">
      <c r="A24" s="9" t="s">
        <v>41</v>
      </c>
      <c r="B24" s="48">
        <v>18</v>
      </c>
      <c r="C24" s="48">
        <v>4</v>
      </c>
      <c r="D24" s="48">
        <v>22</v>
      </c>
    </row>
    <row r="25" spans="1:4" x14ac:dyDescent="0.3">
      <c r="A25" s="9" t="s">
        <v>44</v>
      </c>
      <c r="B25" s="48">
        <v>68</v>
      </c>
      <c r="C25" s="48">
        <v>30</v>
      </c>
      <c r="D25" s="48">
        <v>98</v>
      </c>
    </row>
    <row r="35" spans="1:4" x14ac:dyDescent="0.3">
      <c r="A35" s="32" t="s">
        <v>51</v>
      </c>
      <c r="B35" s="32" t="s">
        <v>50</v>
      </c>
      <c r="C35" s="9"/>
      <c r="D35" s="9"/>
    </row>
    <row r="36" spans="1:4" x14ac:dyDescent="0.3">
      <c r="A36" s="32" t="s">
        <v>42</v>
      </c>
      <c r="B36" s="9" t="s">
        <v>20</v>
      </c>
      <c r="C36" s="9" t="s">
        <v>17</v>
      </c>
      <c r="D36" s="9" t="s">
        <v>44</v>
      </c>
    </row>
    <row r="37" spans="1:4" x14ac:dyDescent="0.3">
      <c r="A37" s="9" t="s">
        <v>52</v>
      </c>
      <c r="B37" s="48">
        <v>34</v>
      </c>
      <c r="C37" s="48">
        <v>9</v>
      </c>
      <c r="D37" s="48">
        <v>43</v>
      </c>
    </row>
    <row r="38" spans="1:4" x14ac:dyDescent="0.3">
      <c r="A38" s="9" t="s">
        <v>53</v>
      </c>
      <c r="B38" s="48">
        <v>31</v>
      </c>
      <c r="C38" s="48">
        <v>12</v>
      </c>
      <c r="D38" s="48">
        <v>43</v>
      </c>
    </row>
    <row r="39" spans="1:4" x14ac:dyDescent="0.3">
      <c r="A39" s="9" t="s">
        <v>54</v>
      </c>
      <c r="B39" s="48">
        <v>3</v>
      </c>
      <c r="C39" s="48">
        <v>9</v>
      </c>
      <c r="D39" s="48">
        <v>12</v>
      </c>
    </row>
    <row r="40" spans="1:4" x14ac:dyDescent="0.3">
      <c r="A40" s="9" t="s">
        <v>44</v>
      </c>
      <c r="B40" s="48">
        <v>68</v>
      </c>
      <c r="C40" s="48">
        <v>30</v>
      </c>
      <c r="D40" s="48">
        <v>98</v>
      </c>
    </row>
    <row r="52" spans="1:4" x14ac:dyDescent="0.3">
      <c r="A52" s="32" t="s">
        <v>51</v>
      </c>
      <c r="B52" s="32" t="s">
        <v>50</v>
      </c>
      <c r="C52" s="9"/>
      <c r="D52" s="9"/>
    </row>
    <row r="53" spans="1:4" x14ac:dyDescent="0.3">
      <c r="A53" s="32" t="s">
        <v>42</v>
      </c>
      <c r="B53" s="9" t="s">
        <v>20</v>
      </c>
      <c r="C53" s="9" t="s">
        <v>17</v>
      </c>
      <c r="D53" s="9" t="s">
        <v>44</v>
      </c>
    </row>
    <row r="54" spans="1:4" x14ac:dyDescent="0.3">
      <c r="A54" s="9" t="s">
        <v>19</v>
      </c>
      <c r="B54" s="9">
        <v>152</v>
      </c>
      <c r="C54" s="9">
        <v>148</v>
      </c>
      <c r="D54" s="9">
        <v>300</v>
      </c>
    </row>
    <row r="55" spans="1:4" x14ac:dyDescent="0.3">
      <c r="A55" s="9" t="s">
        <v>35</v>
      </c>
      <c r="B55" s="9">
        <v>288</v>
      </c>
      <c r="C55" s="9">
        <v>220</v>
      </c>
      <c r="D55" s="9">
        <v>508</v>
      </c>
    </row>
    <row r="56" spans="1:4" x14ac:dyDescent="0.3">
      <c r="A56" s="9" t="s">
        <v>27</v>
      </c>
      <c r="B56" s="9">
        <v>79</v>
      </c>
      <c r="C56" s="9">
        <v>113</v>
      </c>
      <c r="D56" s="9">
        <v>192</v>
      </c>
    </row>
    <row r="57" spans="1:4" x14ac:dyDescent="0.3">
      <c r="A57" s="9" t="s">
        <v>44</v>
      </c>
      <c r="B57" s="9">
        <v>519</v>
      </c>
      <c r="C57" s="9">
        <v>481</v>
      </c>
      <c r="D57" s="9">
        <v>1000</v>
      </c>
    </row>
    <row r="70" spans="1:2" x14ac:dyDescent="0.3">
      <c r="A70" s="32" t="s">
        <v>42</v>
      </c>
      <c r="B70" s="9" t="s">
        <v>51</v>
      </c>
    </row>
    <row r="71" spans="1:2" x14ac:dyDescent="0.3">
      <c r="A71" s="9" t="s">
        <v>73</v>
      </c>
      <c r="B71" s="9">
        <v>42</v>
      </c>
    </row>
    <row r="72" spans="1:2" x14ac:dyDescent="0.3">
      <c r="A72" s="9" t="s">
        <v>20</v>
      </c>
      <c r="B72" s="9">
        <v>20</v>
      </c>
    </row>
    <row r="73" spans="1:2" x14ac:dyDescent="0.3">
      <c r="A73" s="9" t="s">
        <v>17</v>
      </c>
      <c r="B73" s="9">
        <v>22</v>
      </c>
    </row>
    <row r="74" spans="1:2" x14ac:dyDescent="0.3">
      <c r="A74" s="9" t="s">
        <v>74</v>
      </c>
      <c r="B74" s="9">
        <v>641</v>
      </c>
    </row>
    <row r="75" spans="1:2" x14ac:dyDescent="0.3">
      <c r="A75" s="9" t="s">
        <v>20</v>
      </c>
      <c r="B75" s="9">
        <v>337</v>
      </c>
    </row>
    <row r="76" spans="1:2" x14ac:dyDescent="0.3">
      <c r="A76" s="9" t="s">
        <v>17</v>
      </c>
      <c r="B76" s="9">
        <v>304</v>
      </c>
    </row>
    <row r="77" spans="1:2" x14ac:dyDescent="0.3">
      <c r="A77" s="9" t="s">
        <v>75</v>
      </c>
      <c r="B77" s="9">
        <v>317</v>
      </c>
    </row>
    <row r="78" spans="1:2" x14ac:dyDescent="0.3">
      <c r="A78" s="9" t="s">
        <v>20</v>
      </c>
      <c r="B78" s="9">
        <v>162</v>
      </c>
    </row>
    <row r="79" spans="1:2" x14ac:dyDescent="0.3">
      <c r="A79" s="9" t="s">
        <v>17</v>
      </c>
      <c r="B79" s="9">
        <v>155</v>
      </c>
    </row>
    <row r="80" spans="1:2" x14ac:dyDescent="0.3">
      <c r="A80" s="9" t="s">
        <v>44</v>
      </c>
      <c r="B80" s="9">
        <v>1000</v>
      </c>
    </row>
    <row r="86" spans="1:5" x14ac:dyDescent="0.3">
      <c r="A86" s="33" t="s">
        <v>88</v>
      </c>
      <c r="B86" s="33" t="s">
        <v>50</v>
      </c>
      <c r="C86" s="34"/>
      <c r="D86" s="34"/>
      <c r="E86" s="34"/>
    </row>
    <row r="87" spans="1:5" x14ac:dyDescent="0.3">
      <c r="A87" s="33" t="s">
        <v>42</v>
      </c>
      <c r="B87" s="34" t="s">
        <v>73</v>
      </c>
      <c r="C87" s="34" t="s">
        <v>74</v>
      </c>
      <c r="D87" s="34" t="s">
        <v>75</v>
      </c>
      <c r="E87" s="34" t="s">
        <v>44</v>
      </c>
    </row>
    <row r="88" spans="1:5" x14ac:dyDescent="0.3">
      <c r="A88" s="34" t="s">
        <v>15</v>
      </c>
      <c r="B88" s="35">
        <v>0.625</v>
      </c>
      <c r="C88" s="35">
        <v>0.59171597633136097</v>
      </c>
      <c r="D88" s="35">
        <v>0.49612403100775193</v>
      </c>
      <c r="E88" s="35">
        <v>0.55228758169934644</v>
      </c>
    </row>
    <row r="89" spans="1:5" x14ac:dyDescent="0.3">
      <c r="A89" s="34" t="s">
        <v>34</v>
      </c>
      <c r="B89" s="35">
        <v>0.38461538461538464</v>
      </c>
      <c r="C89" s="35">
        <v>0.55434782608695654</v>
      </c>
      <c r="D89" s="35">
        <v>0.55072463768115942</v>
      </c>
      <c r="E89" s="35">
        <v>0.54022988505747127</v>
      </c>
    </row>
    <row r="90" spans="1:5" x14ac:dyDescent="0.3">
      <c r="A90" s="34" t="s">
        <v>30</v>
      </c>
      <c r="B90" s="35">
        <v>0.375</v>
      </c>
      <c r="C90" s="35">
        <v>0.40714285714285714</v>
      </c>
      <c r="D90" s="35">
        <v>0.61290322580645162</v>
      </c>
      <c r="E90" s="35">
        <v>0.44134078212290501</v>
      </c>
    </row>
    <row r="91" spans="1:5" x14ac:dyDescent="0.3">
      <c r="A91" s="34" t="s">
        <v>21</v>
      </c>
      <c r="B91" s="35">
        <v>0.69230769230769229</v>
      </c>
      <c r="C91" s="35">
        <v>0.45</v>
      </c>
      <c r="D91" s="35">
        <v>0.40277777777777779</v>
      </c>
      <c r="E91" s="35">
        <v>0.44905660377358492</v>
      </c>
    </row>
    <row r="92" spans="1:5" x14ac:dyDescent="0.3">
      <c r="A92" s="34" t="s">
        <v>32</v>
      </c>
      <c r="B92" s="35"/>
      <c r="C92" s="35">
        <v>0.25</v>
      </c>
      <c r="D92" s="35">
        <v>0.3125</v>
      </c>
      <c r="E92" s="35">
        <v>0.26315789473684209</v>
      </c>
    </row>
    <row r="93" spans="1:5" x14ac:dyDescent="0.3">
      <c r="A93" s="34" t="s">
        <v>44</v>
      </c>
      <c r="B93" s="35">
        <v>0.52380952380952384</v>
      </c>
      <c r="C93" s="35">
        <v>0.47425897035881437</v>
      </c>
      <c r="D93" s="35">
        <v>0.48895899053627762</v>
      </c>
      <c r="E93" s="35">
        <v>0.48099999999999998</v>
      </c>
    </row>
    <row r="107" spans="1:7" x14ac:dyDescent="0.3">
      <c r="A107" t="s">
        <v>89</v>
      </c>
    </row>
    <row r="109" spans="1:7" x14ac:dyDescent="0.3">
      <c r="A109" s="32" t="s">
        <v>42</v>
      </c>
      <c r="B109" s="9" t="s">
        <v>49</v>
      </c>
      <c r="F109" s="4" t="s">
        <v>42</v>
      </c>
      <c r="G109" t="s">
        <v>98</v>
      </c>
    </row>
    <row r="110" spans="1:7" x14ac:dyDescent="0.3">
      <c r="A110" s="9" t="s">
        <v>19</v>
      </c>
      <c r="B110" s="10">
        <v>40900</v>
      </c>
      <c r="F110" s="5" t="s">
        <v>19</v>
      </c>
      <c r="G110" s="13">
        <v>0.49333333333333335</v>
      </c>
    </row>
    <row r="111" spans="1:7" x14ac:dyDescent="0.3">
      <c r="A111" s="9" t="s">
        <v>35</v>
      </c>
      <c r="B111" s="10">
        <v>62755.905511811026</v>
      </c>
      <c r="F111" s="5" t="s">
        <v>35</v>
      </c>
      <c r="G111" s="13">
        <v>0.43307086614173229</v>
      </c>
    </row>
    <row r="112" spans="1:7" x14ac:dyDescent="0.3">
      <c r="A112" s="9" t="s">
        <v>27</v>
      </c>
      <c r="B112" s="10">
        <v>63593.75</v>
      </c>
      <c r="F112" s="5" t="s">
        <v>27</v>
      </c>
      <c r="G112" s="13">
        <v>0.58854166666666663</v>
      </c>
    </row>
    <row r="113" spans="1:7" x14ac:dyDescent="0.3">
      <c r="A113" s="9" t="s">
        <v>44</v>
      </c>
      <c r="B113" s="10">
        <v>56360</v>
      </c>
      <c r="F113" s="5" t="s">
        <v>44</v>
      </c>
      <c r="G113" s="13">
        <v>0.48099999999999998</v>
      </c>
    </row>
    <row r="115" spans="1:7" x14ac:dyDescent="0.3">
      <c r="A115" s="32" t="s">
        <v>42</v>
      </c>
      <c r="B115" s="9" t="s">
        <v>84</v>
      </c>
      <c r="C115" s="9" t="s">
        <v>95</v>
      </c>
      <c r="D115" s="9" t="s">
        <v>96</v>
      </c>
    </row>
    <row r="116" spans="1:7" x14ac:dyDescent="0.3">
      <c r="A116" s="9" t="s">
        <v>19</v>
      </c>
      <c r="B116" s="9">
        <v>148</v>
      </c>
      <c r="C116" s="9">
        <v>300</v>
      </c>
      <c r="D116" s="36">
        <v>0.49333333333333335</v>
      </c>
    </row>
    <row r="117" spans="1:7" x14ac:dyDescent="0.3">
      <c r="A117" s="9" t="s">
        <v>35</v>
      </c>
      <c r="B117" s="9">
        <v>220</v>
      </c>
      <c r="C117" s="9">
        <v>508</v>
      </c>
      <c r="D117" s="36">
        <v>0.43307086614173229</v>
      </c>
    </row>
    <row r="118" spans="1:7" x14ac:dyDescent="0.3">
      <c r="A118" s="9" t="s">
        <v>27</v>
      </c>
      <c r="B118" s="9">
        <v>113</v>
      </c>
      <c r="C118" s="9">
        <v>192</v>
      </c>
      <c r="D118" s="36">
        <v>0.58854166666666663</v>
      </c>
    </row>
    <row r="119" spans="1:7" x14ac:dyDescent="0.3">
      <c r="A119" s="9" t="s">
        <v>44</v>
      </c>
      <c r="B119" s="9">
        <v>481</v>
      </c>
      <c r="C119" s="9">
        <v>1000</v>
      </c>
      <c r="D119" s="36">
        <v>0.48099999999999998</v>
      </c>
    </row>
    <row r="123" spans="1:7" x14ac:dyDescent="0.3">
      <c r="A123" s="32" t="s">
        <v>42</v>
      </c>
      <c r="B123" s="9" t="s">
        <v>105</v>
      </c>
      <c r="C123" s="9" t="s">
        <v>106</v>
      </c>
      <c r="D123" s="9" t="s">
        <v>104</v>
      </c>
      <c r="E123" s="9" t="s">
        <v>103</v>
      </c>
      <c r="F123" s="36" t="s">
        <v>102</v>
      </c>
    </row>
    <row r="124" spans="1:7" x14ac:dyDescent="0.3">
      <c r="A124" s="9" t="s">
        <v>19</v>
      </c>
      <c r="B124" s="36">
        <v>0.22489239598278335</v>
      </c>
      <c r="C124" s="10">
        <v>40900</v>
      </c>
      <c r="D124" s="9">
        <v>148</v>
      </c>
      <c r="E124" s="9">
        <v>300</v>
      </c>
      <c r="F124" s="36">
        <v>0.49333333333333335</v>
      </c>
    </row>
    <row r="125" spans="1:7" x14ac:dyDescent="0.3">
      <c r="A125" s="9" t="s">
        <v>35</v>
      </c>
      <c r="B125" s="36">
        <v>0.51434720229555242</v>
      </c>
      <c r="C125" s="10">
        <v>62755.905511811026</v>
      </c>
      <c r="D125" s="9">
        <v>220</v>
      </c>
      <c r="E125" s="9">
        <v>508</v>
      </c>
      <c r="F125" s="36">
        <v>0.43307086614173229</v>
      </c>
    </row>
    <row r="126" spans="1:7" x14ac:dyDescent="0.3">
      <c r="A126" s="9" t="s">
        <v>27</v>
      </c>
      <c r="B126" s="36">
        <v>0.26076040172166426</v>
      </c>
      <c r="C126" s="10">
        <v>63593.75</v>
      </c>
      <c r="D126" s="9">
        <v>113</v>
      </c>
      <c r="E126" s="9">
        <v>192</v>
      </c>
      <c r="F126" s="36">
        <v>0.58854166666666663</v>
      </c>
    </row>
    <row r="127" spans="1:7" x14ac:dyDescent="0.3">
      <c r="A127" s="9" t="s">
        <v>44</v>
      </c>
      <c r="B127" s="36">
        <v>1</v>
      </c>
      <c r="C127" s="10">
        <v>56360</v>
      </c>
      <c r="D127" s="9">
        <v>481</v>
      </c>
      <c r="E127" s="9">
        <v>1000</v>
      </c>
      <c r="F127" s="36">
        <v>0.48099999999999998</v>
      </c>
    </row>
    <row r="143" spans="1:1" ht="100.8" x14ac:dyDescent="0.3">
      <c r="A143" s="7" t="s">
        <v>82</v>
      </c>
    </row>
    <row r="145" spans="1:6" x14ac:dyDescent="0.3">
      <c r="A145" s="4" t="s">
        <v>42</v>
      </c>
      <c r="B145" t="s">
        <v>51</v>
      </c>
      <c r="C145" t="s">
        <v>166</v>
      </c>
    </row>
    <row r="146" spans="1:6" x14ac:dyDescent="0.3">
      <c r="A146" s="5" t="s">
        <v>23</v>
      </c>
      <c r="B146">
        <v>276</v>
      </c>
      <c r="C146" s="13">
        <v>0.54347826086956519</v>
      </c>
    </row>
    <row r="147" spans="1:6" x14ac:dyDescent="0.3">
      <c r="A147" s="5" t="s">
        <v>22</v>
      </c>
      <c r="B147">
        <v>177</v>
      </c>
      <c r="C147" s="13">
        <v>0.49717514124293788</v>
      </c>
    </row>
    <row r="148" spans="1:6" x14ac:dyDescent="0.3">
      <c r="A148" s="5" t="s">
        <v>28</v>
      </c>
      <c r="B148">
        <v>119</v>
      </c>
      <c r="C148" s="13">
        <v>0.46218487394957986</v>
      </c>
    </row>
    <row r="149" spans="1:6" x14ac:dyDescent="0.3">
      <c r="A149" s="5" t="s">
        <v>16</v>
      </c>
      <c r="B149">
        <v>255</v>
      </c>
      <c r="C149" s="13">
        <v>0.45098039215686275</v>
      </c>
    </row>
    <row r="150" spans="1:6" x14ac:dyDescent="0.3">
      <c r="A150" s="5" t="s">
        <v>31</v>
      </c>
      <c r="B150">
        <v>173</v>
      </c>
      <c r="C150" s="13">
        <v>0.42196531791907516</v>
      </c>
    </row>
    <row r="151" spans="1:6" x14ac:dyDescent="0.3">
      <c r="A151" s="5" t="s">
        <v>44</v>
      </c>
      <c r="B151">
        <v>1000</v>
      </c>
      <c r="C151" s="13">
        <v>0.48099999999999998</v>
      </c>
    </row>
    <row r="153" spans="1:6" x14ac:dyDescent="0.3">
      <c r="A153" s="4" t="s">
        <v>42</v>
      </c>
      <c r="B153" t="s">
        <v>166</v>
      </c>
    </row>
    <row r="154" spans="1:6" x14ac:dyDescent="0.3">
      <c r="A154" s="5" t="s">
        <v>73</v>
      </c>
      <c r="B154" s="13">
        <v>0.52380952380952384</v>
      </c>
    </row>
    <row r="155" spans="1:6" x14ac:dyDescent="0.3">
      <c r="A155" s="5" t="s">
        <v>74</v>
      </c>
      <c r="B155" s="13">
        <v>0.47425897035881437</v>
      </c>
    </row>
    <row r="156" spans="1:6" x14ac:dyDescent="0.3">
      <c r="A156" s="5" t="s">
        <v>75</v>
      </c>
      <c r="B156" s="13">
        <v>0.48895899053627762</v>
      </c>
    </row>
    <row r="157" spans="1:6" x14ac:dyDescent="0.3">
      <c r="A157" s="5" t="s">
        <v>44</v>
      </c>
      <c r="B157" s="13">
        <v>0.48099999999999998</v>
      </c>
    </row>
    <row r="158" spans="1:6" x14ac:dyDescent="0.3">
      <c r="A158" s="5"/>
      <c r="B158" s="13"/>
    </row>
    <row r="159" spans="1:6" ht="43.2" x14ac:dyDescent="0.3">
      <c r="A159" s="5"/>
      <c r="B159" s="13"/>
      <c r="E159" s="27" t="s">
        <v>174</v>
      </c>
      <c r="F159" s="12"/>
    </row>
    <row r="160" spans="1:6" x14ac:dyDescent="0.3">
      <c r="A160" s="5"/>
      <c r="B160" s="13"/>
      <c r="E160" s="4" t="s">
        <v>9</v>
      </c>
      <c r="F160" t="s">
        <v>41</v>
      </c>
    </row>
    <row r="161" spans="1:6" ht="43.2" x14ac:dyDescent="0.3">
      <c r="A161" s="28" t="s">
        <v>173</v>
      </c>
      <c r="B161" s="12"/>
      <c r="E161" s="27"/>
    </row>
    <row r="162" spans="1:6" x14ac:dyDescent="0.3">
      <c r="A162" s="4" t="s">
        <v>9</v>
      </c>
      <c r="B162" t="s">
        <v>41</v>
      </c>
      <c r="E162" s="4" t="s">
        <v>42</v>
      </c>
      <c r="F162" t="s">
        <v>86</v>
      </c>
    </row>
    <row r="163" spans="1:6" x14ac:dyDescent="0.3">
      <c r="E163" s="5" t="s">
        <v>31</v>
      </c>
      <c r="F163">
        <v>41</v>
      </c>
    </row>
    <row r="164" spans="1:6" x14ac:dyDescent="0.3">
      <c r="A164" s="4" t="s">
        <v>42</v>
      </c>
      <c r="B164" t="s">
        <v>49</v>
      </c>
      <c r="C164" t="s">
        <v>86</v>
      </c>
      <c r="E164" s="5" t="s">
        <v>23</v>
      </c>
      <c r="F164">
        <v>60</v>
      </c>
    </row>
    <row r="165" spans="1:6" x14ac:dyDescent="0.3">
      <c r="A165" s="5">
        <v>0</v>
      </c>
      <c r="B165" s="3">
        <v>71666.666666666672</v>
      </c>
      <c r="C165">
        <v>78</v>
      </c>
      <c r="E165" s="5" t="s">
        <v>16</v>
      </c>
      <c r="F165">
        <v>10</v>
      </c>
    </row>
    <row r="166" spans="1:6" x14ac:dyDescent="0.3">
      <c r="A166" s="5">
        <v>1</v>
      </c>
      <c r="B166" s="3">
        <v>82424.242424242431</v>
      </c>
      <c r="C166">
        <v>33</v>
      </c>
      <c r="E166" s="5" t="s">
        <v>44</v>
      </c>
      <c r="F166">
        <v>111</v>
      </c>
    </row>
    <row r="167" spans="1:6" x14ac:dyDescent="0.3">
      <c r="A167" s="5" t="s">
        <v>44</v>
      </c>
      <c r="B167" s="3">
        <v>74864.864864864867</v>
      </c>
      <c r="C167">
        <v>111</v>
      </c>
    </row>
    <row r="168" spans="1:6" ht="72" x14ac:dyDescent="0.3">
      <c r="E168" s="39" t="s">
        <v>175</v>
      </c>
    </row>
    <row r="169" spans="1:6" ht="86.4" x14ac:dyDescent="0.3">
      <c r="A169" s="39" t="s">
        <v>179</v>
      </c>
      <c r="E169" s="39" t="s">
        <v>176</v>
      </c>
    </row>
    <row r="175" spans="1:6" ht="86.4" x14ac:dyDescent="0.3">
      <c r="A175" s="7" t="s">
        <v>83</v>
      </c>
    </row>
    <row r="177" spans="1:5" ht="43.2" x14ac:dyDescent="0.3">
      <c r="A177" s="4" t="s">
        <v>42</v>
      </c>
      <c r="B177" s="7" t="s">
        <v>166</v>
      </c>
    </row>
    <row r="178" spans="1:5" ht="86.4" x14ac:dyDescent="0.3">
      <c r="A178" s="5" t="s">
        <v>19</v>
      </c>
      <c r="B178" s="13">
        <v>0.49333333333333335</v>
      </c>
      <c r="D178" s="7" t="s">
        <v>180</v>
      </c>
    </row>
    <row r="179" spans="1:5" x14ac:dyDescent="0.3">
      <c r="A179" s="6" t="s">
        <v>22</v>
      </c>
      <c r="B179" s="13">
        <v>0.55652173913043479</v>
      </c>
    </row>
    <row r="180" spans="1:5" x14ac:dyDescent="0.3">
      <c r="A180" s="6" t="s">
        <v>31</v>
      </c>
      <c r="B180" s="13">
        <v>0.1875</v>
      </c>
      <c r="D180" s="12" t="s">
        <v>181</v>
      </c>
      <c r="E180" s="12"/>
    </row>
    <row r="181" spans="1:5" x14ac:dyDescent="0.3">
      <c r="A181" s="6" t="s">
        <v>28</v>
      </c>
      <c r="B181" s="13">
        <v>0.41176470588235292</v>
      </c>
      <c r="D181" s="40"/>
      <c r="E181" s="40"/>
    </row>
    <row r="182" spans="1:5" x14ac:dyDescent="0.3">
      <c r="A182" s="6" t="s">
        <v>23</v>
      </c>
      <c r="B182" s="13">
        <v>0.54054054054054057</v>
      </c>
      <c r="D182" s="40" t="s">
        <v>182</v>
      </c>
      <c r="E182" s="40"/>
    </row>
    <row r="183" spans="1:5" x14ac:dyDescent="0.3">
      <c r="A183" s="6" t="s">
        <v>16</v>
      </c>
      <c r="B183" s="13">
        <v>0.6333333333333333</v>
      </c>
      <c r="D183" s="40" t="s">
        <v>183</v>
      </c>
      <c r="E183" s="40"/>
    </row>
    <row r="184" spans="1:5" x14ac:dyDescent="0.3">
      <c r="A184" s="5" t="s">
        <v>35</v>
      </c>
      <c r="B184" s="13">
        <v>0.43307086614173229</v>
      </c>
    </row>
    <row r="185" spans="1:5" x14ac:dyDescent="0.3">
      <c r="A185" s="6" t="s">
        <v>22</v>
      </c>
      <c r="B185" s="13">
        <v>0.32432432432432434</v>
      </c>
      <c r="D185" s="12" t="s">
        <v>184</v>
      </c>
      <c r="E185" s="12"/>
    </row>
    <row r="186" spans="1:5" x14ac:dyDescent="0.3">
      <c r="A186" s="6" t="s">
        <v>31</v>
      </c>
      <c r="B186" s="13">
        <v>0.35185185185185186</v>
      </c>
      <c r="D186" s="40"/>
      <c r="E186" s="40"/>
    </row>
    <row r="187" spans="1:5" x14ac:dyDescent="0.3">
      <c r="A187" s="6" t="s">
        <v>28</v>
      </c>
      <c r="B187" s="13">
        <v>0.5</v>
      </c>
      <c r="D187" s="40" t="s">
        <v>185</v>
      </c>
      <c r="E187" s="40"/>
    </row>
    <row r="188" spans="1:5" x14ac:dyDescent="0.3">
      <c r="A188" s="6" t="s">
        <v>23</v>
      </c>
      <c r="B188" s="13">
        <v>0.53714285714285714</v>
      </c>
      <c r="D188" s="40" t="s">
        <v>186</v>
      </c>
      <c r="E188" s="40"/>
    </row>
    <row r="189" spans="1:5" x14ac:dyDescent="0.3">
      <c r="A189" s="6" t="s">
        <v>16</v>
      </c>
      <c r="B189" s="13">
        <v>0.40217391304347827</v>
      </c>
      <c r="D189" s="40" t="s">
        <v>187</v>
      </c>
      <c r="E189" s="40"/>
    </row>
    <row r="190" spans="1:5" x14ac:dyDescent="0.3">
      <c r="A190" s="5" t="s">
        <v>27</v>
      </c>
      <c r="B190" s="13">
        <v>0.58854166666666663</v>
      </c>
    </row>
    <row r="191" spans="1:5" x14ac:dyDescent="0.3">
      <c r="A191" s="6" t="s">
        <v>22</v>
      </c>
      <c r="B191" s="13">
        <v>0.48</v>
      </c>
      <c r="D191" s="12" t="s">
        <v>188</v>
      </c>
      <c r="E191" s="12"/>
    </row>
    <row r="192" spans="1:5" x14ac:dyDescent="0.3">
      <c r="A192" s="6" t="s">
        <v>31</v>
      </c>
      <c r="B192" s="13">
        <v>0.65306122448979587</v>
      </c>
      <c r="D192" s="40"/>
      <c r="E192" s="40"/>
    </row>
    <row r="193" spans="1:5" x14ac:dyDescent="0.3">
      <c r="A193" s="6" t="s">
        <v>28</v>
      </c>
      <c r="B193" s="13">
        <v>0.84615384615384615</v>
      </c>
      <c r="D193" s="40" t="s">
        <v>189</v>
      </c>
      <c r="E193" s="40"/>
    </row>
    <row r="194" spans="1:5" x14ac:dyDescent="0.3">
      <c r="A194" s="6" t="s">
        <v>23</v>
      </c>
      <c r="B194" s="13">
        <v>0.5625</v>
      </c>
    </row>
    <row r="195" spans="1:5" x14ac:dyDescent="0.3">
      <c r="A195" s="6" t="s">
        <v>16</v>
      </c>
      <c r="B195" s="13">
        <v>0.53658536585365857</v>
      </c>
    </row>
    <row r="196" spans="1:5" x14ac:dyDescent="0.3">
      <c r="A196" s="5" t="s">
        <v>44</v>
      </c>
      <c r="B196" s="13">
        <v>0.48099999999999998</v>
      </c>
    </row>
  </sheetData>
  <sortState xmlns:xlrd2="http://schemas.microsoft.com/office/spreadsheetml/2017/richdata2" columnSort="1" ref="A177:C196">
    <sortCondition descending="1" ref="B177"/>
  </sortState>
  <conditionalFormatting pivot="1" sqref="F124:F126">
    <cfRule type="colorScale" priority="4">
      <colorScale>
        <cfvo type="min"/>
        <cfvo type="max"/>
        <color rgb="FFFF0000"/>
        <color rgb="FF63BE7B"/>
      </colorScale>
    </cfRule>
  </conditionalFormatting>
  <conditionalFormatting pivot="1" sqref="C146:C150">
    <cfRule type="colorScale" priority="3">
      <colorScale>
        <cfvo type="min"/>
        <cfvo type="max"/>
        <color rgb="FFFCFCFF"/>
        <color rgb="FF63BE7B"/>
      </colorScale>
    </cfRule>
  </conditionalFormatting>
  <conditionalFormatting pivot="1" sqref="B146:B150">
    <cfRule type="colorScale" priority="2">
      <colorScale>
        <cfvo type="min"/>
        <cfvo type="percentile" val="50"/>
        <cfvo type="max"/>
        <color rgb="FFF8696B"/>
        <color rgb="FFFFEB84"/>
        <color rgb="FF63BE7B"/>
      </colorScale>
    </cfRule>
  </conditionalFormatting>
  <conditionalFormatting pivot="1" sqref="B154:B156">
    <cfRule type="colorScale" priority="1">
      <colorScale>
        <cfvo type="min"/>
        <cfvo type="max"/>
        <color rgb="FFFCFCFF"/>
        <color rgb="FF63BE7B"/>
      </colorScale>
    </cfRule>
  </conditionalFormatting>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5C1E-B1AB-4EF7-8E5C-40285389D0D3}">
  <dimension ref="A1:E78"/>
  <sheetViews>
    <sheetView topLeftCell="A53" workbookViewId="0">
      <selection activeCell="D81" sqref="D81"/>
    </sheetView>
  </sheetViews>
  <sheetFormatPr defaultRowHeight="14.4" x14ac:dyDescent="0.3"/>
  <cols>
    <col min="1" max="1" width="12.88671875" bestFit="1" customWidth="1"/>
    <col min="2" max="2" width="20.6640625" bestFit="1" customWidth="1"/>
    <col min="3" max="3" width="18.6640625" bestFit="1" customWidth="1"/>
    <col min="4" max="4" width="12.5546875" bestFit="1" customWidth="1"/>
    <col min="5" max="5" width="17" bestFit="1" customWidth="1"/>
    <col min="6" max="6" width="7.5546875" bestFit="1" customWidth="1"/>
    <col min="7" max="7" width="10.77734375" bestFit="1" customWidth="1"/>
  </cols>
  <sheetData>
    <row r="1" spans="1:2" x14ac:dyDescent="0.3">
      <c r="A1" s="4" t="s">
        <v>42</v>
      </c>
      <c r="B1" t="s">
        <v>43</v>
      </c>
    </row>
    <row r="2" spans="1:2" x14ac:dyDescent="0.3">
      <c r="A2" s="5" t="s">
        <v>38</v>
      </c>
      <c r="B2">
        <v>489</v>
      </c>
    </row>
    <row r="3" spans="1:2" x14ac:dyDescent="0.3">
      <c r="A3" s="5" t="s">
        <v>39</v>
      </c>
      <c r="B3">
        <v>511</v>
      </c>
    </row>
    <row r="4" spans="1:2" x14ac:dyDescent="0.3">
      <c r="A4" s="5" t="s">
        <v>44</v>
      </c>
      <c r="B4">
        <v>1000</v>
      </c>
    </row>
    <row r="8" spans="1:2" x14ac:dyDescent="0.3">
      <c r="A8" s="4" t="s">
        <v>42</v>
      </c>
      <c r="B8" t="s">
        <v>45</v>
      </c>
    </row>
    <row r="9" spans="1:2" x14ac:dyDescent="0.3">
      <c r="A9" s="5" t="s">
        <v>37</v>
      </c>
      <c r="B9">
        <v>538</v>
      </c>
    </row>
    <row r="10" spans="1:2" x14ac:dyDescent="0.3">
      <c r="A10" s="5" t="s">
        <v>40</v>
      </c>
      <c r="B10">
        <v>462</v>
      </c>
    </row>
    <row r="11" spans="1:2" x14ac:dyDescent="0.3">
      <c r="A11" s="5" t="s">
        <v>44</v>
      </c>
      <c r="B11">
        <v>1000</v>
      </c>
    </row>
    <row r="14" spans="1:2" x14ac:dyDescent="0.3">
      <c r="A14" s="4" t="s">
        <v>42</v>
      </c>
      <c r="B14" t="s">
        <v>46</v>
      </c>
    </row>
    <row r="15" spans="1:2" x14ac:dyDescent="0.3">
      <c r="A15" s="5" t="s">
        <v>15</v>
      </c>
      <c r="B15">
        <v>306</v>
      </c>
    </row>
    <row r="16" spans="1:2" x14ac:dyDescent="0.3">
      <c r="A16" s="6" t="s">
        <v>22</v>
      </c>
      <c r="B16">
        <v>49</v>
      </c>
    </row>
    <row r="17" spans="1:2" x14ac:dyDescent="0.3">
      <c r="A17" s="6" t="s">
        <v>31</v>
      </c>
      <c r="B17">
        <v>97</v>
      </c>
    </row>
    <row r="18" spans="1:2" x14ac:dyDescent="0.3">
      <c r="A18" s="6" t="s">
        <v>28</v>
      </c>
      <c r="B18">
        <v>2</v>
      </c>
    </row>
    <row r="19" spans="1:2" x14ac:dyDescent="0.3">
      <c r="A19" s="6" t="s">
        <v>23</v>
      </c>
      <c r="B19">
        <v>92</v>
      </c>
    </row>
    <row r="20" spans="1:2" x14ac:dyDescent="0.3">
      <c r="A20" s="6" t="s">
        <v>16</v>
      </c>
      <c r="B20">
        <v>66</v>
      </c>
    </row>
    <row r="21" spans="1:2" x14ac:dyDescent="0.3">
      <c r="A21" s="5" t="s">
        <v>34</v>
      </c>
      <c r="B21">
        <v>174</v>
      </c>
    </row>
    <row r="22" spans="1:2" x14ac:dyDescent="0.3">
      <c r="A22" s="6" t="s">
        <v>22</v>
      </c>
      <c r="B22">
        <v>24</v>
      </c>
    </row>
    <row r="23" spans="1:2" x14ac:dyDescent="0.3">
      <c r="A23" s="6" t="s">
        <v>31</v>
      </c>
      <c r="B23">
        <v>59</v>
      </c>
    </row>
    <row r="24" spans="1:2" x14ac:dyDescent="0.3">
      <c r="A24" s="6" t="s">
        <v>28</v>
      </c>
      <c r="B24">
        <v>6</v>
      </c>
    </row>
    <row r="25" spans="1:2" x14ac:dyDescent="0.3">
      <c r="A25" s="6" t="s">
        <v>23</v>
      </c>
      <c r="B25">
        <v>45</v>
      </c>
    </row>
    <row r="26" spans="1:2" x14ac:dyDescent="0.3">
      <c r="A26" s="6" t="s">
        <v>16</v>
      </c>
      <c r="B26">
        <v>40</v>
      </c>
    </row>
    <row r="27" spans="1:2" x14ac:dyDescent="0.3">
      <c r="A27" s="5" t="s">
        <v>30</v>
      </c>
      <c r="B27">
        <v>179</v>
      </c>
    </row>
    <row r="28" spans="1:2" x14ac:dyDescent="0.3">
      <c r="A28" s="6" t="s">
        <v>22</v>
      </c>
      <c r="B28">
        <v>4</v>
      </c>
    </row>
    <row r="29" spans="1:2" x14ac:dyDescent="0.3">
      <c r="A29" s="6" t="s">
        <v>31</v>
      </c>
      <c r="B29">
        <v>12</v>
      </c>
    </row>
    <row r="30" spans="1:2" x14ac:dyDescent="0.3">
      <c r="A30" s="6" t="s">
        <v>28</v>
      </c>
      <c r="B30">
        <v>44</v>
      </c>
    </row>
    <row r="31" spans="1:2" x14ac:dyDescent="0.3">
      <c r="A31" s="6" t="s">
        <v>23</v>
      </c>
      <c r="B31">
        <v>55</v>
      </c>
    </row>
    <row r="32" spans="1:2" x14ac:dyDescent="0.3">
      <c r="A32" s="6" t="s">
        <v>16</v>
      </c>
      <c r="B32">
        <v>64</v>
      </c>
    </row>
    <row r="33" spans="1:2" x14ac:dyDescent="0.3">
      <c r="A33" s="5" t="s">
        <v>21</v>
      </c>
      <c r="B33">
        <v>265</v>
      </c>
    </row>
    <row r="34" spans="1:2" x14ac:dyDescent="0.3">
      <c r="A34" s="6" t="s">
        <v>22</v>
      </c>
      <c r="B34">
        <v>76</v>
      </c>
    </row>
    <row r="35" spans="1:2" x14ac:dyDescent="0.3">
      <c r="A35" s="6" t="s">
        <v>31</v>
      </c>
      <c r="B35">
        <v>5</v>
      </c>
    </row>
    <row r="36" spans="1:2" x14ac:dyDescent="0.3">
      <c r="A36" s="6" t="s">
        <v>28</v>
      </c>
      <c r="B36">
        <v>36</v>
      </c>
    </row>
    <row r="37" spans="1:2" x14ac:dyDescent="0.3">
      <c r="A37" s="6" t="s">
        <v>23</v>
      </c>
      <c r="B37">
        <v>80</v>
      </c>
    </row>
    <row r="38" spans="1:2" x14ac:dyDescent="0.3">
      <c r="A38" s="6" t="s">
        <v>16</v>
      </c>
      <c r="B38">
        <v>68</v>
      </c>
    </row>
    <row r="39" spans="1:2" x14ac:dyDescent="0.3">
      <c r="A39" s="5" t="s">
        <v>32</v>
      </c>
      <c r="B39">
        <v>76</v>
      </c>
    </row>
    <row r="40" spans="1:2" x14ac:dyDescent="0.3">
      <c r="A40" s="6" t="s">
        <v>22</v>
      </c>
      <c r="B40">
        <v>24</v>
      </c>
    </row>
    <row r="41" spans="1:2" x14ac:dyDescent="0.3">
      <c r="A41" s="6" t="s">
        <v>28</v>
      </c>
      <c r="B41">
        <v>31</v>
      </c>
    </row>
    <row r="42" spans="1:2" x14ac:dyDescent="0.3">
      <c r="A42" s="6" t="s">
        <v>23</v>
      </c>
      <c r="B42">
        <v>4</v>
      </c>
    </row>
    <row r="43" spans="1:2" x14ac:dyDescent="0.3">
      <c r="A43" s="6" t="s">
        <v>16</v>
      </c>
      <c r="B43">
        <v>17</v>
      </c>
    </row>
    <row r="44" spans="1:2" x14ac:dyDescent="0.3">
      <c r="A44" s="5" t="s">
        <v>44</v>
      </c>
      <c r="B44">
        <v>1000</v>
      </c>
    </row>
    <row r="48" spans="1:2" x14ac:dyDescent="0.3">
      <c r="A48" s="4" t="s">
        <v>42</v>
      </c>
      <c r="B48" t="s">
        <v>47</v>
      </c>
    </row>
    <row r="49" spans="1:2" x14ac:dyDescent="0.3">
      <c r="A49" s="5" t="s">
        <v>19</v>
      </c>
      <c r="B49">
        <v>300</v>
      </c>
    </row>
    <row r="50" spans="1:2" x14ac:dyDescent="0.3">
      <c r="A50" s="5" t="s">
        <v>35</v>
      </c>
      <c r="B50">
        <v>508</v>
      </c>
    </row>
    <row r="51" spans="1:2" x14ac:dyDescent="0.3">
      <c r="A51" s="5" t="s">
        <v>27</v>
      </c>
      <c r="B51">
        <v>192</v>
      </c>
    </row>
    <row r="52" spans="1:2" x14ac:dyDescent="0.3">
      <c r="A52" s="5" t="s">
        <v>44</v>
      </c>
      <c r="B52">
        <v>1000</v>
      </c>
    </row>
    <row r="55" spans="1:2" x14ac:dyDescent="0.3">
      <c r="A55" s="4" t="s">
        <v>42</v>
      </c>
      <c r="B55" t="s">
        <v>48</v>
      </c>
    </row>
    <row r="56" spans="1:2" x14ac:dyDescent="0.3">
      <c r="A56" s="5">
        <v>0</v>
      </c>
      <c r="B56">
        <v>281</v>
      </c>
    </row>
    <row r="57" spans="1:2" x14ac:dyDescent="0.3">
      <c r="A57" s="5">
        <v>1</v>
      </c>
      <c r="B57">
        <v>169</v>
      </c>
    </row>
    <row r="58" spans="1:2" x14ac:dyDescent="0.3">
      <c r="A58" s="5">
        <v>2</v>
      </c>
      <c r="B58">
        <v>209</v>
      </c>
    </row>
    <row r="59" spans="1:2" x14ac:dyDescent="0.3">
      <c r="A59" s="5">
        <v>3</v>
      </c>
      <c r="B59">
        <v>134</v>
      </c>
    </row>
    <row r="60" spans="1:2" x14ac:dyDescent="0.3">
      <c r="A60" s="5">
        <v>4</v>
      </c>
      <c r="B60">
        <v>126</v>
      </c>
    </row>
    <row r="61" spans="1:2" x14ac:dyDescent="0.3">
      <c r="A61" s="5">
        <v>5</v>
      </c>
      <c r="B61">
        <v>81</v>
      </c>
    </row>
    <row r="62" spans="1:2" x14ac:dyDescent="0.3">
      <c r="A62" s="5" t="s">
        <v>44</v>
      </c>
      <c r="B62">
        <v>1000</v>
      </c>
    </row>
    <row r="66" spans="1:5" ht="43.2" x14ac:dyDescent="0.3">
      <c r="A66" s="24" t="s">
        <v>165</v>
      </c>
    </row>
    <row r="68" spans="1:5" x14ac:dyDescent="0.3">
      <c r="A68" s="4" t="s">
        <v>42</v>
      </c>
      <c r="B68" t="s">
        <v>98</v>
      </c>
      <c r="D68" s="4" t="s">
        <v>42</v>
      </c>
      <c r="E68" t="s">
        <v>86</v>
      </c>
    </row>
    <row r="69" spans="1:5" x14ac:dyDescent="0.3">
      <c r="A69" s="5" t="s">
        <v>19</v>
      </c>
      <c r="B69" s="13">
        <v>0.49333333333333335</v>
      </c>
      <c r="D69" s="5">
        <v>0</v>
      </c>
      <c r="E69" s="46">
        <v>519</v>
      </c>
    </row>
    <row r="70" spans="1:5" x14ac:dyDescent="0.3">
      <c r="A70" s="5" t="s">
        <v>35</v>
      </c>
      <c r="B70" s="13">
        <v>0.43307086614173229</v>
      </c>
      <c r="D70" s="5">
        <v>1</v>
      </c>
      <c r="E70" s="46">
        <v>481</v>
      </c>
    </row>
    <row r="71" spans="1:5" x14ac:dyDescent="0.3">
      <c r="A71" s="5" t="s">
        <v>27</v>
      </c>
      <c r="B71" s="13">
        <v>0.58854166666666663</v>
      </c>
      <c r="D71" s="5" t="s">
        <v>44</v>
      </c>
      <c r="E71" s="46">
        <v>1000</v>
      </c>
    </row>
    <row r="72" spans="1:5" x14ac:dyDescent="0.3">
      <c r="A72" s="5" t="s">
        <v>44</v>
      </c>
      <c r="B72" s="13">
        <v>0.48099999999999998</v>
      </c>
    </row>
    <row r="75" spans="1:5" x14ac:dyDescent="0.3">
      <c r="D75" s="4" t="s">
        <v>42</v>
      </c>
      <c r="E75" t="s">
        <v>49</v>
      </c>
    </row>
    <row r="76" spans="1:5" x14ac:dyDescent="0.3">
      <c r="D76" s="5">
        <v>0</v>
      </c>
      <c r="E76" s="3">
        <v>54874.759152215796</v>
      </c>
    </row>
    <row r="77" spans="1:5" x14ac:dyDescent="0.3">
      <c r="D77" s="5">
        <v>1</v>
      </c>
      <c r="E77" s="3">
        <v>57962.577962577961</v>
      </c>
    </row>
    <row r="78" spans="1:5" x14ac:dyDescent="0.3">
      <c r="D78" s="5" t="s">
        <v>44</v>
      </c>
      <c r="E78" s="3">
        <v>56360</v>
      </c>
    </row>
  </sheetData>
  <pageMargins left="0.7" right="0.7" top="0.75" bottom="0.75" header="0.3" footer="0.3"/>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29C2-269E-4EDF-88F1-513D536CD34A}">
  <dimension ref="A1:X11"/>
  <sheetViews>
    <sheetView showGridLines="0" topLeftCell="A19" zoomScale="73" zoomScaleNormal="73" workbookViewId="0">
      <selection activeCell="W18" sqref="W18"/>
    </sheetView>
  </sheetViews>
  <sheetFormatPr defaultRowHeight="14.4" x14ac:dyDescent="0.3"/>
  <cols>
    <col min="1" max="1" width="8.44140625" customWidth="1"/>
  </cols>
  <sheetData>
    <row r="1" spans="1:24" ht="14.4" customHeight="1" x14ac:dyDescent="0.3">
      <c r="A1" s="49" t="s">
        <v>192</v>
      </c>
      <c r="B1" s="49"/>
      <c r="C1" s="49"/>
      <c r="D1" s="49"/>
      <c r="E1" s="49"/>
      <c r="F1" s="49"/>
      <c r="G1" s="49"/>
      <c r="H1" s="49"/>
      <c r="I1" s="49"/>
      <c r="J1" s="49"/>
      <c r="K1" s="49"/>
      <c r="L1" s="49"/>
      <c r="M1" s="49"/>
      <c r="N1" s="49"/>
      <c r="O1" s="49"/>
      <c r="P1" s="49"/>
      <c r="Q1" s="49"/>
      <c r="R1" s="49"/>
      <c r="S1" s="49"/>
      <c r="T1" s="49"/>
      <c r="U1" s="49"/>
      <c r="V1" s="49"/>
      <c r="W1" s="49"/>
      <c r="X1" s="49"/>
    </row>
    <row r="2" spans="1:24" ht="14.4" customHeight="1" x14ac:dyDescent="0.3">
      <c r="A2" s="49"/>
      <c r="B2" s="49"/>
      <c r="C2" s="49"/>
      <c r="D2" s="49"/>
      <c r="E2" s="49"/>
      <c r="F2" s="49"/>
      <c r="G2" s="49"/>
      <c r="H2" s="49"/>
      <c r="I2" s="49"/>
      <c r="J2" s="49"/>
      <c r="K2" s="49"/>
      <c r="L2" s="49"/>
      <c r="M2" s="49"/>
      <c r="N2" s="49"/>
      <c r="O2" s="49"/>
      <c r="P2" s="49"/>
      <c r="Q2" s="49"/>
      <c r="R2" s="49"/>
      <c r="S2" s="49"/>
      <c r="T2" s="49"/>
      <c r="U2" s="49"/>
      <c r="V2" s="49"/>
      <c r="W2" s="49"/>
      <c r="X2" s="49"/>
    </row>
    <row r="3" spans="1:24" ht="14.4" customHeight="1" x14ac:dyDescent="0.3">
      <c r="A3" s="49"/>
      <c r="B3" s="49"/>
      <c r="C3" s="49"/>
      <c r="D3" s="49"/>
      <c r="E3" s="49"/>
      <c r="F3" s="49"/>
      <c r="G3" s="49"/>
      <c r="H3" s="49"/>
      <c r="I3" s="49"/>
      <c r="J3" s="49"/>
      <c r="K3" s="49"/>
      <c r="L3" s="49"/>
      <c r="M3" s="49"/>
      <c r="N3" s="49"/>
      <c r="O3" s="49"/>
      <c r="P3" s="49"/>
      <c r="Q3" s="49"/>
      <c r="R3" s="49"/>
      <c r="S3" s="49"/>
      <c r="T3" s="49"/>
      <c r="U3" s="49"/>
      <c r="V3" s="49"/>
      <c r="W3" s="49"/>
      <c r="X3" s="49"/>
    </row>
    <row r="4" spans="1:24" ht="14.4" customHeight="1" x14ac:dyDescent="0.3">
      <c r="A4" s="49"/>
      <c r="B4" s="49"/>
      <c r="C4" s="49"/>
      <c r="D4" s="49"/>
      <c r="E4" s="49"/>
      <c r="F4" s="49"/>
      <c r="G4" s="49"/>
      <c r="H4" s="49"/>
      <c r="I4" s="49"/>
      <c r="J4" s="49"/>
      <c r="K4" s="49"/>
      <c r="L4" s="49"/>
      <c r="M4" s="49"/>
      <c r="N4" s="49"/>
      <c r="O4" s="49"/>
      <c r="P4" s="49"/>
      <c r="Q4" s="49"/>
      <c r="R4" s="49"/>
      <c r="S4" s="49"/>
      <c r="T4" s="49"/>
      <c r="U4" s="49"/>
      <c r="V4" s="49"/>
      <c r="W4" s="49"/>
      <c r="X4" s="49"/>
    </row>
    <row r="9" spans="1:24" ht="14.4" customHeight="1" x14ac:dyDescent="0.85">
      <c r="A9" s="47"/>
      <c r="B9" s="51">
        <f>GETPIVOTDATA("Buyer or not",'General Info'!$D$68)</f>
        <v>1000</v>
      </c>
      <c r="C9" s="51"/>
      <c r="D9" s="51"/>
      <c r="E9" s="50"/>
      <c r="F9" s="54"/>
      <c r="G9" s="51">
        <f>GETPIVOTDATA("Buyer or not",'General Info'!$D$68,"Buyer or not",1)</f>
        <v>481</v>
      </c>
      <c r="H9" s="51"/>
      <c r="I9" s="51"/>
      <c r="L9" s="52">
        <f>GETPIVOTDATA("Income",'General Info'!$D$75,"Buyer or not",1)</f>
        <v>57962.577962577961</v>
      </c>
      <c r="M9" s="52"/>
      <c r="N9" s="52"/>
      <c r="O9" s="52"/>
      <c r="S9" s="53">
        <f>GETPIVOTDATA("Purchased Rate (in %)",'Pivot Table'!$A$123)</f>
        <v>0.48099999999999998</v>
      </c>
      <c r="T9" s="53"/>
      <c r="U9" s="53"/>
      <c r="V9" s="53"/>
    </row>
    <row r="10" spans="1:24" ht="14.4" customHeight="1" x14ac:dyDescent="0.85">
      <c r="A10" s="47"/>
      <c r="B10" s="51"/>
      <c r="C10" s="51"/>
      <c r="D10" s="51"/>
      <c r="E10" s="50"/>
      <c r="F10" s="54"/>
      <c r="G10" s="51"/>
      <c r="H10" s="51"/>
      <c r="I10" s="51"/>
      <c r="L10" s="52"/>
      <c r="M10" s="52"/>
      <c r="N10" s="52"/>
      <c r="O10" s="52"/>
      <c r="S10" s="53"/>
      <c r="T10" s="53"/>
      <c r="U10" s="53"/>
      <c r="V10" s="53"/>
    </row>
    <row r="11" spans="1:24" ht="14.4" customHeight="1" x14ac:dyDescent="0.85">
      <c r="A11" s="47"/>
      <c r="B11" s="51"/>
      <c r="C11" s="51"/>
      <c r="D11" s="51"/>
      <c r="E11" s="50"/>
      <c r="F11" s="54"/>
      <c r="G11" s="51"/>
      <c r="H11" s="51"/>
      <c r="I11" s="51"/>
      <c r="L11" s="52"/>
      <c r="M11" s="52"/>
      <c r="N11" s="52"/>
      <c r="O11" s="52"/>
      <c r="S11" s="53"/>
      <c r="T11" s="53"/>
      <c r="U11" s="53"/>
      <c r="V11" s="53"/>
    </row>
  </sheetData>
  <mergeCells count="5">
    <mergeCell ref="B9:D11"/>
    <mergeCell ref="L9:O11"/>
    <mergeCell ref="A1:X4"/>
    <mergeCell ref="S9:V11"/>
    <mergeCell ref="G9:I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bike_buyers</vt:lpstr>
      <vt:lpstr>Working Sheet</vt:lpstr>
      <vt:lpstr>purchase rate vs income &amp; age</vt:lpstr>
      <vt:lpstr>Outlier Detection</vt:lpstr>
      <vt:lpstr>Notes</vt:lpstr>
      <vt:lpstr>Final Notes</vt:lpstr>
      <vt:lpstr>Pivot Table</vt:lpstr>
      <vt:lpstr>General Info</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Apoorva Thirukazhukundram Shakila Raja</cp:lastModifiedBy>
  <cp:revision/>
  <dcterms:created xsi:type="dcterms:W3CDTF">2022-03-18T02:50:57Z</dcterms:created>
  <dcterms:modified xsi:type="dcterms:W3CDTF">2026-01-17T01:09:42Z</dcterms:modified>
  <cp:category/>
  <cp:contentStatus/>
</cp:coreProperties>
</file>